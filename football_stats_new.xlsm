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56D47EBB-2225-4C1E-B740-1101E4262DEB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79" i="2" l="1"/>
  <c r="G1579" i="2"/>
  <c r="H1578" i="2"/>
  <c r="G1578" i="2"/>
  <c r="H1577" i="2"/>
  <c r="G1577" i="2"/>
  <c r="H1576" i="2"/>
  <c r="G1576" i="2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F187" i="1"/>
  <c r="E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H1523" i="2"/>
  <c r="G1523" i="2"/>
  <c r="D1523" i="2"/>
  <c r="H1522" i="2"/>
  <c r="G1522" i="2"/>
  <c r="D1522" i="2"/>
  <c r="H1521" i="2"/>
  <c r="G1521" i="2"/>
  <c r="D1521" i="2"/>
  <c r="H1520" i="2"/>
  <c r="F180" i="1" s="1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G1463" i="2"/>
  <c r="D1463" i="2"/>
  <c r="H1462" i="2"/>
  <c r="F175" i="1" s="1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G1455" i="2"/>
  <c r="E165" i="1" s="1"/>
  <c r="D1455" i="2"/>
  <c r="H1454" i="2"/>
  <c r="F164" i="1" s="1"/>
  <c r="G1454" i="2"/>
  <c r="E164" i="1" s="1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G1442" i="2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G1365" i="2"/>
  <c r="E158" i="1" s="1"/>
  <c r="D1365" i="2"/>
  <c r="H1364" i="2"/>
  <c r="F156" i="1" s="1"/>
  <c r="G1364" i="2"/>
  <c r="E156" i="1" s="1"/>
  <c r="D1364" i="2"/>
  <c r="H1363" i="2"/>
  <c r="G1363" i="2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E149" i="1" s="1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G1233" i="2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L822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M815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L774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M767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L726" i="2"/>
  <c r="H726" i="2"/>
  <c r="F105" i="1" s="1"/>
  <c r="G726" i="2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M719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L678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M671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E63" i="1" s="1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E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F176" i="1"/>
  <c r="E176" i="1"/>
  <c r="D176" i="1"/>
  <c r="C176" i="1"/>
  <c r="G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F165" i="1"/>
  <c r="D165" i="1"/>
  <c r="C165" i="1"/>
  <c r="G164" i="1"/>
  <c r="D164" i="1"/>
  <c r="C164" i="1"/>
  <c r="G163" i="1"/>
  <c r="F163" i="1"/>
  <c r="E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F158" i="1"/>
  <c r="D158" i="1"/>
  <c r="C158" i="1"/>
  <c r="G157" i="1"/>
  <c r="D157" i="1"/>
  <c r="C157" i="1"/>
  <c r="G156" i="1"/>
  <c r="D156" i="1"/>
  <c r="C156" i="1"/>
  <c r="G155" i="1"/>
  <c r="F155" i="1"/>
  <c r="E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F146" i="1"/>
  <c r="E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E127" i="1"/>
  <c r="D127" i="1"/>
  <c r="C127" i="1"/>
  <c r="G126" i="1"/>
  <c r="D126" i="1"/>
  <c r="C126" i="1"/>
  <c r="G125" i="1"/>
  <c r="D125" i="1"/>
  <c r="C125" i="1"/>
  <c r="G124" i="1"/>
  <c r="F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E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F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E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F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E57" i="1" l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<sst xmlns="http://schemas.openxmlformats.org/spreadsheetml/2006/main" count="2477" uniqueCount="307">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</sst>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7" headerRowDxfId="25" totalsRowDxfId="22" headerRowBorderDxfId="24" tableBorderDxfId="23">
  <autoFilter ref="A1:G187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79">
  <autoFilter ref="A1:O1579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0">
  <autoFilter ref="A1:I220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98" totalsRowShown="0" headerRowDxfId="8" dataDxfId="6" headerRowBorderDxfId="7" tableBorderDxfId="5" totalsRowBorderDxfId="4">
  <autoFilter ref="A1:D19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7"/>
  <sheetViews>
    <sheetView topLeftCell="A157" workbookViewId="0">
      <selection activeCell="A184" sqref="A184:A187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200</v>
      </c>
      <c r="F3" s="11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217</v>
      </c>
      <c r="F6" s="16">
        <f>SUMIFS(_stats[draws_on_date],_stats[player_id],_players[[#This Row],[player_id]])</f>
        <v>57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52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173</v>
      </c>
      <c r="F8" s="11">
        <f>SUMIFS(_stats[draws_on_date],_stats[player_id],_players[[#This Row],[player_id]])</f>
        <v>51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89</v>
      </c>
      <c r="E12" s="16">
        <f>SUMIFS(_stats[wins_on_date],_stats[player_id],_players[[#This Row],[player_id]])</f>
        <v>163</v>
      </c>
      <c r="F12" s="16">
        <f>SUMIFS(_stats[draws_on_date],_stats[player_id],_players[[#This Row],[player_id]])</f>
        <v>52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1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42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111</v>
      </c>
      <c r="F18" s="11">
        <f>SUMIFS(_stats[draws_on_date],_stats[player_id],_players[[#This Row],[player_id]])</f>
        <v>15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22</v>
      </c>
      <c r="E20" s="11">
        <f>SUMIFS(_stats[wins_on_date],_stats[player_id],_players[[#This Row],[player_id]])</f>
        <v>129</v>
      </c>
      <c r="F20" s="11">
        <f>SUMIFS(_stats[draws_on_date],_stats[player_id],_players[[#This Row],[player_id]])</f>
        <v>30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146</v>
      </c>
      <c r="F21" s="11">
        <f>SUMIFS(_stats[draws_on_date],_stats[player_id],_players[[#This Row],[player_id]])</f>
        <v>40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106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1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21</v>
      </c>
      <c r="E38" s="11">
        <f>SUMIFS(_stats[wins_on_date],_stats[player_id],_players[[#This Row],[player_id]])</f>
        <v>81</v>
      </c>
      <c r="F38" s="11">
        <f>SUMIFS(_stats[draws_on_date],_stats[player_id],_players[[#This Row],[player_id]])</f>
        <v>30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177</v>
      </c>
      <c r="F39" s="11">
        <f>SUMIFS(_stats[draws_on_date],_stats[player_id],_players[[#This Row],[player_id]])</f>
        <v>67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88</v>
      </c>
      <c r="F41" s="11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57</v>
      </c>
      <c r="F43" s="11">
        <f>SUMIFS(_stats[draws_on_date],_stats[player_id],_players[[#This Row],[player_id]])</f>
        <v>23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47</v>
      </c>
      <c r="F50" s="11">
        <f>SUMIFS(_stats[draws_on_date],_stats[player_id],_players[[#This Row],[player_id]])</f>
        <v>15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9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20</v>
      </c>
      <c r="F60" s="16">
        <f>SUMIFS(_stats[draws_on_date],_stats[player_id],_players[[#This Row],[player_id]])</f>
        <v>4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6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8</v>
      </c>
      <c r="F106" s="16">
        <f>SUMIFS(_stats[draws_on_date],_stats[player_id],_players[[#This Row],[player_id]])</f>
        <v>9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19</v>
      </c>
      <c r="D120" s="16">
        <f>SUMIFS(_stats[assists_on_date],_stats[player_id],_players[[#This Row],[player_id]])</f>
        <v>10</v>
      </c>
      <c r="E120" s="16">
        <f>SUMIFS(_stats[wins_on_date],_stats[player_id],_players[[#This Row],[player_id]])</f>
        <v>56</v>
      </c>
      <c r="F120" s="16">
        <f>SUMIFS(_stats[draws_on_date],_stats[player_id],_players[[#This Row],[player_id]])</f>
        <v>23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67</v>
      </c>
      <c r="F121" s="16">
        <f>SUMIFS(_stats[draws_on_date],_stats[player_id],_players[[#This Row],[player_id]])</f>
        <v>25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13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31</v>
      </c>
      <c r="F126" s="16">
        <f>SUMIFS(_stats[draws_on_date],_stats[player_id],_players[[#This Row],[player_id]])</f>
        <v>17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13</v>
      </c>
      <c r="F134" s="16">
        <f>SUMIFS(_stats[draws_on_date],_stats[player_id],_players[[#This Row],[player_id]])</f>
        <v>4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26</v>
      </c>
      <c r="F152" s="16">
        <f>SUMIFS(_stats[draws_on_date],_stats[player_id],_players[[#This Row],[player_id]])</f>
        <v>7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5</v>
      </c>
      <c r="F164" s="16">
        <f>SUMIFS(_stats[draws_on_date],_stats[player_id],_players[[#This Row],[player_id]])</f>
        <v>1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2</v>
      </c>
      <c r="F185" s="73">
        <f>SUMIFS(_stats[draws_on_date],_stats[player_id],_players[[#This Row],[player_id]])</f>
        <v>0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3</v>
      </c>
      <c r="F186" s="73">
        <f>SUMIFS(_stats[draws_on_date],_stats[player_id],_players[[#This Row],[player_id]])</f>
        <v>1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79"/>
  <sheetViews>
    <sheetView topLeftCell="A1540" workbookViewId="0">
      <selection activeCell="A1549" sqref="A1549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0"/>
  <sheetViews>
    <sheetView topLeftCell="C190" workbookViewId="0">
      <selection activeCell="E217" sqref="E217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0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F32" sqref="F32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69" workbookViewId="0">
      <selection activeCell="I197" sqref="I197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60"/>
      <c r="B199" s="60"/>
      <c r="C199" s="62"/>
      <c r="D199" s="60"/>
    </row>
    <row r="200" spans="1:4" x14ac:dyDescent="0.25">
      <c r="A200" s="60"/>
      <c r="B200" s="60"/>
      <c r="C200" s="62"/>
      <c r="D200" s="60"/>
    </row>
    <row r="201" spans="1:4" x14ac:dyDescent="0.25">
      <c r="A201" s="60"/>
      <c r="B201" s="60"/>
      <c r="C201" s="62"/>
      <c r="D201" s="60"/>
    </row>
    <row r="202" spans="1:4" x14ac:dyDescent="0.25">
      <c r="A202" s="60"/>
      <c r="B202" s="60"/>
      <c r="C202" s="62"/>
      <c r="D202" s="60"/>
    </row>
    <row r="203" spans="1:4" x14ac:dyDescent="0.25">
      <c r="A203" s="60"/>
      <c r="B203" s="60"/>
      <c r="C203" s="62"/>
      <c r="D203" s="60"/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</hyperlinks>
  <pageMargins left="0.7" right="0.7" top="0.75" bottom="0.75" header="0.3" footer="0.3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2026-07-26T14:58:48Z</dcterms:modified>
</cp:coreProperties>
</file>