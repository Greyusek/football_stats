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1E68005F-DA46-4109-9EE7-1FC9F15393BE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618" i="2" l="1"/>
  <c r="G1618" i="2"/>
  <c r="D1618" i="2"/>
  <c r="D1617" i="2"/>
  <c r="H1617" i="2"/>
  <c r="G1617" i="2"/>
  <c r="G195" i="1"/>
  <c r="D195" i="1"/>
  <c r="C195" i="1"/>
  <c r="G194" i="1"/>
  <c r="D194" i="1"/>
  <c r="C194" i="1"/>
  <c r="G193" i="1"/>
  <c r="D193" i="1"/>
  <c r="C193" i="1"/>
  <c r="G192" i="1"/>
  <c r="D192" i="1"/>
  <c r="C192" i="1"/>
  <c r="G191" i="1"/>
  <c r="D191" i="1"/>
  <c r="C191" i="1"/>
  <c r="D1633" i="2"/>
  <c r="D1632" i="2"/>
  <c r="D1631" i="2"/>
  <c r="D1630" i="2"/>
  <c r="D1629" i="2"/>
  <c r="D1628" i="2"/>
  <c r="D1627" i="2"/>
  <c r="D1626" i="2"/>
  <c r="D1625" i="2"/>
  <c r="D1624" i="2"/>
  <c r="D1623" i="2"/>
  <c r="D1622" i="2"/>
  <c r="D1621" i="2"/>
  <c r="D1620" i="2"/>
  <c r="D1619" i="2"/>
  <c r="D1616" i="2"/>
  <c r="D1615" i="2"/>
  <c r="D1614" i="2"/>
  <c r="D1613" i="2"/>
  <c r="D1612" i="2"/>
  <c r="D1611" i="2"/>
  <c r="D1610" i="2"/>
  <c r="D1609" i="2"/>
  <c r="D1608" i="2"/>
  <c r="D1607" i="2"/>
  <c r="D1606" i="2"/>
  <c r="D1605" i="2"/>
  <c r="D1604" i="2"/>
  <c r="H1633" i="2"/>
  <c r="F195" i="1" s="1"/>
  <c r="G1633" i="2"/>
  <c r="E195" i="1" s="1"/>
  <c r="H1632" i="2"/>
  <c r="G1632" i="2"/>
  <c r="H1631" i="2"/>
  <c r="F194" i="1" s="1"/>
  <c r="G1631" i="2"/>
  <c r="E194" i="1" s="1"/>
  <c r="H1630" i="2"/>
  <c r="F193" i="1" s="1"/>
  <c r="G1630" i="2"/>
  <c r="E193" i="1" s="1"/>
  <c r="H1629" i="2"/>
  <c r="G1629" i="2"/>
  <c r="H1628" i="2"/>
  <c r="G1628" i="2"/>
  <c r="H1627" i="2"/>
  <c r="F192" i="1" s="1"/>
  <c r="G1627" i="2"/>
  <c r="E192" i="1" s="1"/>
  <c r="H1626" i="2"/>
  <c r="G1626" i="2"/>
  <c r="H1625" i="2"/>
  <c r="G1625" i="2"/>
  <c r="H1624" i="2"/>
  <c r="F191" i="1" s="1"/>
  <c r="G1624" i="2"/>
  <c r="E191" i="1" s="1"/>
  <c r="H1623" i="2"/>
  <c r="G1623" i="2"/>
  <c r="H1622" i="2"/>
  <c r="G1622" i="2"/>
  <c r="H1621" i="2"/>
  <c r="G1621" i="2"/>
  <c r="H1620" i="2"/>
  <c r="G1620" i="2"/>
  <c r="H1619" i="2"/>
  <c r="G1619" i="2"/>
  <c r="H1616" i="2"/>
  <c r="G1616" i="2"/>
  <c r="H1615" i="2"/>
  <c r="G1615" i="2"/>
  <c r="H1614" i="2"/>
  <c r="G1614" i="2"/>
  <c r="H1613" i="2"/>
  <c r="G1613" i="2"/>
  <c r="H1612" i="2"/>
  <c r="G1612" i="2"/>
  <c r="H1611" i="2"/>
  <c r="G1611" i="2"/>
  <c r="H1610" i="2"/>
  <c r="G1610" i="2"/>
  <c r="H1609" i="2"/>
  <c r="G1609" i="2"/>
  <c r="H1608" i="2"/>
  <c r="G1608" i="2"/>
  <c r="H1607" i="2"/>
  <c r="G1607" i="2"/>
  <c r="H1606" i="2"/>
  <c r="G1606" i="2"/>
  <c r="H1605" i="2"/>
  <c r="G1605" i="2"/>
  <c r="H1604" i="2"/>
  <c r="G1604" i="2"/>
  <c r="N1633" i="2"/>
  <c r="L1628" i="2"/>
  <c r="N1627" i="2"/>
  <c r="L1622" i="2"/>
  <c r="N1621" i="2"/>
  <c r="L1614" i="2"/>
  <c r="N1613" i="2"/>
  <c r="L1608" i="2"/>
  <c r="N1607" i="2"/>
  <c r="F225" i="3"/>
  <c r="H224" i="3"/>
  <c r="D1590" i="2"/>
  <c r="G190" i="1"/>
  <c r="D190" i="1"/>
  <c r="C190" i="1"/>
  <c r="G189" i="1"/>
  <c r="D189" i="1"/>
  <c r="C189" i="1"/>
  <c r="D1603" i="2"/>
  <c r="D1602" i="2"/>
  <c r="D1601" i="2"/>
  <c r="D1600" i="2"/>
  <c r="D1599" i="2"/>
  <c r="D1598" i="2"/>
  <c r="D1597" i="2"/>
  <c r="D1596" i="2"/>
  <c r="D1595" i="2"/>
  <c r="D1594" i="2"/>
  <c r="D1593" i="2"/>
  <c r="D1592" i="2"/>
  <c r="D1591" i="2"/>
  <c r="D1589" i="2"/>
  <c r="D1588" i="2"/>
  <c r="D1587" i="2"/>
  <c r="D1586" i="2"/>
  <c r="D1585" i="2"/>
  <c r="D1584" i="2"/>
  <c r="D1583" i="2"/>
  <c r="D1582" i="2"/>
  <c r="D1581" i="2"/>
  <c r="D1580" i="2"/>
  <c r="H1603" i="2"/>
  <c r="F188" i="1" s="1"/>
  <c r="G1603" i="2"/>
  <c r="H1602" i="2"/>
  <c r="G1602" i="2"/>
  <c r="H1601" i="2"/>
  <c r="G1601" i="2"/>
  <c r="H1600" i="2"/>
  <c r="G1600" i="2"/>
  <c r="H1599" i="2"/>
  <c r="G1599" i="2"/>
  <c r="H1598" i="2"/>
  <c r="G1598" i="2"/>
  <c r="H1597" i="2"/>
  <c r="G1597" i="2"/>
  <c r="H1596" i="2"/>
  <c r="G1596" i="2"/>
  <c r="H1595" i="2"/>
  <c r="G1595" i="2"/>
  <c r="H1594" i="2"/>
  <c r="G1594" i="2"/>
  <c r="H1593" i="2"/>
  <c r="G1593" i="2"/>
  <c r="H1592" i="2"/>
  <c r="G1592" i="2"/>
  <c r="H1591" i="2"/>
  <c r="G1591" i="2"/>
  <c r="H1590" i="2"/>
  <c r="F190" i="1" s="1"/>
  <c r="G1590" i="2"/>
  <c r="E190" i="1" s="1"/>
  <c r="H1589" i="2"/>
  <c r="G1589" i="2"/>
  <c r="H1588" i="2"/>
  <c r="G1588" i="2"/>
  <c r="H1587" i="2"/>
  <c r="G1587" i="2"/>
  <c r="H1586" i="2"/>
  <c r="F189" i="1" s="1"/>
  <c r="G1586" i="2"/>
  <c r="E189" i="1" s="1"/>
  <c r="H1585" i="2"/>
  <c r="G1585" i="2"/>
  <c r="H1584" i="2"/>
  <c r="G1584" i="2"/>
  <c r="H1583" i="2"/>
  <c r="G1583" i="2"/>
  <c r="H1582" i="2"/>
  <c r="G1582" i="2"/>
  <c r="H1581" i="2"/>
  <c r="G1581" i="2"/>
  <c r="H1580" i="2"/>
  <c r="G1580" i="2"/>
  <c r="G188" i="1"/>
  <c r="E188" i="1"/>
  <c r="D188" i="1"/>
  <c r="C188" i="1"/>
  <c r="H1579" i="2"/>
  <c r="G1579" i="2"/>
  <c r="H1578" i="2"/>
  <c r="G1578" i="2"/>
  <c r="H1577" i="2"/>
  <c r="G1577" i="2"/>
  <c r="H1576" i="2"/>
  <c r="F187" i="1" s="1"/>
  <c r="G1576" i="2"/>
  <c r="E187" i="1" s="1"/>
  <c r="H1575" i="2"/>
  <c r="G1575" i="2"/>
  <c r="H1574" i="2"/>
  <c r="G1574" i="2"/>
  <c r="H1573" i="2"/>
  <c r="G1573" i="2"/>
  <c r="H1572" i="2"/>
  <c r="G1572" i="2"/>
  <c r="H1571" i="2"/>
  <c r="G1571" i="2"/>
  <c r="H1570" i="2"/>
  <c r="G1570" i="2"/>
  <c r="H1569" i="2"/>
  <c r="F185" i="1" s="1"/>
  <c r="G1569" i="2"/>
  <c r="H1568" i="2"/>
  <c r="F184" i="1" s="1"/>
  <c r="G1568" i="2"/>
  <c r="E184" i="1" s="1"/>
  <c r="H1567" i="2"/>
  <c r="G1567" i="2"/>
  <c r="H1566" i="2"/>
  <c r="G1566" i="2"/>
  <c r="H1565" i="2"/>
  <c r="G1565" i="2"/>
  <c r="H1564" i="2"/>
  <c r="G1564" i="2"/>
  <c r="H1563" i="2"/>
  <c r="G1563" i="2"/>
  <c r="H1562" i="2"/>
  <c r="G1562" i="2"/>
  <c r="H1561" i="2"/>
  <c r="G1561" i="2"/>
  <c r="H1560" i="2"/>
  <c r="G1560" i="2"/>
  <c r="H1559" i="2"/>
  <c r="G1559" i="2"/>
  <c r="H1558" i="2"/>
  <c r="G1558" i="2"/>
  <c r="H1557" i="2"/>
  <c r="G1557" i="2"/>
  <c r="H1556" i="2"/>
  <c r="G1556" i="2"/>
  <c r="H1555" i="2"/>
  <c r="G1555" i="2"/>
  <c r="H1554" i="2"/>
  <c r="G1554" i="2"/>
  <c r="H1553" i="2"/>
  <c r="G1553" i="2"/>
  <c r="H1552" i="2"/>
  <c r="G1552" i="2"/>
  <c r="H1551" i="2"/>
  <c r="G1551" i="2"/>
  <c r="H1550" i="2"/>
  <c r="G1550" i="2"/>
  <c r="D1579" i="2"/>
  <c r="D1578" i="2"/>
  <c r="D1577" i="2"/>
  <c r="D1576" i="2"/>
  <c r="D1575" i="2"/>
  <c r="D1574" i="2"/>
  <c r="D1573" i="2"/>
  <c r="D1572" i="2"/>
  <c r="D1571" i="2"/>
  <c r="D1570" i="2"/>
  <c r="D1569" i="2"/>
  <c r="D1568" i="2"/>
  <c r="D1567" i="2"/>
  <c r="D1566" i="2"/>
  <c r="D1565" i="2"/>
  <c r="D1564" i="2"/>
  <c r="D1563" i="2"/>
  <c r="D1562" i="2"/>
  <c r="D1561" i="2"/>
  <c r="D1560" i="2"/>
  <c r="D1559" i="2"/>
  <c r="D1558" i="2"/>
  <c r="D1557" i="2"/>
  <c r="D1556" i="2"/>
  <c r="D1555" i="2"/>
  <c r="D1554" i="2"/>
  <c r="D1553" i="2"/>
  <c r="D1552" i="2"/>
  <c r="D1551" i="2"/>
  <c r="G187" i="1"/>
  <c r="D187" i="1"/>
  <c r="C187" i="1"/>
  <c r="G186" i="1"/>
  <c r="D186" i="1"/>
  <c r="C186" i="1"/>
  <c r="G185" i="1"/>
  <c r="D185" i="1"/>
  <c r="C185" i="1"/>
  <c r="G184" i="1"/>
  <c r="D184" i="1"/>
  <c r="C184" i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49" i="2"/>
  <c r="G1548" i="2"/>
  <c r="G1547" i="2"/>
  <c r="E183" i="1" s="1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D183" i="1"/>
  <c r="C183" i="1"/>
  <c r="A8" i="4"/>
  <c r="A7" i="4"/>
  <c r="A6" i="4"/>
  <c r="A5" i="4"/>
  <c r="A4" i="4"/>
  <c r="A3" i="4"/>
  <c r="A2" i="4"/>
  <c r="L1600" i="2" s="1"/>
  <c r="H1523" i="2"/>
  <c r="G1523" i="2"/>
  <c r="D1523" i="2"/>
  <c r="H1522" i="2"/>
  <c r="G1522" i="2"/>
  <c r="D1522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E181" i="1" s="1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F178" i="1" s="1"/>
  <c r="G1493" i="2"/>
  <c r="E178" i="1" s="1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H1474" i="2"/>
  <c r="G1474" i="2"/>
  <c r="D1474" i="2"/>
  <c r="H1473" i="2"/>
  <c r="G1473" i="2"/>
  <c r="D1473" i="2"/>
  <c r="H1472" i="2"/>
  <c r="F174" i="1" s="1"/>
  <c r="G1472" i="2"/>
  <c r="E174" i="1" s="1"/>
  <c r="D1472" i="2"/>
  <c r="H1471" i="2"/>
  <c r="G1471" i="2"/>
  <c r="D1471" i="2"/>
  <c r="H1470" i="2"/>
  <c r="F173" i="1" s="1"/>
  <c r="G1470" i="2"/>
  <c r="E173" i="1" s="1"/>
  <c r="D1470" i="2"/>
  <c r="H1469" i="2"/>
  <c r="G1469" i="2"/>
  <c r="D1469" i="2"/>
  <c r="H1468" i="2"/>
  <c r="F171" i="1" s="1"/>
  <c r="G1468" i="2"/>
  <c r="E171" i="1" s="1"/>
  <c r="D1468" i="2"/>
  <c r="H1467" i="2"/>
  <c r="F170" i="1" s="1"/>
  <c r="G1467" i="2"/>
  <c r="E170" i="1" s="1"/>
  <c r="D1467" i="2"/>
  <c r="H1466" i="2"/>
  <c r="F169" i="1" s="1"/>
  <c r="G1466" i="2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F176" i="1" s="1"/>
  <c r="G1463" i="2"/>
  <c r="E176" i="1" s="1"/>
  <c r="D1463" i="2"/>
  <c r="H1462" i="2"/>
  <c r="F175" i="1" s="1"/>
  <c r="G1462" i="2"/>
  <c r="D1462" i="2"/>
  <c r="H1461" i="2"/>
  <c r="F167" i="1" s="1"/>
  <c r="G1461" i="2"/>
  <c r="E167" i="1" s="1"/>
  <c r="D1461" i="2"/>
  <c r="H1460" i="2"/>
  <c r="F166" i="1" s="1"/>
  <c r="G1460" i="2"/>
  <c r="E166" i="1" s="1"/>
  <c r="D1460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F165" i="1" s="1"/>
  <c r="G1455" i="2"/>
  <c r="E165" i="1" s="1"/>
  <c r="D1455" i="2"/>
  <c r="H1454" i="2"/>
  <c r="G1454" i="2"/>
  <c r="D1454" i="2"/>
  <c r="H1453" i="2"/>
  <c r="G1453" i="2"/>
  <c r="D1453" i="2"/>
  <c r="H1452" i="2"/>
  <c r="G1452" i="2"/>
  <c r="D1452" i="2"/>
  <c r="H1451" i="2"/>
  <c r="G1451" i="2"/>
  <c r="D1451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F163" i="1" s="1"/>
  <c r="G1442" i="2"/>
  <c r="E163" i="1" s="1"/>
  <c r="D1442" i="2"/>
  <c r="H1441" i="2"/>
  <c r="G1441" i="2"/>
  <c r="D1441" i="2"/>
  <c r="H1440" i="2"/>
  <c r="G1440" i="2"/>
  <c r="D1440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H1432" i="2"/>
  <c r="G1432" i="2"/>
  <c r="D1432" i="2"/>
  <c r="H1431" i="2"/>
  <c r="G1431" i="2"/>
  <c r="D1431" i="2"/>
  <c r="H1430" i="2"/>
  <c r="G1430" i="2"/>
  <c r="D1430" i="2"/>
  <c r="H1429" i="2"/>
  <c r="G1429" i="2"/>
  <c r="D1429" i="2"/>
  <c r="H1428" i="2"/>
  <c r="G1428" i="2"/>
  <c r="D1428" i="2"/>
  <c r="H1427" i="2"/>
  <c r="G1427" i="2"/>
  <c r="D1427" i="2"/>
  <c r="H1426" i="2"/>
  <c r="G1426" i="2"/>
  <c r="D1426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H1414" i="2"/>
  <c r="G1414" i="2"/>
  <c r="D1414" i="2"/>
  <c r="H1413" i="2"/>
  <c r="G1413" i="2"/>
  <c r="D1413" i="2"/>
  <c r="H1412" i="2"/>
  <c r="G1412" i="2"/>
  <c r="D1412" i="2"/>
  <c r="H1411" i="2"/>
  <c r="G1411" i="2"/>
  <c r="D1411" i="2"/>
  <c r="H1410" i="2"/>
  <c r="G1410" i="2"/>
  <c r="D1410" i="2"/>
  <c r="H1409" i="2"/>
  <c r="G1409" i="2"/>
  <c r="D1409" i="2"/>
  <c r="H1408" i="2"/>
  <c r="G1408" i="2"/>
  <c r="D1408" i="2"/>
  <c r="H1407" i="2"/>
  <c r="G1407" i="2"/>
  <c r="E162" i="1" s="1"/>
  <c r="D1407" i="2"/>
  <c r="H1406" i="2"/>
  <c r="F161" i="1" s="1"/>
  <c r="G1406" i="2"/>
  <c r="E161" i="1" s="1"/>
  <c r="D1406" i="2"/>
  <c r="H1405" i="2"/>
  <c r="F160" i="1" s="1"/>
  <c r="G1405" i="2"/>
  <c r="E160" i="1" s="1"/>
  <c r="D1405" i="2"/>
  <c r="H1404" i="2"/>
  <c r="F159" i="1" s="1"/>
  <c r="G1404" i="2"/>
  <c r="E159" i="1" s="1"/>
  <c r="D1404" i="2"/>
  <c r="H1403" i="2"/>
  <c r="G1403" i="2"/>
  <c r="D1403" i="2"/>
  <c r="H1402" i="2"/>
  <c r="G1402" i="2"/>
  <c r="D1402" i="2"/>
  <c r="H1401" i="2"/>
  <c r="G1401" i="2"/>
  <c r="D1401" i="2"/>
  <c r="H1400" i="2"/>
  <c r="G1400" i="2"/>
  <c r="D1400" i="2"/>
  <c r="H1399" i="2"/>
  <c r="G1399" i="2"/>
  <c r="D1399" i="2"/>
  <c r="H1398" i="2"/>
  <c r="G1398" i="2"/>
  <c r="D1398" i="2"/>
  <c r="H1397" i="2"/>
  <c r="G1397" i="2"/>
  <c r="D1397" i="2"/>
  <c r="H1396" i="2"/>
  <c r="G1396" i="2"/>
  <c r="D1396" i="2"/>
  <c r="H1395" i="2"/>
  <c r="G1395" i="2"/>
  <c r="D1395" i="2"/>
  <c r="H1394" i="2"/>
  <c r="G1394" i="2"/>
  <c r="D1394" i="2"/>
  <c r="H1393" i="2"/>
  <c r="G1393" i="2"/>
  <c r="D1393" i="2"/>
  <c r="H1392" i="2"/>
  <c r="G1392" i="2"/>
  <c r="D1392" i="2"/>
  <c r="H1391" i="2"/>
  <c r="G1391" i="2"/>
  <c r="D1391" i="2"/>
  <c r="H1390" i="2"/>
  <c r="G1390" i="2"/>
  <c r="D1390" i="2"/>
  <c r="H1389" i="2"/>
  <c r="G1389" i="2"/>
  <c r="D1389" i="2"/>
  <c r="H1388" i="2"/>
  <c r="G1388" i="2"/>
  <c r="D1388" i="2"/>
  <c r="H1387" i="2"/>
  <c r="G1387" i="2"/>
  <c r="D1387" i="2"/>
  <c r="H1386" i="2"/>
  <c r="G1386" i="2"/>
  <c r="D1386" i="2"/>
  <c r="H1385" i="2"/>
  <c r="G1385" i="2"/>
  <c r="D1385" i="2"/>
  <c r="H1384" i="2"/>
  <c r="G1384" i="2"/>
  <c r="D1384" i="2"/>
  <c r="H1383" i="2"/>
  <c r="G1383" i="2"/>
  <c r="D1383" i="2"/>
  <c r="H1382" i="2"/>
  <c r="G1382" i="2"/>
  <c r="D1382" i="2"/>
  <c r="H1381" i="2"/>
  <c r="G1381" i="2"/>
  <c r="D1381" i="2"/>
  <c r="H1380" i="2"/>
  <c r="G1380" i="2"/>
  <c r="D1380" i="2"/>
  <c r="H1379" i="2"/>
  <c r="G1379" i="2"/>
  <c r="D1379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H1374" i="2"/>
  <c r="G1374" i="2"/>
  <c r="D1374" i="2"/>
  <c r="H1373" i="2"/>
  <c r="G1373" i="2"/>
  <c r="D1373" i="2"/>
  <c r="H1372" i="2"/>
  <c r="G1372" i="2"/>
  <c r="D1372" i="2"/>
  <c r="H1371" i="2"/>
  <c r="G1371" i="2"/>
  <c r="D1371" i="2"/>
  <c r="H1370" i="2"/>
  <c r="G1370" i="2"/>
  <c r="D1370" i="2"/>
  <c r="H1369" i="2"/>
  <c r="G1369" i="2"/>
  <c r="D1369" i="2"/>
  <c r="H1368" i="2"/>
  <c r="G1368" i="2"/>
  <c r="D1368" i="2"/>
  <c r="H1367" i="2"/>
  <c r="G1367" i="2"/>
  <c r="D1367" i="2"/>
  <c r="H1366" i="2"/>
  <c r="F157" i="1" s="1"/>
  <c r="G1366" i="2"/>
  <c r="E157" i="1" s="1"/>
  <c r="D1366" i="2"/>
  <c r="H1365" i="2"/>
  <c r="F158" i="1" s="1"/>
  <c r="G1365" i="2"/>
  <c r="E158" i="1" s="1"/>
  <c r="D1365" i="2"/>
  <c r="H1364" i="2"/>
  <c r="F156" i="1" s="1"/>
  <c r="G1364" i="2"/>
  <c r="E156" i="1" s="1"/>
  <c r="D1364" i="2"/>
  <c r="H1363" i="2"/>
  <c r="F155" i="1" s="1"/>
  <c r="G1363" i="2"/>
  <c r="E155" i="1" s="1"/>
  <c r="D1363" i="2"/>
  <c r="H1362" i="2"/>
  <c r="G1362" i="2"/>
  <c r="D1362" i="2"/>
  <c r="H1361" i="2"/>
  <c r="F154" i="1" s="1"/>
  <c r="G1361" i="2"/>
  <c r="E154" i="1" s="1"/>
  <c r="D1361" i="2"/>
  <c r="H1360" i="2"/>
  <c r="F153" i="1" s="1"/>
  <c r="G1360" i="2"/>
  <c r="E153" i="1" s="1"/>
  <c r="D1360" i="2"/>
  <c r="H1359" i="2"/>
  <c r="G1359" i="2"/>
  <c r="D1359" i="2"/>
  <c r="H1358" i="2"/>
  <c r="G1358" i="2"/>
  <c r="D1358" i="2"/>
  <c r="H1357" i="2"/>
  <c r="G1357" i="2"/>
  <c r="D1357" i="2"/>
  <c r="H1356" i="2"/>
  <c r="G1356" i="2"/>
  <c r="D1356" i="2"/>
  <c r="H1355" i="2"/>
  <c r="G1355" i="2"/>
  <c r="D1355" i="2"/>
  <c r="H1354" i="2"/>
  <c r="G1354" i="2"/>
  <c r="D1354" i="2"/>
  <c r="H1353" i="2"/>
  <c r="G1353" i="2"/>
  <c r="D1353" i="2"/>
  <c r="H1352" i="2"/>
  <c r="F150" i="1" s="1"/>
  <c r="G1352" i="2"/>
  <c r="E150" i="1" s="1"/>
  <c r="D1352" i="2"/>
  <c r="H1351" i="2"/>
  <c r="G1351" i="2"/>
  <c r="D1351" i="2"/>
  <c r="H1350" i="2"/>
  <c r="G1350" i="2"/>
  <c r="D1350" i="2"/>
  <c r="H1349" i="2"/>
  <c r="G1349" i="2"/>
  <c r="D1349" i="2"/>
  <c r="H1348" i="2"/>
  <c r="G1348" i="2"/>
  <c r="D1348" i="2"/>
  <c r="H1347" i="2"/>
  <c r="G1347" i="2"/>
  <c r="D1347" i="2"/>
  <c r="H1346" i="2"/>
  <c r="G1346" i="2"/>
  <c r="D1346" i="2"/>
  <c r="H1345" i="2"/>
  <c r="G1345" i="2"/>
  <c r="D1345" i="2"/>
  <c r="H1344" i="2"/>
  <c r="G1344" i="2"/>
  <c r="D1344" i="2"/>
  <c r="H1343" i="2"/>
  <c r="G1343" i="2"/>
  <c r="D1343" i="2"/>
  <c r="H1342" i="2"/>
  <c r="G1342" i="2"/>
  <c r="D1342" i="2"/>
  <c r="H1341" i="2"/>
  <c r="G1341" i="2"/>
  <c r="D1341" i="2"/>
  <c r="H1340" i="2"/>
  <c r="G1340" i="2"/>
  <c r="D1340" i="2"/>
  <c r="H1339" i="2"/>
  <c r="G1339" i="2"/>
  <c r="D1339" i="2"/>
  <c r="H1338" i="2"/>
  <c r="F149" i="1" s="1"/>
  <c r="G1338" i="2"/>
  <c r="D1338" i="2"/>
  <c r="H1337" i="2"/>
  <c r="G1337" i="2"/>
  <c r="D1337" i="2"/>
  <c r="H1336" i="2"/>
  <c r="G1336" i="2"/>
  <c r="D1336" i="2"/>
  <c r="H1335" i="2"/>
  <c r="G1335" i="2"/>
  <c r="D1335" i="2"/>
  <c r="H1334" i="2"/>
  <c r="G1334" i="2"/>
  <c r="D1334" i="2"/>
  <c r="H1333" i="2"/>
  <c r="G1333" i="2"/>
  <c r="D1333" i="2"/>
  <c r="H1332" i="2"/>
  <c r="G1332" i="2"/>
  <c r="D1332" i="2"/>
  <c r="H1331" i="2"/>
  <c r="G1331" i="2"/>
  <c r="D1331" i="2"/>
  <c r="H1330" i="2"/>
  <c r="G1330" i="2"/>
  <c r="D1330" i="2"/>
  <c r="H1329" i="2"/>
  <c r="G1329" i="2"/>
  <c r="D1329" i="2"/>
  <c r="H1328" i="2"/>
  <c r="G1328" i="2"/>
  <c r="D1328" i="2"/>
  <c r="H1327" i="2"/>
  <c r="G1327" i="2"/>
  <c r="D1327" i="2"/>
  <c r="H1326" i="2"/>
  <c r="G1326" i="2"/>
  <c r="D1326" i="2"/>
  <c r="H1325" i="2"/>
  <c r="G1325" i="2"/>
  <c r="D1325" i="2"/>
  <c r="H1324" i="2"/>
  <c r="G1324" i="2"/>
  <c r="D1324" i="2"/>
  <c r="H1323" i="2"/>
  <c r="G1323" i="2"/>
  <c r="D1323" i="2"/>
  <c r="H1322" i="2"/>
  <c r="G1322" i="2"/>
  <c r="D1322" i="2"/>
  <c r="H1321" i="2"/>
  <c r="G1321" i="2"/>
  <c r="D1321" i="2"/>
  <c r="H1320" i="2"/>
  <c r="G1320" i="2"/>
  <c r="D1320" i="2"/>
  <c r="H1319" i="2"/>
  <c r="G1319" i="2"/>
  <c r="D1319" i="2"/>
  <c r="H1318" i="2"/>
  <c r="G1318" i="2"/>
  <c r="D1318" i="2"/>
  <c r="H1317" i="2"/>
  <c r="G1317" i="2"/>
  <c r="D1317" i="2"/>
  <c r="H1316" i="2"/>
  <c r="G1316" i="2"/>
  <c r="D1316" i="2"/>
  <c r="H1315" i="2"/>
  <c r="G1315" i="2"/>
  <c r="D1315" i="2"/>
  <c r="H1314" i="2"/>
  <c r="G1314" i="2"/>
  <c r="D1314" i="2"/>
  <c r="H1313" i="2"/>
  <c r="G1313" i="2"/>
  <c r="D1313" i="2"/>
  <c r="H1312" i="2"/>
  <c r="G1312" i="2"/>
  <c r="D1312" i="2"/>
  <c r="H1311" i="2"/>
  <c r="G1311" i="2"/>
  <c r="D1311" i="2"/>
  <c r="H1310" i="2"/>
  <c r="G1310" i="2"/>
  <c r="D1310" i="2"/>
  <c r="H1309" i="2"/>
  <c r="G1309" i="2"/>
  <c r="D1309" i="2"/>
  <c r="H1308" i="2"/>
  <c r="G1308" i="2"/>
  <c r="D1308" i="2"/>
  <c r="H1307" i="2"/>
  <c r="G1307" i="2"/>
  <c r="D1307" i="2"/>
  <c r="H1306" i="2"/>
  <c r="G1306" i="2"/>
  <c r="D1306" i="2"/>
  <c r="H1305" i="2"/>
  <c r="G1305" i="2"/>
  <c r="D1305" i="2"/>
  <c r="H1304" i="2"/>
  <c r="G1304" i="2"/>
  <c r="D1304" i="2"/>
  <c r="H1303" i="2"/>
  <c r="G1303" i="2"/>
  <c r="D1303" i="2"/>
  <c r="H1302" i="2"/>
  <c r="G1302" i="2"/>
  <c r="D1302" i="2"/>
  <c r="H1301" i="2"/>
  <c r="G1301" i="2"/>
  <c r="D1301" i="2"/>
  <c r="H1300" i="2"/>
  <c r="G1300" i="2"/>
  <c r="D1300" i="2"/>
  <c r="H1299" i="2"/>
  <c r="G1299" i="2"/>
  <c r="D1299" i="2"/>
  <c r="H1298" i="2"/>
  <c r="G1298" i="2"/>
  <c r="D1298" i="2"/>
  <c r="H1297" i="2"/>
  <c r="G1297" i="2"/>
  <c r="D1297" i="2"/>
  <c r="H1296" i="2"/>
  <c r="G1296" i="2"/>
  <c r="D1296" i="2"/>
  <c r="H1295" i="2"/>
  <c r="G1295" i="2"/>
  <c r="D1295" i="2"/>
  <c r="H1294" i="2"/>
  <c r="G1294" i="2"/>
  <c r="D1294" i="2"/>
  <c r="H1293" i="2"/>
  <c r="G1293" i="2"/>
  <c r="D1293" i="2"/>
  <c r="H1292" i="2"/>
  <c r="G1292" i="2"/>
  <c r="D1292" i="2"/>
  <c r="H1291" i="2"/>
  <c r="G1291" i="2"/>
  <c r="D1291" i="2"/>
  <c r="H1290" i="2"/>
  <c r="G1290" i="2"/>
  <c r="D1290" i="2"/>
  <c r="H1289" i="2"/>
  <c r="G1289" i="2"/>
  <c r="D1289" i="2"/>
  <c r="H1288" i="2"/>
  <c r="G1288" i="2"/>
  <c r="D1288" i="2"/>
  <c r="H1287" i="2"/>
  <c r="G1287" i="2"/>
  <c r="D1287" i="2"/>
  <c r="H1286" i="2"/>
  <c r="G1286" i="2"/>
  <c r="D1286" i="2"/>
  <c r="H1285" i="2"/>
  <c r="G1285" i="2"/>
  <c r="D1285" i="2"/>
  <c r="H1284" i="2"/>
  <c r="G1284" i="2"/>
  <c r="D1284" i="2"/>
  <c r="H1283" i="2"/>
  <c r="G1283" i="2"/>
  <c r="D1283" i="2"/>
  <c r="H1282" i="2"/>
  <c r="G1282" i="2"/>
  <c r="D1282" i="2"/>
  <c r="H1281" i="2"/>
  <c r="G1281" i="2"/>
  <c r="D1281" i="2"/>
  <c r="H1280" i="2"/>
  <c r="G1280" i="2"/>
  <c r="D1280" i="2"/>
  <c r="H1279" i="2"/>
  <c r="G1279" i="2"/>
  <c r="D1279" i="2"/>
  <c r="H1278" i="2"/>
  <c r="G1278" i="2"/>
  <c r="D1278" i="2"/>
  <c r="H1277" i="2"/>
  <c r="G1277" i="2"/>
  <c r="D1277" i="2"/>
  <c r="H1276" i="2"/>
  <c r="G1276" i="2"/>
  <c r="D1276" i="2"/>
  <c r="H1275" i="2"/>
  <c r="G1275" i="2"/>
  <c r="D1275" i="2"/>
  <c r="H1274" i="2"/>
  <c r="G1274" i="2"/>
  <c r="D1274" i="2"/>
  <c r="H1273" i="2"/>
  <c r="G1273" i="2"/>
  <c r="D1273" i="2"/>
  <c r="H1272" i="2"/>
  <c r="G1272" i="2"/>
  <c r="D1272" i="2"/>
  <c r="H1271" i="2"/>
  <c r="G1271" i="2"/>
  <c r="D1271" i="2"/>
  <c r="H1270" i="2"/>
  <c r="G1270" i="2"/>
  <c r="D1270" i="2"/>
  <c r="H1269" i="2"/>
  <c r="G1269" i="2"/>
  <c r="D1269" i="2"/>
  <c r="H1268" i="2"/>
  <c r="G1268" i="2"/>
  <c r="D1268" i="2"/>
  <c r="H1267" i="2"/>
  <c r="G1267" i="2"/>
  <c r="D1267" i="2"/>
  <c r="H1266" i="2"/>
  <c r="G1266" i="2"/>
  <c r="D1266" i="2"/>
  <c r="H1265" i="2"/>
  <c r="G1265" i="2"/>
  <c r="D1265" i="2"/>
  <c r="H1264" i="2"/>
  <c r="G1264" i="2"/>
  <c r="D1264" i="2"/>
  <c r="H1263" i="2"/>
  <c r="G1263" i="2"/>
  <c r="D1263" i="2"/>
  <c r="H1262" i="2"/>
  <c r="G1262" i="2"/>
  <c r="D1262" i="2"/>
  <c r="H1261" i="2"/>
  <c r="G1261" i="2"/>
  <c r="D1261" i="2"/>
  <c r="H1260" i="2"/>
  <c r="G1260" i="2"/>
  <c r="D1260" i="2"/>
  <c r="H1259" i="2"/>
  <c r="G1259" i="2"/>
  <c r="D1259" i="2"/>
  <c r="H1258" i="2"/>
  <c r="G1258" i="2"/>
  <c r="D1258" i="2"/>
  <c r="H1257" i="2"/>
  <c r="G1257" i="2"/>
  <c r="D1257" i="2"/>
  <c r="H1256" i="2"/>
  <c r="G1256" i="2"/>
  <c r="D1256" i="2"/>
  <c r="H1255" i="2"/>
  <c r="G1255" i="2"/>
  <c r="D1255" i="2"/>
  <c r="H1254" i="2"/>
  <c r="G1254" i="2"/>
  <c r="D1254" i="2"/>
  <c r="H1253" i="2"/>
  <c r="G1253" i="2"/>
  <c r="D1253" i="2"/>
  <c r="H1252" i="2"/>
  <c r="G1252" i="2"/>
  <c r="D1252" i="2"/>
  <c r="H1251" i="2"/>
  <c r="G1251" i="2"/>
  <c r="D1251" i="2"/>
  <c r="H1250" i="2"/>
  <c r="G1250" i="2"/>
  <c r="D1250" i="2"/>
  <c r="H1249" i="2"/>
  <c r="G1249" i="2"/>
  <c r="D1249" i="2"/>
  <c r="H1248" i="2"/>
  <c r="G1248" i="2"/>
  <c r="D1248" i="2"/>
  <c r="H1247" i="2"/>
  <c r="G1247" i="2"/>
  <c r="D1247" i="2"/>
  <c r="H1246" i="2"/>
  <c r="G1246" i="2"/>
  <c r="D1246" i="2"/>
  <c r="H1245" i="2"/>
  <c r="G1245" i="2"/>
  <c r="D1245" i="2"/>
  <c r="H1244" i="2"/>
  <c r="G1244" i="2"/>
  <c r="D1244" i="2"/>
  <c r="H1243" i="2"/>
  <c r="G1243" i="2"/>
  <c r="D1243" i="2"/>
  <c r="H1242" i="2"/>
  <c r="G1242" i="2"/>
  <c r="D1242" i="2"/>
  <c r="H1241" i="2"/>
  <c r="G1241" i="2"/>
  <c r="D1241" i="2"/>
  <c r="H1240" i="2"/>
  <c r="G1240" i="2"/>
  <c r="D1240" i="2"/>
  <c r="H1239" i="2"/>
  <c r="G1239" i="2"/>
  <c r="D1239" i="2"/>
  <c r="H1238" i="2"/>
  <c r="G1238" i="2"/>
  <c r="D1238" i="2"/>
  <c r="H1237" i="2"/>
  <c r="G1237" i="2"/>
  <c r="D1237" i="2"/>
  <c r="H1236" i="2"/>
  <c r="G1236" i="2"/>
  <c r="D1236" i="2"/>
  <c r="H1235" i="2"/>
  <c r="G1235" i="2"/>
  <c r="D1235" i="2"/>
  <c r="H1234" i="2"/>
  <c r="G1234" i="2"/>
  <c r="D1234" i="2"/>
  <c r="H1233" i="2"/>
  <c r="F146" i="1" s="1"/>
  <c r="G1233" i="2"/>
  <c r="E146" i="1" s="1"/>
  <c r="D1233" i="2"/>
  <c r="H1232" i="2"/>
  <c r="G1232" i="2"/>
  <c r="D1232" i="2"/>
  <c r="H1231" i="2"/>
  <c r="G1231" i="2"/>
  <c r="D1231" i="2"/>
  <c r="H1230" i="2"/>
  <c r="G1230" i="2"/>
  <c r="D1230" i="2"/>
  <c r="H1229" i="2"/>
  <c r="G1229" i="2"/>
  <c r="D1229" i="2"/>
  <c r="H1228" i="2"/>
  <c r="G1228" i="2"/>
  <c r="D1228" i="2"/>
  <c r="H1227" i="2"/>
  <c r="G1227" i="2"/>
  <c r="D1227" i="2"/>
  <c r="H1226" i="2"/>
  <c r="G1226" i="2"/>
  <c r="D1226" i="2"/>
  <c r="H1225" i="2"/>
  <c r="G1225" i="2"/>
  <c r="D1225" i="2"/>
  <c r="H1224" i="2"/>
  <c r="G1224" i="2"/>
  <c r="D1224" i="2"/>
  <c r="H1223" i="2"/>
  <c r="G1223" i="2"/>
  <c r="D1223" i="2"/>
  <c r="H1222" i="2"/>
  <c r="G1222" i="2"/>
  <c r="D1222" i="2"/>
  <c r="H1221" i="2"/>
  <c r="G1221" i="2"/>
  <c r="D1221" i="2"/>
  <c r="H1220" i="2"/>
  <c r="G1220" i="2"/>
  <c r="D1220" i="2"/>
  <c r="H1219" i="2"/>
  <c r="G1219" i="2"/>
  <c r="D1219" i="2"/>
  <c r="H1218" i="2"/>
  <c r="G1218" i="2"/>
  <c r="D1218" i="2"/>
  <c r="H1217" i="2"/>
  <c r="G1217" i="2"/>
  <c r="D1217" i="2"/>
  <c r="H1216" i="2"/>
  <c r="G1216" i="2"/>
  <c r="D1216" i="2"/>
  <c r="H1215" i="2"/>
  <c r="G1215" i="2"/>
  <c r="D1215" i="2"/>
  <c r="H1214" i="2"/>
  <c r="G1214" i="2"/>
  <c r="D1214" i="2"/>
  <c r="H1213" i="2"/>
  <c r="G1213" i="2"/>
  <c r="D1213" i="2"/>
  <c r="H1212" i="2"/>
  <c r="G1212" i="2"/>
  <c r="D1212" i="2"/>
  <c r="H1211" i="2"/>
  <c r="G1211" i="2"/>
  <c r="D1211" i="2"/>
  <c r="H1210" i="2"/>
  <c r="G1210" i="2"/>
  <c r="D1210" i="2"/>
  <c r="H1209" i="2"/>
  <c r="G1209" i="2"/>
  <c r="D1209" i="2"/>
  <c r="H1208" i="2"/>
  <c r="G1208" i="2"/>
  <c r="D1208" i="2"/>
  <c r="H1207" i="2"/>
  <c r="G1207" i="2"/>
  <c r="D1207" i="2"/>
  <c r="H1206" i="2"/>
  <c r="G1206" i="2"/>
  <c r="D1206" i="2"/>
  <c r="H1205" i="2"/>
  <c r="G1205" i="2"/>
  <c r="D1205" i="2"/>
  <c r="H1204" i="2"/>
  <c r="G1204" i="2"/>
  <c r="D1204" i="2"/>
  <c r="H1203" i="2"/>
  <c r="G1203" i="2"/>
  <c r="D1203" i="2"/>
  <c r="H1202" i="2"/>
  <c r="G1202" i="2"/>
  <c r="D1202" i="2"/>
  <c r="H1201" i="2"/>
  <c r="G1201" i="2"/>
  <c r="D1201" i="2"/>
  <c r="H1200" i="2"/>
  <c r="G1200" i="2"/>
  <c r="D1200" i="2"/>
  <c r="H1199" i="2"/>
  <c r="G1199" i="2"/>
  <c r="D1199" i="2"/>
  <c r="H1198" i="2"/>
  <c r="G1198" i="2"/>
  <c r="D1198" i="2"/>
  <c r="H1197" i="2"/>
  <c r="G1197" i="2"/>
  <c r="D1197" i="2"/>
  <c r="H1196" i="2"/>
  <c r="G1196" i="2"/>
  <c r="D1196" i="2"/>
  <c r="H1195" i="2"/>
  <c r="G1195" i="2"/>
  <c r="D1195" i="2"/>
  <c r="H1194" i="2"/>
  <c r="G1194" i="2"/>
  <c r="D1194" i="2"/>
  <c r="H1193" i="2"/>
  <c r="G1193" i="2"/>
  <c r="D1193" i="2"/>
  <c r="H1192" i="2"/>
  <c r="G1192" i="2"/>
  <c r="D1192" i="2"/>
  <c r="H1191" i="2"/>
  <c r="G1191" i="2"/>
  <c r="D1191" i="2"/>
  <c r="H1190" i="2"/>
  <c r="G1190" i="2"/>
  <c r="D1190" i="2"/>
  <c r="H1189" i="2"/>
  <c r="G1189" i="2"/>
  <c r="D1189" i="2"/>
  <c r="H1188" i="2"/>
  <c r="G1188" i="2"/>
  <c r="D1188" i="2"/>
  <c r="H1187" i="2"/>
  <c r="G1187" i="2"/>
  <c r="D1187" i="2"/>
  <c r="H1186" i="2"/>
  <c r="G1186" i="2"/>
  <c r="D1186" i="2"/>
  <c r="H1185" i="2"/>
  <c r="G1185" i="2"/>
  <c r="D1185" i="2"/>
  <c r="H1184" i="2"/>
  <c r="G1184" i="2"/>
  <c r="D1184" i="2"/>
  <c r="H1183" i="2"/>
  <c r="G1183" i="2"/>
  <c r="D1183" i="2"/>
  <c r="H1182" i="2"/>
  <c r="G1182" i="2"/>
  <c r="D1182" i="2"/>
  <c r="H1181" i="2"/>
  <c r="G1181" i="2"/>
  <c r="D1181" i="2"/>
  <c r="H1180" i="2"/>
  <c r="G1180" i="2"/>
  <c r="D1180" i="2"/>
  <c r="H1179" i="2"/>
  <c r="G1179" i="2"/>
  <c r="D1179" i="2"/>
  <c r="H1178" i="2"/>
  <c r="F141" i="1" s="1"/>
  <c r="G1178" i="2"/>
  <c r="E141" i="1" s="1"/>
  <c r="D1178" i="2"/>
  <c r="H1177" i="2"/>
  <c r="G1177" i="2"/>
  <c r="D1177" i="2"/>
  <c r="H1176" i="2"/>
  <c r="G1176" i="2"/>
  <c r="D1176" i="2"/>
  <c r="H1175" i="2"/>
  <c r="G1175" i="2"/>
  <c r="D1175" i="2"/>
  <c r="H1174" i="2"/>
  <c r="G1174" i="2"/>
  <c r="D1174" i="2"/>
  <c r="H1173" i="2"/>
  <c r="G1173" i="2"/>
  <c r="D1173" i="2"/>
  <c r="H1172" i="2"/>
  <c r="G1172" i="2"/>
  <c r="D1172" i="2"/>
  <c r="H1171" i="2"/>
  <c r="G1171" i="2"/>
  <c r="D1171" i="2"/>
  <c r="H1170" i="2"/>
  <c r="G1170" i="2"/>
  <c r="D1170" i="2"/>
  <c r="H1169" i="2"/>
  <c r="F139" i="1" s="1"/>
  <c r="G1169" i="2"/>
  <c r="E139" i="1" s="1"/>
  <c r="D1169" i="2"/>
  <c r="H1168" i="2"/>
  <c r="G1168" i="2"/>
  <c r="D1168" i="2"/>
  <c r="H1167" i="2"/>
  <c r="G1167" i="2"/>
  <c r="D1167" i="2"/>
  <c r="H1166" i="2"/>
  <c r="G1166" i="2"/>
  <c r="D1166" i="2"/>
  <c r="H1165" i="2"/>
  <c r="G1165" i="2"/>
  <c r="D1165" i="2"/>
  <c r="H1164" i="2"/>
  <c r="G1164" i="2"/>
  <c r="D1164" i="2"/>
  <c r="H1163" i="2"/>
  <c r="G1163" i="2"/>
  <c r="D1163" i="2"/>
  <c r="H1162" i="2"/>
  <c r="G1162" i="2"/>
  <c r="D1162" i="2"/>
  <c r="H1161" i="2"/>
  <c r="G1161" i="2"/>
  <c r="D1161" i="2"/>
  <c r="H1160" i="2"/>
  <c r="G1160" i="2"/>
  <c r="D1160" i="2"/>
  <c r="H1159" i="2"/>
  <c r="G1159" i="2"/>
  <c r="D1159" i="2"/>
  <c r="H1158" i="2"/>
  <c r="G1158" i="2"/>
  <c r="D1158" i="2"/>
  <c r="H1157" i="2"/>
  <c r="G1157" i="2"/>
  <c r="D1157" i="2"/>
  <c r="H1156" i="2"/>
  <c r="G1156" i="2"/>
  <c r="D1156" i="2"/>
  <c r="H1155" i="2"/>
  <c r="G1155" i="2"/>
  <c r="D1155" i="2"/>
  <c r="H1154" i="2"/>
  <c r="G1154" i="2"/>
  <c r="D1154" i="2"/>
  <c r="H1153" i="2"/>
  <c r="G1153" i="2"/>
  <c r="D1153" i="2"/>
  <c r="H1152" i="2"/>
  <c r="G1152" i="2"/>
  <c r="D1152" i="2"/>
  <c r="H1151" i="2"/>
  <c r="G1151" i="2"/>
  <c r="D1151" i="2"/>
  <c r="H1150" i="2"/>
  <c r="G1150" i="2"/>
  <c r="D1150" i="2"/>
  <c r="H1149" i="2"/>
  <c r="G1149" i="2"/>
  <c r="D1149" i="2"/>
  <c r="H1148" i="2"/>
  <c r="G1148" i="2"/>
  <c r="D1148" i="2"/>
  <c r="H1147" i="2"/>
  <c r="G1147" i="2"/>
  <c r="D1147" i="2"/>
  <c r="H1146" i="2"/>
  <c r="G1146" i="2"/>
  <c r="D1146" i="2"/>
  <c r="L1145" i="2"/>
  <c r="H1145" i="2"/>
  <c r="G1145" i="2"/>
  <c r="D1145" i="2"/>
  <c r="H1144" i="2"/>
  <c r="G1144" i="2"/>
  <c r="D1144" i="2"/>
  <c r="H1143" i="2"/>
  <c r="G1143" i="2"/>
  <c r="D1143" i="2"/>
  <c r="H1142" i="2"/>
  <c r="G1142" i="2"/>
  <c r="D1142" i="2"/>
  <c r="H1141" i="2"/>
  <c r="G1141" i="2"/>
  <c r="D1141" i="2"/>
  <c r="H1140" i="2"/>
  <c r="G1140" i="2"/>
  <c r="D1140" i="2"/>
  <c r="H1139" i="2"/>
  <c r="G1139" i="2"/>
  <c r="D1139" i="2"/>
  <c r="H1138" i="2"/>
  <c r="G1138" i="2"/>
  <c r="D1138" i="2"/>
  <c r="H1137" i="2"/>
  <c r="F138" i="1" s="1"/>
  <c r="G1137" i="2"/>
  <c r="E138" i="1" s="1"/>
  <c r="D1137" i="2"/>
  <c r="H1136" i="2"/>
  <c r="G1136" i="2"/>
  <c r="D1136" i="2"/>
  <c r="H1135" i="2"/>
  <c r="G1135" i="2"/>
  <c r="D1135" i="2"/>
  <c r="H1134" i="2"/>
  <c r="G1134" i="2"/>
  <c r="D1134" i="2"/>
  <c r="H1133" i="2"/>
  <c r="G1133" i="2"/>
  <c r="D1133" i="2"/>
  <c r="H1132" i="2"/>
  <c r="G1132" i="2"/>
  <c r="D1132" i="2"/>
  <c r="H1131" i="2"/>
  <c r="G1131" i="2"/>
  <c r="D1131" i="2"/>
  <c r="H1130" i="2"/>
  <c r="G1130" i="2"/>
  <c r="D1130" i="2"/>
  <c r="H1129" i="2"/>
  <c r="G1129" i="2"/>
  <c r="D1129" i="2"/>
  <c r="H1128" i="2"/>
  <c r="G1128" i="2"/>
  <c r="D1128" i="2"/>
  <c r="H1127" i="2"/>
  <c r="G1127" i="2"/>
  <c r="D1127" i="2"/>
  <c r="H1126" i="2"/>
  <c r="G1126" i="2"/>
  <c r="D1126" i="2"/>
  <c r="H1125" i="2"/>
  <c r="G1125" i="2"/>
  <c r="D1125" i="2"/>
  <c r="H1124" i="2"/>
  <c r="G1124" i="2"/>
  <c r="D1124" i="2"/>
  <c r="H1123" i="2"/>
  <c r="G1123" i="2"/>
  <c r="D1123" i="2"/>
  <c r="H1122" i="2"/>
  <c r="G1122" i="2"/>
  <c r="D1122" i="2"/>
  <c r="H1121" i="2"/>
  <c r="G1121" i="2"/>
  <c r="D1121" i="2"/>
  <c r="H1120" i="2"/>
  <c r="G1120" i="2"/>
  <c r="D1120" i="2"/>
  <c r="H1119" i="2"/>
  <c r="G1119" i="2"/>
  <c r="D1119" i="2"/>
  <c r="H1118" i="2"/>
  <c r="G1118" i="2"/>
  <c r="D1118" i="2"/>
  <c r="H1117" i="2"/>
  <c r="G1117" i="2"/>
  <c r="D1117" i="2"/>
  <c r="H1116" i="2"/>
  <c r="G1116" i="2"/>
  <c r="D1116" i="2"/>
  <c r="H1115" i="2"/>
  <c r="G1115" i="2"/>
  <c r="D1115" i="2"/>
  <c r="H1114" i="2"/>
  <c r="G1114" i="2"/>
  <c r="D1114" i="2"/>
  <c r="H1113" i="2"/>
  <c r="G1113" i="2"/>
  <c r="D1113" i="2"/>
  <c r="H1112" i="2"/>
  <c r="G1112" i="2"/>
  <c r="D1112" i="2"/>
  <c r="H1111" i="2"/>
  <c r="G1111" i="2"/>
  <c r="D1111" i="2"/>
  <c r="H1110" i="2"/>
  <c r="G1110" i="2"/>
  <c r="D1110" i="2"/>
  <c r="H1109" i="2"/>
  <c r="G1109" i="2"/>
  <c r="D1109" i="2"/>
  <c r="H1108" i="2"/>
  <c r="G1108" i="2"/>
  <c r="D1108" i="2"/>
  <c r="H1107" i="2"/>
  <c r="G1107" i="2"/>
  <c r="D1107" i="2"/>
  <c r="H1106" i="2"/>
  <c r="F136" i="1" s="1"/>
  <c r="G1106" i="2"/>
  <c r="E136" i="1" s="1"/>
  <c r="D1106" i="2"/>
  <c r="H1105" i="2"/>
  <c r="G1105" i="2"/>
  <c r="D1105" i="2"/>
  <c r="H1104" i="2"/>
  <c r="G1104" i="2"/>
  <c r="D1104" i="2"/>
  <c r="H1103" i="2"/>
  <c r="G1103" i="2"/>
  <c r="D1103" i="2"/>
  <c r="H1102" i="2"/>
  <c r="G1102" i="2"/>
  <c r="D1102" i="2"/>
  <c r="H1101" i="2"/>
  <c r="G1101" i="2"/>
  <c r="D1101" i="2"/>
  <c r="H1100" i="2"/>
  <c r="G1100" i="2"/>
  <c r="D1100" i="2"/>
  <c r="H1099" i="2"/>
  <c r="G1099" i="2"/>
  <c r="D1099" i="2"/>
  <c r="H1098" i="2"/>
  <c r="F135" i="1" s="1"/>
  <c r="G1098" i="2"/>
  <c r="E135" i="1" s="1"/>
  <c r="D1098" i="2"/>
  <c r="H1097" i="2"/>
  <c r="G1097" i="2"/>
  <c r="D1097" i="2"/>
  <c r="H1096" i="2"/>
  <c r="G1096" i="2"/>
  <c r="D1096" i="2"/>
  <c r="H1095" i="2"/>
  <c r="G1095" i="2"/>
  <c r="D1095" i="2"/>
  <c r="H1094" i="2"/>
  <c r="G1094" i="2"/>
  <c r="D1094" i="2"/>
  <c r="H1093" i="2"/>
  <c r="G1093" i="2"/>
  <c r="D1093" i="2"/>
  <c r="H1092" i="2"/>
  <c r="G1092" i="2"/>
  <c r="D1092" i="2"/>
  <c r="H1091" i="2"/>
  <c r="G1091" i="2"/>
  <c r="D1091" i="2"/>
  <c r="H1090" i="2"/>
  <c r="G1090" i="2"/>
  <c r="D1090" i="2"/>
  <c r="H1089" i="2"/>
  <c r="G1089" i="2"/>
  <c r="D1089" i="2"/>
  <c r="H1088" i="2"/>
  <c r="G1088" i="2"/>
  <c r="D1088" i="2"/>
  <c r="H1087" i="2"/>
  <c r="G1087" i="2"/>
  <c r="D1087" i="2"/>
  <c r="H1086" i="2"/>
  <c r="G1086" i="2"/>
  <c r="D1086" i="2"/>
  <c r="H1085" i="2"/>
  <c r="G1085" i="2"/>
  <c r="D1085" i="2"/>
  <c r="H1084" i="2"/>
  <c r="G1084" i="2"/>
  <c r="D1084" i="2"/>
  <c r="H1083" i="2"/>
  <c r="G1083" i="2"/>
  <c r="D1083" i="2"/>
  <c r="H1082" i="2"/>
  <c r="G1082" i="2"/>
  <c r="D1082" i="2"/>
  <c r="H1081" i="2"/>
  <c r="G1081" i="2"/>
  <c r="D1081" i="2"/>
  <c r="H1080" i="2"/>
  <c r="G1080" i="2"/>
  <c r="D1080" i="2"/>
  <c r="H1079" i="2"/>
  <c r="G1079" i="2"/>
  <c r="D1079" i="2"/>
  <c r="H1078" i="2"/>
  <c r="G1078" i="2"/>
  <c r="D1078" i="2"/>
  <c r="H1077" i="2"/>
  <c r="G1077" i="2"/>
  <c r="D1077" i="2"/>
  <c r="H1076" i="2"/>
  <c r="G1076" i="2"/>
  <c r="D1076" i="2"/>
  <c r="H1075" i="2"/>
  <c r="G1075" i="2"/>
  <c r="D1075" i="2"/>
  <c r="H1074" i="2"/>
  <c r="G1074" i="2"/>
  <c r="D1074" i="2"/>
  <c r="H1073" i="2"/>
  <c r="G1073" i="2"/>
  <c r="D1073" i="2"/>
  <c r="H1072" i="2"/>
  <c r="G1072" i="2"/>
  <c r="D1072" i="2"/>
  <c r="H1071" i="2"/>
  <c r="G1071" i="2"/>
  <c r="D1071" i="2"/>
  <c r="H1070" i="2"/>
  <c r="G1070" i="2"/>
  <c r="D1070" i="2"/>
  <c r="H1069" i="2"/>
  <c r="G1069" i="2"/>
  <c r="D1069" i="2"/>
  <c r="H1068" i="2"/>
  <c r="G1068" i="2"/>
  <c r="D1068" i="2"/>
  <c r="H1067" i="2"/>
  <c r="G1067" i="2"/>
  <c r="D1067" i="2"/>
  <c r="H1066" i="2"/>
  <c r="G1066" i="2"/>
  <c r="D1066" i="2"/>
  <c r="H1065" i="2"/>
  <c r="F132" i="1" s="1"/>
  <c r="G1065" i="2"/>
  <c r="E132" i="1" s="1"/>
  <c r="D1065" i="2"/>
  <c r="H1064" i="2"/>
  <c r="G1064" i="2"/>
  <c r="D1064" i="2"/>
  <c r="H1063" i="2"/>
  <c r="G1063" i="2"/>
  <c r="D1063" i="2"/>
  <c r="H1062" i="2"/>
  <c r="G1062" i="2"/>
  <c r="D1062" i="2"/>
  <c r="H1061" i="2"/>
  <c r="G1061" i="2"/>
  <c r="D1061" i="2"/>
  <c r="H1060" i="2"/>
  <c r="G1060" i="2"/>
  <c r="D1060" i="2"/>
  <c r="H1059" i="2"/>
  <c r="G1059" i="2"/>
  <c r="D1059" i="2"/>
  <c r="H1058" i="2"/>
  <c r="G1058" i="2"/>
  <c r="D1058" i="2"/>
  <c r="H1057" i="2"/>
  <c r="G1057" i="2"/>
  <c r="D1057" i="2"/>
  <c r="H1056" i="2"/>
  <c r="G1056" i="2"/>
  <c r="D1056" i="2"/>
  <c r="H1055" i="2"/>
  <c r="G1055" i="2"/>
  <c r="D1055" i="2"/>
  <c r="H1054" i="2"/>
  <c r="G1054" i="2"/>
  <c r="D1054" i="2"/>
  <c r="H1053" i="2"/>
  <c r="G1053" i="2"/>
  <c r="D1053" i="2"/>
  <c r="H1052" i="2"/>
  <c r="G1052" i="2"/>
  <c r="D1052" i="2"/>
  <c r="H1051" i="2"/>
  <c r="G1051" i="2"/>
  <c r="D1051" i="2"/>
  <c r="H1050" i="2"/>
  <c r="G1050" i="2"/>
  <c r="D1050" i="2"/>
  <c r="H1049" i="2"/>
  <c r="G1049" i="2"/>
  <c r="D1049" i="2"/>
  <c r="H1048" i="2"/>
  <c r="G1048" i="2"/>
  <c r="D1048" i="2"/>
  <c r="H1047" i="2"/>
  <c r="G1047" i="2"/>
  <c r="D1047" i="2"/>
  <c r="H1046" i="2"/>
  <c r="G1046" i="2"/>
  <c r="D1046" i="2"/>
  <c r="H1045" i="2"/>
  <c r="G1045" i="2"/>
  <c r="D1045" i="2"/>
  <c r="H1044" i="2"/>
  <c r="G1044" i="2"/>
  <c r="D1044" i="2"/>
  <c r="H1043" i="2"/>
  <c r="G1043" i="2"/>
  <c r="D1043" i="2"/>
  <c r="H1042" i="2"/>
  <c r="G1042" i="2"/>
  <c r="D1042" i="2"/>
  <c r="H1041" i="2"/>
  <c r="G1041" i="2"/>
  <c r="D1041" i="2"/>
  <c r="H1040" i="2"/>
  <c r="G1040" i="2"/>
  <c r="D1040" i="2"/>
  <c r="H1039" i="2"/>
  <c r="G1039" i="2"/>
  <c r="D1039" i="2"/>
  <c r="H1038" i="2"/>
  <c r="G1038" i="2"/>
  <c r="D1038" i="2"/>
  <c r="H1037" i="2"/>
  <c r="G1037" i="2"/>
  <c r="D1037" i="2"/>
  <c r="H1036" i="2"/>
  <c r="G1036" i="2"/>
  <c r="D1036" i="2"/>
  <c r="H1035" i="2"/>
  <c r="G1035" i="2"/>
  <c r="D1035" i="2"/>
  <c r="H1034" i="2"/>
  <c r="G1034" i="2"/>
  <c r="D1034" i="2"/>
  <c r="H1033" i="2"/>
  <c r="G1033" i="2"/>
  <c r="D1033" i="2"/>
  <c r="H1032" i="2"/>
  <c r="G1032" i="2"/>
  <c r="D1032" i="2"/>
  <c r="H1031" i="2"/>
  <c r="G1031" i="2"/>
  <c r="D1031" i="2"/>
  <c r="H1030" i="2"/>
  <c r="G1030" i="2"/>
  <c r="D1030" i="2"/>
  <c r="H1029" i="2"/>
  <c r="G1029" i="2"/>
  <c r="D1029" i="2"/>
  <c r="H1028" i="2"/>
  <c r="G1028" i="2"/>
  <c r="D1028" i="2"/>
  <c r="H1027" i="2"/>
  <c r="G1027" i="2"/>
  <c r="D1027" i="2"/>
  <c r="H1026" i="2"/>
  <c r="G1026" i="2"/>
  <c r="D1026" i="2"/>
  <c r="H1025" i="2"/>
  <c r="G1025" i="2"/>
  <c r="D1025" i="2"/>
  <c r="H1024" i="2"/>
  <c r="G1024" i="2"/>
  <c r="D1024" i="2"/>
  <c r="H1023" i="2"/>
  <c r="F129" i="1" s="1"/>
  <c r="G1023" i="2"/>
  <c r="E129" i="1" s="1"/>
  <c r="D1023" i="2"/>
  <c r="H1022" i="2"/>
  <c r="G1022" i="2"/>
  <c r="D1022" i="2"/>
  <c r="H1021" i="2"/>
  <c r="G1021" i="2"/>
  <c r="D1021" i="2"/>
  <c r="H1020" i="2"/>
  <c r="G1020" i="2"/>
  <c r="D1020" i="2"/>
  <c r="H1019" i="2"/>
  <c r="G1019" i="2"/>
  <c r="D1019" i="2"/>
  <c r="H1018" i="2"/>
  <c r="G1018" i="2"/>
  <c r="D1018" i="2"/>
  <c r="H1017" i="2"/>
  <c r="G1017" i="2"/>
  <c r="D1017" i="2"/>
  <c r="H1016" i="2"/>
  <c r="G1016" i="2"/>
  <c r="D1016" i="2"/>
  <c r="H1015" i="2"/>
  <c r="G1015" i="2"/>
  <c r="D1015" i="2"/>
  <c r="H1014" i="2"/>
  <c r="G1014" i="2"/>
  <c r="D1014" i="2"/>
  <c r="H1013" i="2"/>
  <c r="G1013" i="2"/>
  <c r="D1013" i="2"/>
  <c r="H1012" i="2"/>
  <c r="G1012" i="2"/>
  <c r="D1012" i="2"/>
  <c r="H1011" i="2"/>
  <c r="G1011" i="2"/>
  <c r="D1011" i="2"/>
  <c r="H1010" i="2"/>
  <c r="F127" i="1" s="1"/>
  <c r="G1010" i="2"/>
  <c r="E127" i="1" s="1"/>
  <c r="D1010" i="2"/>
  <c r="H1009" i="2"/>
  <c r="G1009" i="2"/>
  <c r="D1009" i="2"/>
  <c r="H1008" i="2"/>
  <c r="G1008" i="2"/>
  <c r="D1008" i="2"/>
  <c r="H1007" i="2"/>
  <c r="G1007" i="2"/>
  <c r="D1007" i="2"/>
  <c r="H1006" i="2"/>
  <c r="G1006" i="2"/>
  <c r="D1006" i="2"/>
  <c r="H1005" i="2"/>
  <c r="G1005" i="2"/>
  <c r="D1005" i="2"/>
  <c r="H1004" i="2"/>
  <c r="G1004" i="2"/>
  <c r="D1004" i="2"/>
  <c r="H1003" i="2"/>
  <c r="G1003" i="2"/>
  <c r="D1003" i="2"/>
  <c r="H1002" i="2"/>
  <c r="G1002" i="2"/>
  <c r="D1002" i="2"/>
  <c r="H1001" i="2"/>
  <c r="G1001" i="2"/>
  <c r="D1001" i="2"/>
  <c r="H1000" i="2"/>
  <c r="G1000" i="2"/>
  <c r="D1000" i="2"/>
  <c r="H999" i="2"/>
  <c r="G999" i="2"/>
  <c r="D999" i="2"/>
  <c r="H998" i="2"/>
  <c r="G998" i="2"/>
  <c r="D998" i="2"/>
  <c r="H997" i="2"/>
  <c r="F124" i="1" s="1"/>
  <c r="G997" i="2"/>
  <c r="D997" i="2"/>
  <c r="H996" i="2"/>
  <c r="G996" i="2"/>
  <c r="D996" i="2"/>
  <c r="H995" i="2"/>
  <c r="G995" i="2"/>
  <c r="D995" i="2"/>
  <c r="H994" i="2"/>
  <c r="G994" i="2"/>
  <c r="D994" i="2"/>
  <c r="H993" i="2"/>
  <c r="G993" i="2"/>
  <c r="D993" i="2"/>
  <c r="H992" i="2"/>
  <c r="G992" i="2"/>
  <c r="D992" i="2"/>
  <c r="H991" i="2"/>
  <c r="G991" i="2"/>
  <c r="D991" i="2"/>
  <c r="H990" i="2"/>
  <c r="G990" i="2"/>
  <c r="D990" i="2"/>
  <c r="H989" i="2"/>
  <c r="G989" i="2"/>
  <c r="D989" i="2"/>
  <c r="H988" i="2"/>
  <c r="G988" i="2"/>
  <c r="D988" i="2"/>
  <c r="H987" i="2"/>
  <c r="G987" i="2"/>
  <c r="D987" i="2"/>
  <c r="H986" i="2"/>
  <c r="G986" i="2"/>
  <c r="D986" i="2"/>
  <c r="H985" i="2"/>
  <c r="G985" i="2"/>
  <c r="D985" i="2"/>
  <c r="H984" i="2"/>
  <c r="G984" i="2"/>
  <c r="D984" i="2"/>
  <c r="H983" i="2"/>
  <c r="G983" i="2"/>
  <c r="D983" i="2"/>
  <c r="H982" i="2"/>
  <c r="G982" i="2"/>
  <c r="D982" i="2"/>
  <c r="H981" i="2"/>
  <c r="G981" i="2"/>
  <c r="D981" i="2"/>
  <c r="H980" i="2"/>
  <c r="G980" i="2"/>
  <c r="D980" i="2"/>
  <c r="H979" i="2"/>
  <c r="G979" i="2"/>
  <c r="D979" i="2"/>
  <c r="H978" i="2"/>
  <c r="G978" i="2"/>
  <c r="D978" i="2"/>
  <c r="H977" i="2"/>
  <c r="G977" i="2"/>
  <c r="D977" i="2"/>
  <c r="H976" i="2"/>
  <c r="G976" i="2"/>
  <c r="D976" i="2"/>
  <c r="H975" i="2"/>
  <c r="G975" i="2"/>
  <c r="D975" i="2"/>
  <c r="H974" i="2"/>
  <c r="G974" i="2"/>
  <c r="D974" i="2"/>
  <c r="H973" i="2"/>
  <c r="G973" i="2"/>
  <c r="D973" i="2"/>
  <c r="H972" i="2"/>
  <c r="G972" i="2"/>
  <c r="D972" i="2"/>
  <c r="H971" i="2"/>
  <c r="G971" i="2"/>
  <c r="D971" i="2"/>
  <c r="H970" i="2"/>
  <c r="G970" i="2"/>
  <c r="D970" i="2"/>
  <c r="H969" i="2"/>
  <c r="G969" i="2"/>
  <c r="D969" i="2"/>
  <c r="H968" i="2"/>
  <c r="G968" i="2"/>
  <c r="D968" i="2"/>
  <c r="H967" i="2"/>
  <c r="G967" i="2"/>
  <c r="D967" i="2"/>
  <c r="H966" i="2"/>
  <c r="G966" i="2"/>
  <c r="D966" i="2"/>
  <c r="H965" i="2"/>
  <c r="G965" i="2"/>
  <c r="D965" i="2"/>
  <c r="H964" i="2"/>
  <c r="G964" i="2"/>
  <c r="D964" i="2"/>
  <c r="H963" i="2"/>
  <c r="G963" i="2"/>
  <c r="D963" i="2"/>
  <c r="H962" i="2"/>
  <c r="G962" i="2"/>
  <c r="D962" i="2"/>
  <c r="H961" i="2"/>
  <c r="G961" i="2"/>
  <c r="D961" i="2"/>
  <c r="H960" i="2"/>
  <c r="G960" i="2"/>
  <c r="D960" i="2"/>
  <c r="H959" i="2"/>
  <c r="G959" i="2"/>
  <c r="D959" i="2"/>
  <c r="H958" i="2"/>
  <c r="G958" i="2"/>
  <c r="D958" i="2"/>
  <c r="H957" i="2"/>
  <c r="G957" i="2"/>
  <c r="D957" i="2"/>
  <c r="H956" i="2"/>
  <c r="G956" i="2"/>
  <c r="D956" i="2"/>
  <c r="H955" i="2"/>
  <c r="G955" i="2"/>
  <c r="D955" i="2"/>
  <c r="H954" i="2"/>
  <c r="G954" i="2"/>
  <c r="D954" i="2"/>
  <c r="H953" i="2"/>
  <c r="G953" i="2"/>
  <c r="D953" i="2"/>
  <c r="H952" i="2"/>
  <c r="G952" i="2"/>
  <c r="D952" i="2"/>
  <c r="H951" i="2"/>
  <c r="G951" i="2"/>
  <c r="D951" i="2"/>
  <c r="H950" i="2"/>
  <c r="G950" i="2"/>
  <c r="D950" i="2"/>
  <c r="H949" i="2"/>
  <c r="G949" i="2"/>
  <c r="D949" i="2"/>
  <c r="H948" i="2"/>
  <c r="G948" i="2"/>
  <c r="D948" i="2"/>
  <c r="H947" i="2"/>
  <c r="G947" i="2"/>
  <c r="D947" i="2"/>
  <c r="H946" i="2"/>
  <c r="G946" i="2"/>
  <c r="D946" i="2"/>
  <c r="H945" i="2"/>
  <c r="G945" i="2"/>
  <c r="D945" i="2"/>
  <c r="H944" i="2"/>
  <c r="G944" i="2"/>
  <c r="D944" i="2"/>
  <c r="H943" i="2"/>
  <c r="G943" i="2"/>
  <c r="D943" i="2"/>
  <c r="H942" i="2"/>
  <c r="G942" i="2"/>
  <c r="D942" i="2"/>
  <c r="H941" i="2"/>
  <c r="G941" i="2"/>
  <c r="D941" i="2"/>
  <c r="H940" i="2"/>
  <c r="G940" i="2"/>
  <c r="D940" i="2"/>
  <c r="H939" i="2"/>
  <c r="F119" i="1" s="1"/>
  <c r="G939" i="2"/>
  <c r="E119" i="1" s="1"/>
  <c r="D939" i="2"/>
  <c r="H938" i="2"/>
  <c r="F118" i="1" s="1"/>
  <c r="G938" i="2"/>
  <c r="E118" i="1" s="1"/>
  <c r="D938" i="2"/>
  <c r="H937" i="2"/>
  <c r="G937" i="2"/>
  <c r="D937" i="2"/>
  <c r="H936" i="2"/>
  <c r="G936" i="2"/>
  <c r="D936" i="2"/>
  <c r="H935" i="2"/>
  <c r="G935" i="2"/>
  <c r="D935" i="2"/>
  <c r="H934" i="2"/>
  <c r="G934" i="2"/>
  <c r="D934" i="2"/>
  <c r="H933" i="2"/>
  <c r="G933" i="2"/>
  <c r="D933" i="2"/>
  <c r="H932" i="2"/>
  <c r="G932" i="2"/>
  <c r="D932" i="2"/>
  <c r="H931" i="2"/>
  <c r="G931" i="2"/>
  <c r="D931" i="2"/>
  <c r="H930" i="2"/>
  <c r="G930" i="2"/>
  <c r="D930" i="2"/>
  <c r="H929" i="2"/>
  <c r="G929" i="2"/>
  <c r="D929" i="2"/>
  <c r="H928" i="2"/>
  <c r="G928" i="2"/>
  <c r="D928" i="2"/>
  <c r="H927" i="2"/>
  <c r="G927" i="2"/>
  <c r="D927" i="2"/>
  <c r="H926" i="2"/>
  <c r="G926" i="2"/>
  <c r="D926" i="2"/>
  <c r="H925" i="2"/>
  <c r="G925" i="2"/>
  <c r="D925" i="2"/>
  <c r="H924" i="2"/>
  <c r="G924" i="2"/>
  <c r="D924" i="2"/>
  <c r="H923" i="2"/>
  <c r="G923" i="2"/>
  <c r="D923" i="2"/>
  <c r="H922" i="2"/>
  <c r="G922" i="2"/>
  <c r="D922" i="2"/>
  <c r="H921" i="2"/>
  <c r="G921" i="2"/>
  <c r="D921" i="2"/>
  <c r="H920" i="2"/>
  <c r="G920" i="2"/>
  <c r="D920" i="2"/>
  <c r="H919" i="2"/>
  <c r="G919" i="2"/>
  <c r="D919" i="2"/>
  <c r="H918" i="2"/>
  <c r="G918" i="2"/>
  <c r="D918" i="2"/>
  <c r="H917" i="2"/>
  <c r="G917" i="2"/>
  <c r="D917" i="2"/>
  <c r="H916" i="2"/>
  <c r="G916" i="2"/>
  <c r="D916" i="2"/>
  <c r="H915" i="2"/>
  <c r="G915" i="2"/>
  <c r="D915" i="2"/>
  <c r="H914" i="2"/>
  <c r="G914" i="2"/>
  <c r="D914" i="2"/>
  <c r="H913" i="2"/>
  <c r="G913" i="2"/>
  <c r="D913" i="2"/>
  <c r="H912" i="2"/>
  <c r="G912" i="2"/>
  <c r="D912" i="2"/>
  <c r="H911" i="2"/>
  <c r="F117" i="1" s="1"/>
  <c r="G911" i="2"/>
  <c r="E117" i="1" s="1"/>
  <c r="D911" i="2"/>
  <c r="H910" i="2"/>
  <c r="G910" i="2"/>
  <c r="D910" i="2"/>
  <c r="H909" i="2"/>
  <c r="G909" i="2"/>
  <c r="D909" i="2"/>
  <c r="H908" i="2"/>
  <c r="G908" i="2"/>
  <c r="D908" i="2"/>
  <c r="H907" i="2"/>
  <c r="G907" i="2"/>
  <c r="D907" i="2"/>
  <c r="H906" i="2"/>
  <c r="G906" i="2"/>
  <c r="D906" i="2"/>
  <c r="H905" i="2"/>
  <c r="G905" i="2"/>
  <c r="D905" i="2"/>
  <c r="H904" i="2"/>
  <c r="G904" i="2"/>
  <c r="D904" i="2"/>
  <c r="H903" i="2"/>
  <c r="G903" i="2"/>
  <c r="D903" i="2"/>
  <c r="L902" i="2"/>
  <c r="H902" i="2"/>
  <c r="G902" i="2"/>
  <c r="D902" i="2"/>
  <c r="H901" i="2"/>
  <c r="G901" i="2"/>
  <c r="D901" i="2"/>
  <c r="H900" i="2"/>
  <c r="G900" i="2"/>
  <c r="D900" i="2"/>
  <c r="H899" i="2"/>
  <c r="G899" i="2"/>
  <c r="D899" i="2"/>
  <c r="H898" i="2"/>
  <c r="G898" i="2"/>
  <c r="D898" i="2"/>
  <c r="H897" i="2"/>
  <c r="G897" i="2"/>
  <c r="D897" i="2"/>
  <c r="H896" i="2"/>
  <c r="G896" i="2"/>
  <c r="D896" i="2"/>
  <c r="H895" i="2"/>
  <c r="G895" i="2"/>
  <c r="D895" i="2"/>
  <c r="H894" i="2"/>
  <c r="G894" i="2"/>
  <c r="D894" i="2"/>
  <c r="H893" i="2"/>
  <c r="G893" i="2"/>
  <c r="D893" i="2"/>
  <c r="H892" i="2"/>
  <c r="G892" i="2"/>
  <c r="D892" i="2"/>
  <c r="H891" i="2"/>
  <c r="G891" i="2"/>
  <c r="D891" i="2"/>
  <c r="H890" i="2"/>
  <c r="F116" i="1" s="1"/>
  <c r="G890" i="2"/>
  <c r="E116" i="1" s="1"/>
  <c r="D890" i="2"/>
  <c r="H889" i="2"/>
  <c r="G889" i="2"/>
  <c r="D889" i="2"/>
  <c r="H888" i="2"/>
  <c r="G888" i="2"/>
  <c r="D888" i="2"/>
  <c r="H887" i="2"/>
  <c r="G887" i="2"/>
  <c r="E115" i="1" s="1"/>
  <c r="D887" i="2"/>
  <c r="H886" i="2"/>
  <c r="F114" i="1" s="1"/>
  <c r="G886" i="2"/>
  <c r="E114" i="1" s="1"/>
  <c r="D886" i="2"/>
  <c r="H885" i="2"/>
  <c r="G885" i="2"/>
  <c r="D885" i="2"/>
  <c r="H884" i="2"/>
  <c r="G884" i="2"/>
  <c r="D884" i="2"/>
  <c r="H883" i="2"/>
  <c r="G883" i="2"/>
  <c r="D883" i="2"/>
  <c r="H882" i="2"/>
  <c r="G882" i="2"/>
  <c r="D882" i="2"/>
  <c r="H881" i="2"/>
  <c r="G881" i="2"/>
  <c r="D881" i="2"/>
  <c r="H880" i="2"/>
  <c r="G880" i="2"/>
  <c r="D880" i="2"/>
  <c r="H879" i="2"/>
  <c r="G879" i="2"/>
  <c r="D879" i="2"/>
  <c r="H878" i="2"/>
  <c r="G878" i="2"/>
  <c r="D878" i="2"/>
  <c r="H877" i="2"/>
  <c r="G877" i="2"/>
  <c r="D877" i="2"/>
  <c r="H876" i="2"/>
  <c r="G876" i="2"/>
  <c r="D876" i="2"/>
  <c r="H875" i="2"/>
  <c r="G875" i="2"/>
  <c r="D875" i="2"/>
  <c r="H874" i="2"/>
  <c r="G874" i="2"/>
  <c r="D874" i="2"/>
  <c r="H873" i="2"/>
  <c r="G873" i="2"/>
  <c r="D873" i="2"/>
  <c r="H872" i="2"/>
  <c r="G872" i="2"/>
  <c r="D872" i="2"/>
  <c r="H871" i="2"/>
  <c r="G871" i="2"/>
  <c r="D871" i="2"/>
  <c r="H870" i="2"/>
  <c r="G870" i="2"/>
  <c r="D870" i="2"/>
  <c r="H869" i="2"/>
  <c r="G869" i="2"/>
  <c r="D869" i="2"/>
  <c r="H868" i="2"/>
  <c r="G868" i="2"/>
  <c r="D868" i="2"/>
  <c r="H867" i="2"/>
  <c r="G867" i="2"/>
  <c r="D867" i="2"/>
  <c r="N866" i="2"/>
  <c r="H866" i="2"/>
  <c r="G866" i="2"/>
  <c r="D866" i="2"/>
  <c r="H865" i="2"/>
  <c r="F112" i="1" s="1"/>
  <c r="G865" i="2"/>
  <c r="E112" i="1" s="1"/>
  <c r="D865" i="2"/>
  <c r="H864" i="2"/>
  <c r="G864" i="2"/>
  <c r="D864" i="2"/>
  <c r="H863" i="2"/>
  <c r="G863" i="2"/>
  <c r="D863" i="2"/>
  <c r="M862" i="2"/>
  <c r="H862" i="2"/>
  <c r="G862" i="2"/>
  <c r="D862" i="2"/>
  <c r="H861" i="2"/>
  <c r="G861" i="2"/>
  <c r="D861" i="2"/>
  <c r="O860" i="2"/>
  <c r="H860" i="2"/>
  <c r="G860" i="2"/>
  <c r="D860" i="2"/>
  <c r="N859" i="2"/>
  <c r="H859" i="2"/>
  <c r="G859" i="2"/>
  <c r="D859" i="2"/>
  <c r="H858" i="2"/>
  <c r="G858" i="2"/>
  <c r="D858" i="2"/>
  <c r="H857" i="2"/>
  <c r="G857" i="2"/>
  <c r="D857" i="2"/>
  <c r="H856" i="2"/>
  <c r="G856" i="2"/>
  <c r="D856" i="2"/>
  <c r="M855" i="2"/>
  <c r="H855" i="2"/>
  <c r="G855" i="2"/>
  <c r="D855" i="2"/>
  <c r="H854" i="2"/>
  <c r="G854" i="2"/>
  <c r="D854" i="2"/>
  <c r="O853" i="2"/>
  <c r="H853" i="2"/>
  <c r="G853" i="2"/>
  <c r="D853" i="2"/>
  <c r="N852" i="2"/>
  <c r="H852" i="2"/>
  <c r="G852" i="2"/>
  <c r="D852" i="2"/>
  <c r="H851" i="2"/>
  <c r="G851" i="2"/>
  <c r="D851" i="2"/>
  <c r="H850" i="2"/>
  <c r="G850" i="2"/>
  <c r="D850" i="2"/>
  <c r="H849" i="2"/>
  <c r="G849" i="2"/>
  <c r="D849" i="2"/>
  <c r="M848" i="2"/>
  <c r="H848" i="2"/>
  <c r="F111" i="1" s="1"/>
  <c r="G848" i="2"/>
  <c r="E111" i="1" s="1"/>
  <c r="D848" i="2"/>
  <c r="H847" i="2"/>
  <c r="G847" i="2"/>
  <c r="D847" i="2"/>
  <c r="N846" i="2"/>
  <c r="H846" i="2"/>
  <c r="G846" i="2"/>
  <c r="D846" i="2"/>
  <c r="M845" i="2"/>
  <c r="H845" i="2"/>
  <c r="G845" i="2"/>
  <c r="D845" i="2"/>
  <c r="H844" i="2"/>
  <c r="G844" i="2"/>
  <c r="D844" i="2"/>
  <c r="H843" i="2"/>
  <c r="G843" i="2"/>
  <c r="D843" i="2"/>
  <c r="H842" i="2"/>
  <c r="G842" i="2"/>
  <c r="D842" i="2"/>
  <c r="M841" i="2"/>
  <c r="H841" i="2"/>
  <c r="G841" i="2"/>
  <c r="D841" i="2"/>
  <c r="H840" i="2"/>
  <c r="G840" i="2"/>
  <c r="D840" i="2"/>
  <c r="N839" i="2"/>
  <c r="H839" i="2"/>
  <c r="G839" i="2"/>
  <c r="D839" i="2"/>
  <c r="M838" i="2"/>
  <c r="H838" i="2"/>
  <c r="G838" i="2"/>
  <c r="D838" i="2"/>
  <c r="H837" i="2"/>
  <c r="G837" i="2"/>
  <c r="D837" i="2"/>
  <c r="H836" i="2"/>
  <c r="G836" i="2"/>
  <c r="D836" i="2"/>
  <c r="H835" i="2"/>
  <c r="G835" i="2"/>
  <c r="D835" i="2"/>
  <c r="M834" i="2"/>
  <c r="H834" i="2"/>
  <c r="G834" i="2"/>
  <c r="D834" i="2"/>
  <c r="H833" i="2"/>
  <c r="G833" i="2"/>
  <c r="D833" i="2"/>
  <c r="N832" i="2"/>
  <c r="H832" i="2"/>
  <c r="G832" i="2"/>
  <c r="D832" i="2"/>
  <c r="M831" i="2"/>
  <c r="H831" i="2"/>
  <c r="G831" i="2"/>
  <c r="D831" i="2"/>
  <c r="H830" i="2"/>
  <c r="G830" i="2"/>
  <c r="D830" i="2"/>
  <c r="H829" i="2"/>
  <c r="G829" i="2"/>
  <c r="D829" i="2"/>
  <c r="H828" i="2"/>
  <c r="G828" i="2"/>
  <c r="D828" i="2"/>
  <c r="M827" i="2"/>
  <c r="H827" i="2"/>
  <c r="G827" i="2"/>
  <c r="D827" i="2"/>
  <c r="H826" i="2"/>
  <c r="G826" i="2"/>
  <c r="D826" i="2"/>
  <c r="O825" i="2"/>
  <c r="H825" i="2"/>
  <c r="G825" i="2"/>
  <c r="D825" i="2"/>
  <c r="N824" i="2"/>
  <c r="H824" i="2"/>
  <c r="G824" i="2"/>
  <c r="D824" i="2"/>
  <c r="H823" i="2"/>
  <c r="G823" i="2"/>
  <c r="D823" i="2"/>
  <c r="H822" i="2"/>
  <c r="G822" i="2"/>
  <c r="D822" i="2"/>
  <c r="H821" i="2"/>
  <c r="G821" i="2"/>
  <c r="D821" i="2"/>
  <c r="N820" i="2"/>
  <c r="H820" i="2"/>
  <c r="G820" i="2"/>
  <c r="D820" i="2"/>
  <c r="H819" i="2"/>
  <c r="G819" i="2"/>
  <c r="D819" i="2"/>
  <c r="H818" i="2"/>
  <c r="G818" i="2"/>
  <c r="D818" i="2"/>
  <c r="O817" i="2"/>
  <c r="H817" i="2"/>
  <c r="G817" i="2"/>
  <c r="D817" i="2"/>
  <c r="H816" i="2"/>
  <c r="G816" i="2"/>
  <c r="D816" i="2"/>
  <c r="H815" i="2"/>
  <c r="G815" i="2"/>
  <c r="D815" i="2"/>
  <c r="L814" i="2"/>
  <c r="H814" i="2"/>
  <c r="G814" i="2"/>
  <c r="D814" i="2"/>
  <c r="O813" i="2"/>
  <c r="H813" i="2"/>
  <c r="G813" i="2"/>
  <c r="D813" i="2"/>
  <c r="H812" i="2"/>
  <c r="G812" i="2"/>
  <c r="D812" i="2"/>
  <c r="H811" i="2"/>
  <c r="G811" i="2"/>
  <c r="D811" i="2"/>
  <c r="L810" i="2"/>
  <c r="H810" i="2"/>
  <c r="G810" i="2"/>
  <c r="D810" i="2"/>
  <c r="H809" i="2"/>
  <c r="G809" i="2"/>
  <c r="D809" i="2"/>
  <c r="N808" i="2"/>
  <c r="H808" i="2"/>
  <c r="G808" i="2"/>
  <c r="D808" i="2"/>
  <c r="M807" i="2"/>
  <c r="H807" i="2"/>
  <c r="G807" i="2"/>
  <c r="D807" i="2"/>
  <c r="H806" i="2"/>
  <c r="G806" i="2"/>
  <c r="D806" i="2"/>
  <c r="H805" i="2"/>
  <c r="G805" i="2"/>
  <c r="D805" i="2"/>
  <c r="H804" i="2"/>
  <c r="G804" i="2"/>
  <c r="D804" i="2"/>
  <c r="M803" i="2"/>
  <c r="H803" i="2"/>
  <c r="G803" i="2"/>
  <c r="D803" i="2"/>
  <c r="H802" i="2"/>
  <c r="G802" i="2"/>
  <c r="D802" i="2"/>
  <c r="O801" i="2"/>
  <c r="H801" i="2"/>
  <c r="G801" i="2"/>
  <c r="D801" i="2"/>
  <c r="N800" i="2"/>
  <c r="H800" i="2"/>
  <c r="G800" i="2"/>
  <c r="D800" i="2"/>
  <c r="H799" i="2"/>
  <c r="G799" i="2"/>
  <c r="D799" i="2"/>
  <c r="L798" i="2"/>
  <c r="H798" i="2"/>
  <c r="G798" i="2"/>
  <c r="D798" i="2"/>
  <c r="H797" i="2"/>
  <c r="G797" i="2"/>
  <c r="D797" i="2"/>
  <c r="N796" i="2"/>
  <c r="H796" i="2"/>
  <c r="G796" i="2"/>
  <c r="D796" i="2"/>
  <c r="H795" i="2"/>
  <c r="G795" i="2"/>
  <c r="D795" i="2"/>
  <c r="H794" i="2"/>
  <c r="G794" i="2"/>
  <c r="D794" i="2"/>
  <c r="O793" i="2"/>
  <c r="H793" i="2"/>
  <c r="G793" i="2"/>
  <c r="D793" i="2"/>
  <c r="H792" i="2"/>
  <c r="G792" i="2"/>
  <c r="D792" i="2"/>
  <c r="M791" i="2"/>
  <c r="H791" i="2"/>
  <c r="G791" i="2"/>
  <c r="D791" i="2"/>
  <c r="L790" i="2"/>
  <c r="H790" i="2"/>
  <c r="G790" i="2"/>
  <c r="D790" i="2"/>
  <c r="O789" i="2"/>
  <c r="H789" i="2"/>
  <c r="G789" i="2"/>
  <c r="D789" i="2"/>
  <c r="H788" i="2"/>
  <c r="G788" i="2"/>
  <c r="D788" i="2"/>
  <c r="H787" i="2"/>
  <c r="G787" i="2"/>
  <c r="D787" i="2"/>
  <c r="L786" i="2"/>
  <c r="H786" i="2"/>
  <c r="G786" i="2"/>
  <c r="D786" i="2"/>
  <c r="H785" i="2"/>
  <c r="G785" i="2"/>
  <c r="D785" i="2"/>
  <c r="N784" i="2"/>
  <c r="H784" i="2"/>
  <c r="G784" i="2"/>
  <c r="D784" i="2"/>
  <c r="M783" i="2"/>
  <c r="H783" i="2"/>
  <c r="G783" i="2"/>
  <c r="D783" i="2"/>
  <c r="H782" i="2"/>
  <c r="G782" i="2"/>
  <c r="D782" i="2"/>
  <c r="H781" i="2"/>
  <c r="G781" i="2"/>
  <c r="D781" i="2"/>
  <c r="H780" i="2"/>
  <c r="G780" i="2"/>
  <c r="D780" i="2"/>
  <c r="M779" i="2"/>
  <c r="H779" i="2"/>
  <c r="G779" i="2"/>
  <c r="D779" i="2"/>
  <c r="H778" i="2"/>
  <c r="G778" i="2"/>
  <c r="D778" i="2"/>
  <c r="O777" i="2"/>
  <c r="H777" i="2"/>
  <c r="G777" i="2"/>
  <c r="D777" i="2"/>
  <c r="N776" i="2"/>
  <c r="H776" i="2"/>
  <c r="F108" i="1" s="1"/>
  <c r="G776" i="2"/>
  <c r="E108" i="1" s="1"/>
  <c r="D776" i="2"/>
  <c r="H775" i="2"/>
  <c r="G775" i="2"/>
  <c r="D775" i="2"/>
  <c r="H774" i="2"/>
  <c r="G774" i="2"/>
  <c r="D774" i="2"/>
  <c r="H773" i="2"/>
  <c r="G773" i="2"/>
  <c r="D773" i="2"/>
  <c r="N772" i="2"/>
  <c r="H772" i="2"/>
  <c r="G772" i="2"/>
  <c r="D772" i="2"/>
  <c r="H771" i="2"/>
  <c r="G771" i="2"/>
  <c r="D771" i="2"/>
  <c r="H770" i="2"/>
  <c r="G770" i="2"/>
  <c r="D770" i="2"/>
  <c r="O769" i="2"/>
  <c r="H769" i="2"/>
  <c r="G769" i="2"/>
  <c r="D769" i="2"/>
  <c r="H768" i="2"/>
  <c r="G768" i="2"/>
  <c r="D768" i="2"/>
  <c r="H767" i="2"/>
  <c r="G767" i="2"/>
  <c r="D767" i="2"/>
  <c r="L766" i="2"/>
  <c r="H766" i="2"/>
  <c r="G766" i="2"/>
  <c r="D766" i="2"/>
  <c r="O765" i="2"/>
  <c r="H765" i="2"/>
  <c r="G765" i="2"/>
  <c r="D765" i="2"/>
  <c r="H764" i="2"/>
  <c r="G764" i="2"/>
  <c r="D764" i="2"/>
  <c r="H763" i="2"/>
  <c r="G763" i="2"/>
  <c r="D763" i="2"/>
  <c r="L762" i="2"/>
  <c r="H762" i="2"/>
  <c r="G762" i="2"/>
  <c r="D762" i="2"/>
  <c r="H761" i="2"/>
  <c r="G761" i="2"/>
  <c r="D761" i="2"/>
  <c r="N760" i="2"/>
  <c r="H760" i="2"/>
  <c r="G760" i="2"/>
  <c r="D760" i="2"/>
  <c r="M759" i="2"/>
  <c r="H759" i="2"/>
  <c r="G759" i="2"/>
  <c r="D759" i="2"/>
  <c r="H758" i="2"/>
  <c r="G758" i="2"/>
  <c r="D758" i="2"/>
  <c r="H757" i="2"/>
  <c r="G757" i="2"/>
  <c r="D757" i="2"/>
  <c r="H756" i="2"/>
  <c r="F107" i="1" s="1"/>
  <c r="G756" i="2"/>
  <c r="E107" i="1" s="1"/>
  <c r="D756" i="2"/>
  <c r="M755" i="2"/>
  <c r="H755" i="2"/>
  <c r="G755" i="2"/>
  <c r="D755" i="2"/>
  <c r="H754" i="2"/>
  <c r="G754" i="2"/>
  <c r="D754" i="2"/>
  <c r="O753" i="2"/>
  <c r="H753" i="2"/>
  <c r="G753" i="2"/>
  <c r="D753" i="2"/>
  <c r="N752" i="2"/>
  <c r="H752" i="2"/>
  <c r="G752" i="2"/>
  <c r="D752" i="2"/>
  <c r="H751" i="2"/>
  <c r="G751" i="2"/>
  <c r="D751" i="2"/>
  <c r="L750" i="2"/>
  <c r="H750" i="2"/>
  <c r="G750" i="2"/>
  <c r="D750" i="2"/>
  <c r="H749" i="2"/>
  <c r="G749" i="2"/>
  <c r="D749" i="2"/>
  <c r="N748" i="2"/>
  <c r="H748" i="2"/>
  <c r="G748" i="2"/>
  <c r="D748" i="2"/>
  <c r="H747" i="2"/>
  <c r="G747" i="2"/>
  <c r="D747" i="2"/>
  <c r="H746" i="2"/>
  <c r="G746" i="2"/>
  <c r="D746" i="2"/>
  <c r="O745" i="2"/>
  <c r="H745" i="2"/>
  <c r="G745" i="2"/>
  <c r="D745" i="2"/>
  <c r="H744" i="2"/>
  <c r="G744" i="2"/>
  <c r="D744" i="2"/>
  <c r="M743" i="2"/>
  <c r="H743" i="2"/>
  <c r="G743" i="2"/>
  <c r="D743" i="2"/>
  <c r="L742" i="2"/>
  <c r="H742" i="2"/>
  <c r="G742" i="2"/>
  <c r="D742" i="2"/>
  <c r="O741" i="2"/>
  <c r="H741" i="2"/>
  <c r="G741" i="2"/>
  <c r="D741" i="2"/>
  <c r="H740" i="2"/>
  <c r="G740" i="2"/>
  <c r="D740" i="2"/>
  <c r="H739" i="2"/>
  <c r="G739" i="2"/>
  <c r="D739" i="2"/>
  <c r="L738" i="2"/>
  <c r="H738" i="2"/>
  <c r="G738" i="2"/>
  <c r="D738" i="2"/>
  <c r="H737" i="2"/>
  <c r="G737" i="2"/>
  <c r="D737" i="2"/>
  <c r="N736" i="2"/>
  <c r="H736" i="2"/>
  <c r="G736" i="2"/>
  <c r="D736" i="2"/>
  <c r="M735" i="2"/>
  <c r="H735" i="2"/>
  <c r="G735" i="2"/>
  <c r="D735" i="2"/>
  <c r="H734" i="2"/>
  <c r="G734" i="2"/>
  <c r="D734" i="2"/>
  <c r="H733" i="2"/>
  <c r="G733" i="2"/>
  <c r="D733" i="2"/>
  <c r="H732" i="2"/>
  <c r="G732" i="2"/>
  <c r="D732" i="2"/>
  <c r="M731" i="2"/>
  <c r="H731" i="2"/>
  <c r="G731" i="2"/>
  <c r="D731" i="2"/>
  <c r="H730" i="2"/>
  <c r="G730" i="2"/>
  <c r="D730" i="2"/>
  <c r="O729" i="2"/>
  <c r="H729" i="2"/>
  <c r="G729" i="2"/>
  <c r="D729" i="2"/>
  <c r="N728" i="2"/>
  <c r="H728" i="2"/>
  <c r="G728" i="2"/>
  <c r="D728" i="2"/>
  <c r="H727" i="2"/>
  <c r="G727" i="2"/>
  <c r="D727" i="2"/>
  <c r="H726" i="2"/>
  <c r="F105" i="1" s="1"/>
  <c r="G726" i="2"/>
  <c r="E105" i="1" s="1"/>
  <c r="D726" i="2"/>
  <c r="H725" i="2"/>
  <c r="F104" i="1" s="1"/>
  <c r="G725" i="2"/>
  <c r="E104" i="1" s="1"/>
  <c r="D725" i="2"/>
  <c r="N724" i="2"/>
  <c r="H724" i="2"/>
  <c r="G724" i="2"/>
  <c r="D724" i="2"/>
  <c r="H723" i="2"/>
  <c r="G723" i="2"/>
  <c r="D723" i="2"/>
  <c r="H722" i="2"/>
  <c r="G722" i="2"/>
  <c r="D722" i="2"/>
  <c r="O721" i="2"/>
  <c r="H721" i="2"/>
  <c r="G721" i="2"/>
  <c r="D721" i="2"/>
  <c r="H720" i="2"/>
  <c r="G720" i="2"/>
  <c r="D720" i="2"/>
  <c r="H719" i="2"/>
  <c r="G719" i="2"/>
  <c r="D719" i="2"/>
  <c r="L718" i="2"/>
  <c r="H718" i="2"/>
  <c r="G718" i="2"/>
  <c r="D718" i="2"/>
  <c r="O717" i="2"/>
  <c r="H717" i="2"/>
  <c r="G717" i="2"/>
  <c r="D717" i="2"/>
  <c r="H716" i="2"/>
  <c r="G716" i="2"/>
  <c r="D716" i="2"/>
  <c r="H715" i="2"/>
  <c r="G715" i="2"/>
  <c r="D715" i="2"/>
  <c r="L714" i="2"/>
  <c r="H714" i="2"/>
  <c r="G714" i="2"/>
  <c r="D714" i="2"/>
  <c r="H713" i="2"/>
  <c r="G713" i="2"/>
  <c r="D713" i="2"/>
  <c r="N712" i="2"/>
  <c r="H712" i="2"/>
  <c r="G712" i="2"/>
  <c r="D712" i="2"/>
  <c r="M711" i="2"/>
  <c r="H711" i="2"/>
  <c r="G711" i="2"/>
  <c r="D711" i="2"/>
  <c r="H710" i="2"/>
  <c r="G710" i="2"/>
  <c r="D710" i="2"/>
  <c r="H709" i="2"/>
  <c r="G709" i="2"/>
  <c r="D709" i="2"/>
  <c r="H708" i="2"/>
  <c r="G708" i="2"/>
  <c r="D708" i="2"/>
  <c r="M707" i="2"/>
  <c r="H707" i="2"/>
  <c r="G707" i="2"/>
  <c r="D707" i="2"/>
  <c r="H706" i="2"/>
  <c r="G706" i="2"/>
  <c r="D706" i="2"/>
  <c r="O705" i="2"/>
  <c r="H705" i="2"/>
  <c r="G705" i="2"/>
  <c r="D705" i="2"/>
  <c r="N704" i="2"/>
  <c r="H704" i="2"/>
  <c r="G704" i="2"/>
  <c r="D704" i="2"/>
  <c r="H703" i="2"/>
  <c r="G703" i="2"/>
  <c r="D703" i="2"/>
  <c r="L702" i="2"/>
  <c r="H702" i="2"/>
  <c r="G702" i="2"/>
  <c r="D702" i="2"/>
  <c r="H701" i="2"/>
  <c r="G701" i="2"/>
  <c r="D701" i="2"/>
  <c r="N700" i="2"/>
  <c r="H700" i="2"/>
  <c r="G700" i="2"/>
  <c r="D700" i="2"/>
  <c r="H699" i="2"/>
  <c r="G699" i="2"/>
  <c r="D699" i="2"/>
  <c r="H698" i="2"/>
  <c r="G698" i="2"/>
  <c r="D698" i="2"/>
  <c r="O697" i="2"/>
  <c r="H697" i="2"/>
  <c r="G697" i="2"/>
  <c r="D697" i="2"/>
  <c r="H696" i="2"/>
  <c r="G696" i="2"/>
  <c r="D696" i="2"/>
  <c r="M695" i="2"/>
  <c r="H695" i="2"/>
  <c r="G695" i="2"/>
  <c r="D695" i="2"/>
  <c r="L694" i="2"/>
  <c r="H694" i="2"/>
  <c r="G694" i="2"/>
  <c r="D694" i="2"/>
  <c r="O693" i="2"/>
  <c r="H693" i="2"/>
  <c r="G693" i="2"/>
  <c r="D693" i="2"/>
  <c r="H692" i="2"/>
  <c r="G692" i="2"/>
  <c r="D692" i="2"/>
  <c r="H691" i="2"/>
  <c r="G691" i="2"/>
  <c r="D691" i="2"/>
  <c r="L690" i="2"/>
  <c r="H690" i="2"/>
  <c r="G690" i="2"/>
  <c r="D690" i="2"/>
  <c r="H689" i="2"/>
  <c r="G689" i="2"/>
  <c r="D689" i="2"/>
  <c r="N688" i="2"/>
  <c r="H688" i="2"/>
  <c r="G688" i="2"/>
  <c r="D688" i="2"/>
  <c r="M687" i="2"/>
  <c r="H687" i="2"/>
  <c r="G687" i="2"/>
  <c r="D687" i="2"/>
  <c r="H686" i="2"/>
  <c r="G686" i="2"/>
  <c r="D686" i="2"/>
  <c r="H685" i="2"/>
  <c r="G685" i="2"/>
  <c r="D685" i="2"/>
  <c r="H684" i="2"/>
  <c r="G684" i="2"/>
  <c r="D684" i="2"/>
  <c r="M683" i="2"/>
  <c r="H683" i="2"/>
  <c r="G683" i="2"/>
  <c r="D683" i="2"/>
  <c r="H682" i="2"/>
  <c r="G682" i="2"/>
  <c r="D682" i="2"/>
  <c r="O681" i="2"/>
  <c r="H681" i="2"/>
  <c r="G681" i="2"/>
  <c r="D681" i="2"/>
  <c r="N680" i="2"/>
  <c r="H680" i="2"/>
  <c r="G680" i="2"/>
  <c r="D680" i="2"/>
  <c r="H679" i="2"/>
  <c r="G679" i="2"/>
  <c r="D679" i="2"/>
  <c r="H678" i="2"/>
  <c r="G678" i="2"/>
  <c r="D678" i="2"/>
  <c r="H677" i="2"/>
  <c r="G677" i="2"/>
  <c r="D677" i="2"/>
  <c r="N676" i="2"/>
  <c r="H676" i="2"/>
  <c r="G676" i="2"/>
  <c r="D676" i="2"/>
  <c r="H675" i="2"/>
  <c r="G675" i="2"/>
  <c r="D675" i="2"/>
  <c r="H674" i="2"/>
  <c r="G674" i="2"/>
  <c r="D674" i="2"/>
  <c r="O673" i="2"/>
  <c r="H673" i="2"/>
  <c r="G673" i="2"/>
  <c r="D673" i="2"/>
  <c r="H672" i="2"/>
  <c r="G672" i="2"/>
  <c r="D672" i="2"/>
  <c r="H671" i="2"/>
  <c r="G671" i="2"/>
  <c r="D671" i="2"/>
  <c r="L670" i="2"/>
  <c r="H670" i="2"/>
  <c r="G670" i="2"/>
  <c r="D670" i="2"/>
  <c r="O669" i="2"/>
  <c r="H669" i="2"/>
  <c r="G669" i="2"/>
  <c r="D669" i="2"/>
  <c r="H668" i="2"/>
  <c r="G668" i="2"/>
  <c r="D668" i="2"/>
  <c r="H667" i="2"/>
  <c r="G667" i="2"/>
  <c r="D667" i="2"/>
  <c r="L666" i="2"/>
  <c r="H666" i="2"/>
  <c r="G666" i="2"/>
  <c r="D666" i="2"/>
  <c r="H665" i="2"/>
  <c r="G665" i="2"/>
  <c r="D665" i="2"/>
  <c r="N664" i="2"/>
  <c r="H664" i="2"/>
  <c r="G664" i="2"/>
  <c r="D664" i="2"/>
  <c r="M663" i="2"/>
  <c r="H663" i="2"/>
  <c r="G663" i="2"/>
  <c r="D663" i="2"/>
  <c r="H662" i="2"/>
  <c r="G662" i="2"/>
  <c r="D662" i="2"/>
  <c r="H661" i="2"/>
  <c r="G661" i="2"/>
  <c r="D661" i="2"/>
  <c r="H660" i="2"/>
  <c r="G660" i="2"/>
  <c r="D660" i="2"/>
  <c r="M659" i="2"/>
  <c r="H659" i="2"/>
  <c r="G659" i="2"/>
  <c r="D659" i="2"/>
  <c r="H658" i="2"/>
  <c r="G658" i="2"/>
  <c r="D658" i="2"/>
  <c r="O657" i="2"/>
  <c r="H657" i="2"/>
  <c r="G657" i="2"/>
  <c r="D657" i="2"/>
  <c r="N656" i="2"/>
  <c r="H656" i="2"/>
  <c r="G656" i="2"/>
  <c r="D656" i="2"/>
  <c r="H655" i="2"/>
  <c r="G655" i="2"/>
  <c r="D655" i="2"/>
  <c r="L654" i="2"/>
  <c r="H654" i="2"/>
  <c r="G654" i="2"/>
  <c r="D654" i="2"/>
  <c r="H653" i="2"/>
  <c r="G653" i="2"/>
  <c r="D653" i="2"/>
  <c r="N652" i="2"/>
  <c r="H652" i="2"/>
  <c r="G652" i="2"/>
  <c r="D652" i="2"/>
  <c r="H651" i="2"/>
  <c r="G651" i="2"/>
  <c r="D651" i="2"/>
  <c r="H650" i="2"/>
  <c r="G650" i="2"/>
  <c r="D650" i="2"/>
  <c r="O649" i="2"/>
  <c r="H649" i="2"/>
  <c r="G649" i="2"/>
  <c r="D649" i="2"/>
  <c r="H648" i="2"/>
  <c r="G648" i="2"/>
  <c r="D648" i="2"/>
  <c r="M647" i="2"/>
  <c r="H647" i="2"/>
  <c r="G647" i="2"/>
  <c r="D647" i="2"/>
  <c r="L646" i="2"/>
  <c r="H646" i="2"/>
  <c r="G646" i="2"/>
  <c r="D646" i="2"/>
  <c r="O645" i="2"/>
  <c r="H645" i="2"/>
  <c r="G645" i="2"/>
  <c r="D645" i="2"/>
  <c r="H644" i="2"/>
  <c r="G644" i="2"/>
  <c r="D644" i="2"/>
  <c r="H643" i="2"/>
  <c r="G643" i="2"/>
  <c r="D643" i="2"/>
  <c r="L642" i="2"/>
  <c r="H642" i="2"/>
  <c r="G642" i="2"/>
  <c r="D642" i="2"/>
  <c r="H641" i="2"/>
  <c r="G641" i="2"/>
  <c r="D641" i="2"/>
  <c r="N640" i="2"/>
  <c r="H640" i="2"/>
  <c r="G640" i="2"/>
  <c r="D640" i="2"/>
  <c r="M639" i="2"/>
  <c r="H639" i="2"/>
  <c r="G639" i="2"/>
  <c r="D639" i="2"/>
  <c r="H638" i="2"/>
  <c r="G638" i="2"/>
  <c r="D638" i="2"/>
  <c r="H637" i="2"/>
  <c r="F103" i="1" s="1"/>
  <c r="G637" i="2"/>
  <c r="E103" i="1" s="1"/>
  <c r="D637" i="2"/>
  <c r="H636" i="2"/>
  <c r="G636" i="2"/>
  <c r="D636" i="2"/>
  <c r="M635" i="2"/>
  <c r="H635" i="2"/>
  <c r="G635" i="2"/>
  <c r="D635" i="2"/>
  <c r="H634" i="2"/>
  <c r="G634" i="2"/>
  <c r="D634" i="2"/>
  <c r="O633" i="2"/>
  <c r="H633" i="2"/>
  <c r="G633" i="2"/>
  <c r="D633" i="2"/>
  <c r="N632" i="2"/>
  <c r="H632" i="2"/>
  <c r="G632" i="2"/>
  <c r="D632" i="2"/>
  <c r="H631" i="2"/>
  <c r="G631" i="2"/>
  <c r="D631" i="2"/>
  <c r="L630" i="2"/>
  <c r="H630" i="2"/>
  <c r="G630" i="2"/>
  <c r="D630" i="2"/>
  <c r="H629" i="2"/>
  <c r="G629" i="2"/>
  <c r="D629" i="2"/>
  <c r="N628" i="2"/>
  <c r="H628" i="2"/>
  <c r="G628" i="2"/>
  <c r="D628" i="2"/>
  <c r="H627" i="2"/>
  <c r="G627" i="2"/>
  <c r="D627" i="2"/>
  <c r="H626" i="2"/>
  <c r="G626" i="2"/>
  <c r="D626" i="2"/>
  <c r="O625" i="2"/>
  <c r="H625" i="2"/>
  <c r="G625" i="2"/>
  <c r="D625" i="2"/>
  <c r="H624" i="2"/>
  <c r="G624" i="2"/>
  <c r="D624" i="2"/>
  <c r="M623" i="2"/>
  <c r="H623" i="2"/>
  <c r="G623" i="2"/>
  <c r="D623" i="2"/>
  <c r="L622" i="2"/>
  <c r="H622" i="2"/>
  <c r="G622" i="2"/>
  <c r="D622" i="2"/>
  <c r="O621" i="2"/>
  <c r="H621" i="2"/>
  <c r="G621" i="2"/>
  <c r="D621" i="2"/>
  <c r="H620" i="2"/>
  <c r="G620" i="2"/>
  <c r="D620" i="2"/>
  <c r="H619" i="2"/>
  <c r="G619" i="2"/>
  <c r="D619" i="2"/>
  <c r="L618" i="2"/>
  <c r="H618" i="2"/>
  <c r="G618" i="2"/>
  <c r="D618" i="2"/>
  <c r="H617" i="2"/>
  <c r="G617" i="2"/>
  <c r="D617" i="2"/>
  <c r="N616" i="2"/>
  <c r="H616" i="2"/>
  <c r="G616" i="2"/>
  <c r="D616" i="2"/>
  <c r="M615" i="2"/>
  <c r="H615" i="2"/>
  <c r="G615" i="2"/>
  <c r="D615" i="2"/>
  <c r="H614" i="2"/>
  <c r="G614" i="2"/>
  <c r="D614" i="2"/>
  <c r="H613" i="2"/>
  <c r="G613" i="2"/>
  <c r="D613" i="2"/>
  <c r="H612" i="2"/>
  <c r="G612" i="2"/>
  <c r="D612" i="2"/>
  <c r="M611" i="2"/>
  <c r="H611" i="2"/>
  <c r="G611" i="2"/>
  <c r="D611" i="2"/>
  <c r="H610" i="2"/>
  <c r="G610" i="2"/>
  <c r="D610" i="2"/>
  <c r="O609" i="2"/>
  <c r="H609" i="2"/>
  <c r="G609" i="2"/>
  <c r="D609" i="2"/>
  <c r="N608" i="2"/>
  <c r="H608" i="2"/>
  <c r="G608" i="2"/>
  <c r="D608" i="2"/>
  <c r="H607" i="2"/>
  <c r="G607" i="2"/>
  <c r="D607" i="2"/>
  <c r="L606" i="2"/>
  <c r="H606" i="2"/>
  <c r="G606" i="2"/>
  <c r="D606" i="2"/>
  <c r="H605" i="2"/>
  <c r="G605" i="2"/>
  <c r="D605" i="2"/>
  <c r="N604" i="2"/>
  <c r="H604" i="2"/>
  <c r="G604" i="2"/>
  <c r="D604" i="2"/>
  <c r="H603" i="2"/>
  <c r="G603" i="2"/>
  <c r="D603" i="2"/>
  <c r="H602" i="2"/>
  <c r="G602" i="2"/>
  <c r="D602" i="2"/>
  <c r="O601" i="2"/>
  <c r="H601" i="2"/>
  <c r="F99" i="1" s="1"/>
  <c r="G601" i="2"/>
  <c r="E99" i="1" s="1"/>
  <c r="D601" i="2"/>
  <c r="H600" i="2"/>
  <c r="G600" i="2"/>
  <c r="D600" i="2"/>
  <c r="M599" i="2"/>
  <c r="H599" i="2"/>
  <c r="G599" i="2"/>
  <c r="D599" i="2"/>
  <c r="L598" i="2"/>
  <c r="H598" i="2"/>
  <c r="G598" i="2"/>
  <c r="D598" i="2"/>
  <c r="O597" i="2"/>
  <c r="H597" i="2"/>
  <c r="G597" i="2"/>
  <c r="D597" i="2"/>
  <c r="H596" i="2"/>
  <c r="G596" i="2"/>
  <c r="D596" i="2"/>
  <c r="H595" i="2"/>
  <c r="G595" i="2"/>
  <c r="D595" i="2"/>
  <c r="L594" i="2"/>
  <c r="H594" i="2"/>
  <c r="G594" i="2"/>
  <c r="D594" i="2"/>
  <c r="H593" i="2"/>
  <c r="G593" i="2"/>
  <c r="D593" i="2"/>
  <c r="N592" i="2"/>
  <c r="H592" i="2"/>
  <c r="G592" i="2"/>
  <c r="D592" i="2"/>
  <c r="M591" i="2"/>
  <c r="H591" i="2"/>
  <c r="G591" i="2"/>
  <c r="D591" i="2"/>
  <c r="H590" i="2"/>
  <c r="G590" i="2"/>
  <c r="D590" i="2"/>
  <c r="H589" i="2"/>
  <c r="G589" i="2"/>
  <c r="D589" i="2"/>
  <c r="H588" i="2"/>
  <c r="G588" i="2"/>
  <c r="D588" i="2"/>
  <c r="M587" i="2"/>
  <c r="H587" i="2"/>
  <c r="G587" i="2"/>
  <c r="D587" i="2"/>
  <c r="H586" i="2"/>
  <c r="G586" i="2"/>
  <c r="D586" i="2"/>
  <c r="O585" i="2"/>
  <c r="H585" i="2"/>
  <c r="F98" i="1" s="1"/>
  <c r="G585" i="2"/>
  <c r="E98" i="1" s="1"/>
  <c r="D585" i="2"/>
  <c r="N584" i="2"/>
  <c r="H584" i="2"/>
  <c r="G584" i="2"/>
  <c r="D584" i="2"/>
  <c r="H583" i="2"/>
  <c r="G583" i="2"/>
  <c r="D583" i="2"/>
  <c r="L582" i="2"/>
  <c r="H582" i="2"/>
  <c r="G582" i="2"/>
  <c r="D582" i="2"/>
  <c r="H581" i="2"/>
  <c r="G581" i="2"/>
  <c r="D581" i="2"/>
  <c r="N580" i="2"/>
  <c r="H580" i="2"/>
  <c r="G580" i="2"/>
  <c r="D580" i="2"/>
  <c r="H579" i="2"/>
  <c r="G579" i="2"/>
  <c r="D579" i="2"/>
  <c r="H578" i="2"/>
  <c r="G578" i="2"/>
  <c r="D578" i="2"/>
  <c r="O577" i="2"/>
  <c r="H577" i="2"/>
  <c r="G577" i="2"/>
  <c r="D577" i="2"/>
  <c r="H576" i="2"/>
  <c r="G576" i="2"/>
  <c r="D576" i="2"/>
  <c r="M575" i="2"/>
  <c r="H575" i="2"/>
  <c r="G575" i="2"/>
  <c r="D575" i="2"/>
  <c r="L574" i="2"/>
  <c r="H574" i="2"/>
  <c r="G574" i="2"/>
  <c r="D574" i="2"/>
  <c r="O573" i="2"/>
  <c r="H573" i="2"/>
  <c r="G573" i="2"/>
  <c r="D573" i="2"/>
  <c r="H572" i="2"/>
  <c r="G572" i="2"/>
  <c r="D572" i="2"/>
  <c r="H571" i="2"/>
  <c r="G571" i="2"/>
  <c r="D571" i="2"/>
  <c r="L570" i="2"/>
  <c r="H570" i="2"/>
  <c r="G570" i="2"/>
  <c r="D570" i="2"/>
  <c r="H569" i="2"/>
  <c r="G569" i="2"/>
  <c r="D569" i="2"/>
  <c r="N568" i="2"/>
  <c r="H568" i="2"/>
  <c r="G568" i="2"/>
  <c r="D568" i="2"/>
  <c r="M567" i="2"/>
  <c r="H567" i="2"/>
  <c r="G567" i="2"/>
  <c r="D567" i="2"/>
  <c r="H566" i="2"/>
  <c r="G566" i="2"/>
  <c r="D566" i="2"/>
  <c r="H565" i="2"/>
  <c r="G565" i="2"/>
  <c r="D565" i="2"/>
  <c r="H564" i="2"/>
  <c r="G564" i="2"/>
  <c r="D564" i="2"/>
  <c r="M563" i="2"/>
  <c r="H563" i="2"/>
  <c r="G563" i="2"/>
  <c r="D563" i="2"/>
  <c r="H562" i="2"/>
  <c r="G562" i="2"/>
  <c r="D562" i="2"/>
  <c r="O561" i="2"/>
  <c r="H561" i="2"/>
  <c r="G561" i="2"/>
  <c r="D561" i="2"/>
  <c r="N560" i="2"/>
  <c r="H560" i="2"/>
  <c r="G560" i="2"/>
  <c r="D560" i="2"/>
  <c r="H559" i="2"/>
  <c r="G559" i="2"/>
  <c r="D559" i="2"/>
  <c r="L558" i="2"/>
  <c r="H558" i="2"/>
  <c r="G558" i="2"/>
  <c r="D558" i="2"/>
  <c r="H557" i="2"/>
  <c r="G557" i="2"/>
  <c r="D557" i="2"/>
  <c r="N556" i="2"/>
  <c r="H556" i="2"/>
  <c r="G556" i="2"/>
  <c r="D556" i="2"/>
  <c r="H555" i="2"/>
  <c r="G555" i="2"/>
  <c r="D555" i="2"/>
  <c r="H554" i="2"/>
  <c r="G554" i="2"/>
  <c r="D554" i="2"/>
  <c r="O553" i="2"/>
  <c r="H553" i="2"/>
  <c r="G553" i="2"/>
  <c r="D553" i="2"/>
  <c r="H552" i="2"/>
  <c r="G552" i="2"/>
  <c r="D552" i="2"/>
  <c r="M551" i="2"/>
  <c r="H551" i="2"/>
  <c r="G551" i="2"/>
  <c r="D551" i="2"/>
  <c r="L550" i="2"/>
  <c r="H550" i="2"/>
  <c r="G550" i="2"/>
  <c r="D550" i="2"/>
  <c r="O549" i="2"/>
  <c r="H549" i="2"/>
  <c r="G549" i="2"/>
  <c r="D549" i="2"/>
  <c r="H548" i="2"/>
  <c r="G548" i="2"/>
  <c r="D548" i="2"/>
  <c r="H547" i="2"/>
  <c r="G547" i="2"/>
  <c r="D547" i="2"/>
  <c r="L546" i="2"/>
  <c r="H546" i="2"/>
  <c r="G546" i="2"/>
  <c r="D546" i="2"/>
  <c r="H545" i="2"/>
  <c r="G545" i="2"/>
  <c r="D545" i="2"/>
  <c r="N544" i="2"/>
  <c r="H544" i="2"/>
  <c r="G544" i="2"/>
  <c r="D544" i="2"/>
  <c r="M543" i="2"/>
  <c r="H543" i="2"/>
  <c r="G543" i="2"/>
  <c r="D543" i="2"/>
  <c r="H542" i="2"/>
  <c r="G542" i="2"/>
  <c r="D542" i="2"/>
  <c r="H541" i="2"/>
  <c r="G541" i="2"/>
  <c r="D541" i="2"/>
  <c r="H540" i="2"/>
  <c r="G540" i="2"/>
  <c r="D540" i="2"/>
  <c r="M539" i="2"/>
  <c r="H539" i="2"/>
  <c r="G539" i="2"/>
  <c r="D539" i="2"/>
  <c r="H538" i="2"/>
  <c r="G538" i="2"/>
  <c r="D538" i="2"/>
  <c r="O537" i="2"/>
  <c r="H537" i="2"/>
  <c r="G537" i="2"/>
  <c r="D537" i="2"/>
  <c r="N536" i="2"/>
  <c r="H536" i="2"/>
  <c r="G536" i="2"/>
  <c r="D536" i="2"/>
  <c r="H535" i="2"/>
  <c r="G535" i="2"/>
  <c r="D535" i="2"/>
  <c r="L534" i="2"/>
  <c r="H534" i="2"/>
  <c r="G534" i="2"/>
  <c r="D534" i="2"/>
  <c r="H533" i="2"/>
  <c r="G533" i="2"/>
  <c r="D533" i="2"/>
  <c r="N532" i="2"/>
  <c r="H532" i="2"/>
  <c r="G532" i="2"/>
  <c r="D532" i="2"/>
  <c r="H531" i="2"/>
  <c r="G531" i="2"/>
  <c r="D531" i="2"/>
  <c r="H530" i="2"/>
  <c r="G530" i="2"/>
  <c r="D530" i="2"/>
  <c r="O529" i="2"/>
  <c r="H529" i="2"/>
  <c r="G529" i="2"/>
  <c r="D529" i="2"/>
  <c r="H528" i="2"/>
  <c r="G528" i="2"/>
  <c r="D528" i="2"/>
  <c r="M527" i="2"/>
  <c r="H527" i="2"/>
  <c r="G527" i="2"/>
  <c r="D527" i="2"/>
  <c r="L526" i="2"/>
  <c r="H526" i="2"/>
  <c r="G526" i="2"/>
  <c r="D526" i="2"/>
  <c r="O525" i="2"/>
  <c r="H525" i="2"/>
  <c r="F89" i="1" s="1"/>
  <c r="G525" i="2"/>
  <c r="E89" i="1" s="1"/>
  <c r="D525" i="2"/>
  <c r="H524" i="2"/>
  <c r="G524" i="2"/>
  <c r="D524" i="2"/>
  <c r="H523" i="2"/>
  <c r="G523" i="2"/>
  <c r="D523" i="2"/>
  <c r="L522" i="2"/>
  <c r="H522" i="2"/>
  <c r="G522" i="2"/>
  <c r="D522" i="2"/>
  <c r="H521" i="2"/>
  <c r="G521" i="2"/>
  <c r="D521" i="2"/>
  <c r="N520" i="2"/>
  <c r="H520" i="2"/>
  <c r="G520" i="2"/>
  <c r="D520" i="2"/>
  <c r="M519" i="2"/>
  <c r="H519" i="2"/>
  <c r="G519" i="2"/>
  <c r="D519" i="2"/>
  <c r="H518" i="2"/>
  <c r="G518" i="2"/>
  <c r="D518" i="2"/>
  <c r="H517" i="2"/>
  <c r="G517" i="2"/>
  <c r="D517" i="2"/>
  <c r="H516" i="2"/>
  <c r="G516" i="2"/>
  <c r="D516" i="2"/>
  <c r="M515" i="2"/>
  <c r="H515" i="2"/>
  <c r="G515" i="2"/>
  <c r="D515" i="2"/>
  <c r="H514" i="2"/>
  <c r="G514" i="2"/>
  <c r="D514" i="2"/>
  <c r="O513" i="2"/>
  <c r="H513" i="2"/>
  <c r="G513" i="2"/>
  <c r="D513" i="2"/>
  <c r="N512" i="2"/>
  <c r="H512" i="2"/>
  <c r="G512" i="2"/>
  <c r="D512" i="2"/>
  <c r="H511" i="2"/>
  <c r="G511" i="2"/>
  <c r="D511" i="2"/>
  <c r="L510" i="2"/>
  <c r="H510" i="2"/>
  <c r="G510" i="2"/>
  <c r="D510" i="2"/>
  <c r="H509" i="2"/>
  <c r="G509" i="2"/>
  <c r="D509" i="2"/>
  <c r="N508" i="2"/>
  <c r="H508" i="2"/>
  <c r="G508" i="2"/>
  <c r="D508" i="2"/>
  <c r="H507" i="2"/>
  <c r="G507" i="2"/>
  <c r="D507" i="2"/>
  <c r="H506" i="2"/>
  <c r="G506" i="2"/>
  <c r="D506" i="2"/>
  <c r="O505" i="2"/>
  <c r="H505" i="2"/>
  <c r="G505" i="2"/>
  <c r="D505" i="2"/>
  <c r="H504" i="2"/>
  <c r="G504" i="2"/>
  <c r="D504" i="2"/>
  <c r="M503" i="2"/>
  <c r="H503" i="2"/>
  <c r="G503" i="2"/>
  <c r="D503" i="2"/>
  <c r="L502" i="2"/>
  <c r="H502" i="2"/>
  <c r="G502" i="2"/>
  <c r="D502" i="2"/>
  <c r="O501" i="2"/>
  <c r="H501" i="2"/>
  <c r="G501" i="2"/>
  <c r="D501" i="2"/>
  <c r="H500" i="2"/>
  <c r="G500" i="2"/>
  <c r="D500" i="2"/>
  <c r="H499" i="2"/>
  <c r="G499" i="2"/>
  <c r="D499" i="2"/>
  <c r="L498" i="2"/>
  <c r="H498" i="2"/>
  <c r="G498" i="2"/>
  <c r="D498" i="2"/>
  <c r="H497" i="2"/>
  <c r="G497" i="2"/>
  <c r="D497" i="2"/>
  <c r="N496" i="2"/>
  <c r="H496" i="2"/>
  <c r="G496" i="2"/>
  <c r="D496" i="2"/>
  <c r="M495" i="2"/>
  <c r="H495" i="2"/>
  <c r="G495" i="2"/>
  <c r="D495" i="2"/>
  <c r="H494" i="2"/>
  <c r="G494" i="2"/>
  <c r="D494" i="2"/>
  <c r="H493" i="2"/>
  <c r="G493" i="2"/>
  <c r="D493" i="2"/>
  <c r="H492" i="2"/>
  <c r="G492" i="2"/>
  <c r="D492" i="2"/>
  <c r="M491" i="2"/>
  <c r="H491" i="2"/>
  <c r="G491" i="2"/>
  <c r="D491" i="2"/>
  <c r="H490" i="2"/>
  <c r="G490" i="2"/>
  <c r="D490" i="2"/>
  <c r="O489" i="2"/>
  <c r="H489" i="2"/>
  <c r="G489" i="2"/>
  <c r="D489" i="2"/>
  <c r="N488" i="2"/>
  <c r="H488" i="2"/>
  <c r="G488" i="2"/>
  <c r="D488" i="2"/>
  <c r="O487" i="2"/>
  <c r="N487" i="2"/>
  <c r="M487" i="2"/>
  <c r="L487" i="2"/>
  <c r="H487" i="2"/>
  <c r="G487" i="2"/>
  <c r="D487" i="2"/>
  <c r="O486" i="2"/>
  <c r="N486" i="2"/>
  <c r="M486" i="2"/>
  <c r="L486" i="2"/>
  <c r="H486" i="2"/>
  <c r="G486" i="2"/>
  <c r="D486" i="2"/>
  <c r="O485" i="2"/>
  <c r="N485" i="2"/>
  <c r="M485" i="2"/>
  <c r="L485" i="2"/>
  <c r="H485" i="2"/>
  <c r="G485" i="2"/>
  <c r="D485" i="2"/>
  <c r="O484" i="2"/>
  <c r="N484" i="2"/>
  <c r="M484" i="2"/>
  <c r="L484" i="2"/>
  <c r="H484" i="2"/>
  <c r="G484" i="2"/>
  <c r="D484" i="2"/>
  <c r="O483" i="2"/>
  <c r="N483" i="2"/>
  <c r="M483" i="2"/>
  <c r="L483" i="2"/>
  <c r="H483" i="2"/>
  <c r="G483" i="2"/>
  <c r="D483" i="2"/>
  <c r="O482" i="2"/>
  <c r="N482" i="2"/>
  <c r="M482" i="2"/>
  <c r="L482" i="2"/>
  <c r="H482" i="2"/>
  <c r="G482" i="2"/>
  <c r="D482" i="2"/>
  <c r="O481" i="2"/>
  <c r="N481" i="2"/>
  <c r="M481" i="2"/>
  <c r="L481" i="2"/>
  <c r="H481" i="2"/>
  <c r="G481" i="2"/>
  <c r="D481" i="2"/>
  <c r="O480" i="2"/>
  <c r="N480" i="2"/>
  <c r="M480" i="2"/>
  <c r="L480" i="2"/>
  <c r="H480" i="2"/>
  <c r="G480" i="2"/>
  <c r="D480" i="2"/>
  <c r="O479" i="2"/>
  <c r="N479" i="2"/>
  <c r="M479" i="2"/>
  <c r="L479" i="2"/>
  <c r="H479" i="2"/>
  <c r="G479" i="2"/>
  <c r="D479" i="2"/>
  <c r="O478" i="2"/>
  <c r="N478" i="2"/>
  <c r="M478" i="2"/>
  <c r="L478" i="2"/>
  <c r="H478" i="2"/>
  <c r="G478" i="2"/>
  <c r="D478" i="2"/>
  <c r="O477" i="2"/>
  <c r="N477" i="2"/>
  <c r="M477" i="2"/>
  <c r="L477" i="2"/>
  <c r="H477" i="2"/>
  <c r="G477" i="2"/>
  <c r="D477" i="2"/>
  <c r="O476" i="2"/>
  <c r="N476" i="2"/>
  <c r="M476" i="2"/>
  <c r="L476" i="2"/>
  <c r="H476" i="2"/>
  <c r="G476" i="2"/>
  <c r="D476" i="2"/>
  <c r="O475" i="2"/>
  <c r="N475" i="2"/>
  <c r="M475" i="2"/>
  <c r="L475" i="2"/>
  <c r="H475" i="2"/>
  <c r="G475" i="2"/>
  <c r="D475" i="2"/>
  <c r="O474" i="2"/>
  <c r="N474" i="2"/>
  <c r="M474" i="2"/>
  <c r="L474" i="2"/>
  <c r="H474" i="2"/>
  <c r="G474" i="2"/>
  <c r="D474" i="2"/>
  <c r="O473" i="2"/>
  <c r="N473" i="2"/>
  <c r="M473" i="2"/>
  <c r="L473" i="2"/>
  <c r="H473" i="2"/>
  <c r="G473" i="2"/>
  <c r="D473" i="2"/>
  <c r="O472" i="2"/>
  <c r="N472" i="2"/>
  <c r="M472" i="2"/>
  <c r="L472" i="2"/>
  <c r="H472" i="2"/>
  <c r="G472" i="2"/>
  <c r="D472" i="2"/>
  <c r="O471" i="2"/>
  <c r="N471" i="2"/>
  <c r="M471" i="2"/>
  <c r="L471" i="2"/>
  <c r="H471" i="2"/>
  <c r="G471" i="2"/>
  <c r="D471" i="2"/>
  <c r="O470" i="2"/>
  <c r="N470" i="2"/>
  <c r="M470" i="2"/>
  <c r="L470" i="2"/>
  <c r="H470" i="2"/>
  <c r="G470" i="2"/>
  <c r="D470" i="2"/>
  <c r="O469" i="2"/>
  <c r="N469" i="2"/>
  <c r="M469" i="2"/>
  <c r="L469" i="2"/>
  <c r="H469" i="2"/>
  <c r="G469" i="2"/>
  <c r="D469" i="2"/>
  <c r="O468" i="2"/>
  <c r="N468" i="2"/>
  <c r="M468" i="2"/>
  <c r="L468" i="2"/>
  <c r="H468" i="2"/>
  <c r="G468" i="2"/>
  <c r="D468" i="2"/>
  <c r="O467" i="2"/>
  <c r="N467" i="2"/>
  <c r="M467" i="2"/>
  <c r="L467" i="2"/>
  <c r="H467" i="2"/>
  <c r="G467" i="2"/>
  <c r="D467" i="2"/>
  <c r="O466" i="2"/>
  <c r="N466" i="2"/>
  <c r="M466" i="2"/>
  <c r="L466" i="2"/>
  <c r="H466" i="2"/>
  <c r="G466" i="2"/>
  <c r="D466" i="2"/>
  <c r="O465" i="2"/>
  <c r="N465" i="2"/>
  <c r="M465" i="2"/>
  <c r="L465" i="2"/>
  <c r="H465" i="2"/>
  <c r="G465" i="2"/>
  <c r="D465" i="2"/>
  <c r="O464" i="2"/>
  <c r="N464" i="2"/>
  <c r="M464" i="2"/>
  <c r="L464" i="2"/>
  <c r="H464" i="2"/>
  <c r="G464" i="2"/>
  <c r="D464" i="2"/>
  <c r="O463" i="2"/>
  <c r="N463" i="2"/>
  <c r="M463" i="2"/>
  <c r="L463" i="2"/>
  <c r="H463" i="2"/>
  <c r="G463" i="2"/>
  <c r="D463" i="2"/>
  <c r="O462" i="2"/>
  <c r="N462" i="2"/>
  <c r="M462" i="2"/>
  <c r="L462" i="2"/>
  <c r="H462" i="2"/>
  <c r="G462" i="2"/>
  <c r="D462" i="2"/>
  <c r="O461" i="2"/>
  <c r="N461" i="2"/>
  <c r="M461" i="2"/>
  <c r="L461" i="2"/>
  <c r="H461" i="2"/>
  <c r="G461" i="2"/>
  <c r="D461" i="2"/>
  <c r="O460" i="2"/>
  <c r="N460" i="2"/>
  <c r="M460" i="2"/>
  <c r="L460" i="2"/>
  <c r="H460" i="2"/>
  <c r="G460" i="2"/>
  <c r="D460" i="2"/>
  <c r="O459" i="2"/>
  <c r="N459" i="2"/>
  <c r="M459" i="2"/>
  <c r="L459" i="2"/>
  <c r="H459" i="2"/>
  <c r="G459" i="2"/>
  <c r="D459" i="2"/>
  <c r="O458" i="2"/>
  <c r="N458" i="2"/>
  <c r="M458" i="2"/>
  <c r="L458" i="2"/>
  <c r="H458" i="2"/>
  <c r="G458" i="2"/>
  <c r="D458" i="2"/>
  <c r="O457" i="2"/>
  <c r="N457" i="2"/>
  <c r="M457" i="2"/>
  <c r="L457" i="2"/>
  <c r="H457" i="2"/>
  <c r="G457" i="2"/>
  <c r="D457" i="2"/>
  <c r="O456" i="2"/>
  <c r="N456" i="2"/>
  <c r="M456" i="2"/>
  <c r="L456" i="2"/>
  <c r="H456" i="2"/>
  <c r="G456" i="2"/>
  <c r="D456" i="2"/>
  <c r="O455" i="2"/>
  <c r="N455" i="2"/>
  <c r="M455" i="2"/>
  <c r="L455" i="2"/>
  <c r="H455" i="2"/>
  <c r="G455" i="2"/>
  <c r="D455" i="2"/>
  <c r="O454" i="2"/>
  <c r="N454" i="2"/>
  <c r="M454" i="2"/>
  <c r="L454" i="2"/>
  <c r="H454" i="2"/>
  <c r="G454" i="2"/>
  <c r="D454" i="2"/>
  <c r="O453" i="2"/>
  <c r="N453" i="2"/>
  <c r="M453" i="2"/>
  <c r="L453" i="2"/>
  <c r="H453" i="2"/>
  <c r="G453" i="2"/>
  <c r="D453" i="2"/>
  <c r="O452" i="2"/>
  <c r="N452" i="2"/>
  <c r="M452" i="2"/>
  <c r="L452" i="2"/>
  <c r="H452" i="2"/>
  <c r="G452" i="2"/>
  <c r="D452" i="2"/>
  <c r="O451" i="2"/>
  <c r="N451" i="2"/>
  <c r="M451" i="2"/>
  <c r="L451" i="2"/>
  <c r="H451" i="2"/>
  <c r="G451" i="2"/>
  <c r="D451" i="2"/>
  <c r="O450" i="2"/>
  <c r="N450" i="2"/>
  <c r="M450" i="2"/>
  <c r="L450" i="2"/>
  <c r="H450" i="2"/>
  <c r="G450" i="2"/>
  <c r="D450" i="2"/>
  <c r="O449" i="2"/>
  <c r="N449" i="2"/>
  <c r="M449" i="2"/>
  <c r="L449" i="2"/>
  <c r="H449" i="2"/>
  <c r="G449" i="2"/>
  <c r="D449" i="2"/>
  <c r="O448" i="2"/>
  <c r="N448" i="2"/>
  <c r="M448" i="2"/>
  <c r="L448" i="2"/>
  <c r="H448" i="2"/>
  <c r="G448" i="2"/>
  <c r="D448" i="2"/>
  <c r="O447" i="2"/>
  <c r="N447" i="2"/>
  <c r="M447" i="2"/>
  <c r="L447" i="2"/>
  <c r="H447" i="2"/>
  <c r="G447" i="2"/>
  <c r="D447" i="2"/>
  <c r="O446" i="2"/>
  <c r="N446" i="2"/>
  <c r="M446" i="2"/>
  <c r="L446" i="2"/>
  <c r="H446" i="2"/>
  <c r="G446" i="2"/>
  <c r="D446" i="2"/>
  <c r="O445" i="2"/>
  <c r="N445" i="2"/>
  <c r="M445" i="2"/>
  <c r="L445" i="2"/>
  <c r="H445" i="2"/>
  <c r="G445" i="2"/>
  <c r="D445" i="2"/>
  <c r="O444" i="2"/>
  <c r="N444" i="2"/>
  <c r="M444" i="2"/>
  <c r="L444" i="2"/>
  <c r="H444" i="2"/>
  <c r="G444" i="2"/>
  <c r="D444" i="2"/>
  <c r="O443" i="2"/>
  <c r="N443" i="2"/>
  <c r="M443" i="2"/>
  <c r="L443" i="2"/>
  <c r="H443" i="2"/>
  <c r="G443" i="2"/>
  <c r="D443" i="2"/>
  <c r="O442" i="2"/>
  <c r="N442" i="2"/>
  <c r="M442" i="2"/>
  <c r="L442" i="2"/>
  <c r="H442" i="2"/>
  <c r="G442" i="2"/>
  <c r="D442" i="2"/>
  <c r="O441" i="2"/>
  <c r="N441" i="2"/>
  <c r="M441" i="2"/>
  <c r="L441" i="2"/>
  <c r="H441" i="2"/>
  <c r="G441" i="2"/>
  <c r="D441" i="2"/>
  <c r="O440" i="2"/>
  <c r="N440" i="2"/>
  <c r="M440" i="2"/>
  <c r="L440" i="2"/>
  <c r="H440" i="2"/>
  <c r="G440" i="2"/>
  <c r="D440" i="2"/>
  <c r="O439" i="2"/>
  <c r="N439" i="2"/>
  <c r="M439" i="2"/>
  <c r="L439" i="2"/>
  <c r="H439" i="2"/>
  <c r="G439" i="2"/>
  <c r="D439" i="2"/>
  <c r="O438" i="2"/>
  <c r="N438" i="2"/>
  <c r="M438" i="2"/>
  <c r="L438" i="2"/>
  <c r="H438" i="2"/>
  <c r="G438" i="2"/>
  <c r="D438" i="2"/>
  <c r="O437" i="2"/>
  <c r="N437" i="2"/>
  <c r="M437" i="2"/>
  <c r="L437" i="2"/>
  <c r="H437" i="2"/>
  <c r="G437" i="2"/>
  <c r="D437" i="2"/>
  <c r="O436" i="2"/>
  <c r="N436" i="2"/>
  <c r="M436" i="2"/>
  <c r="L436" i="2"/>
  <c r="H436" i="2"/>
  <c r="G436" i="2"/>
  <c r="D436" i="2"/>
  <c r="O435" i="2"/>
  <c r="N435" i="2"/>
  <c r="M435" i="2"/>
  <c r="L435" i="2"/>
  <c r="H435" i="2"/>
  <c r="G435" i="2"/>
  <c r="D435" i="2"/>
  <c r="O434" i="2"/>
  <c r="N434" i="2"/>
  <c r="M434" i="2"/>
  <c r="L434" i="2"/>
  <c r="H434" i="2"/>
  <c r="G434" i="2"/>
  <c r="D434" i="2"/>
  <c r="O433" i="2"/>
  <c r="N433" i="2"/>
  <c r="M433" i="2"/>
  <c r="L433" i="2"/>
  <c r="H433" i="2"/>
  <c r="G433" i="2"/>
  <c r="D433" i="2"/>
  <c r="O432" i="2"/>
  <c r="N432" i="2"/>
  <c r="M432" i="2"/>
  <c r="L432" i="2"/>
  <c r="H432" i="2"/>
  <c r="G432" i="2"/>
  <c r="D432" i="2"/>
  <c r="O431" i="2"/>
  <c r="N431" i="2"/>
  <c r="M431" i="2"/>
  <c r="L431" i="2"/>
  <c r="H431" i="2"/>
  <c r="G431" i="2"/>
  <c r="D431" i="2"/>
  <c r="O430" i="2"/>
  <c r="N430" i="2"/>
  <c r="M430" i="2"/>
  <c r="L430" i="2"/>
  <c r="H430" i="2"/>
  <c r="G430" i="2"/>
  <c r="D430" i="2"/>
  <c r="O429" i="2"/>
  <c r="N429" i="2"/>
  <c r="M429" i="2"/>
  <c r="L429" i="2"/>
  <c r="H429" i="2"/>
  <c r="G429" i="2"/>
  <c r="D429" i="2"/>
  <c r="O428" i="2"/>
  <c r="N428" i="2"/>
  <c r="M428" i="2"/>
  <c r="L428" i="2"/>
  <c r="H428" i="2"/>
  <c r="G428" i="2"/>
  <c r="D428" i="2"/>
  <c r="O427" i="2"/>
  <c r="N427" i="2"/>
  <c r="M427" i="2"/>
  <c r="L427" i="2"/>
  <c r="H427" i="2"/>
  <c r="G427" i="2"/>
  <c r="D427" i="2"/>
  <c r="O426" i="2"/>
  <c r="N426" i="2"/>
  <c r="M426" i="2"/>
  <c r="L426" i="2"/>
  <c r="H426" i="2"/>
  <c r="G426" i="2"/>
  <c r="D426" i="2"/>
  <c r="O425" i="2"/>
  <c r="N425" i="2"/>
  <c r="M425" i="2"/>
  <c r="L425" i="2"/>
  <c r="H425" i="2"/>
  <c r="G425" i="2"/>
  <c r="D425" i="2"/>
  <c r="O424" i="2"/>
  <c r="N424" i="2"/>
  <c r="M424" i="2"/>
  <c r="L424" i="2"/>
  <c r="H424" i="2"/>
  <c r="G424" i="2"/>
  <c r="D424" i="2"/>
  <c r="O423" i="2"/>
  <c r="N423" i="2"/>
  <c r="M423" i="2"/>
  <c r="L423" i="2"/>
  <c r="H423" i="2"/>
  <c r="G423" i="2"/>
  <c r="D423" i="2"/>
  <c r="O422" i="2"/>
  <c r="N422" i="2"/>
  <c r="M422" i="2"/>
  <c r="L422" i="2"/>
  <c r="H422" i="2"/>
  <c r="G422" i="2"/>
  <c r="D422" i="2"/>
  <c r="O421" i="2"/>
  <c r="N421" i="2"/>
  <c r="M421" i="2"/>
  <c r="L421" i="2"/>
  <c r="H421" i="2"/>
  <c r="G421" i="2"/>
  <c r="D421" i="2"/>
  <c r="O420" i="2"/>
  <c r="N420" i="2"/>
  <c r="M420" i="2"/>
  <c r="L420" i="2"/>
  <c r="H420" i="2"/>
  <c r="G420" i="2"/>
  <c r="D420" i="2"/>
  <c r="O419" i="2"/>
  <c r="N419" i="2"/>
  <c r="M419" i="2"/>
  <c r="L419" i="2"/>
  <c r="H419" i="2"/>
  <c r="G419" i="2"/>
  <c r="D419" i="2"/>
  <c r="O418" i="2"/>
  <c r="N418" i="2"/>
  <c r="M418" i="2"/>
  <c r="L418" i="2"/>
  <c r="H418" i="2"/>
  <c r="G418" i="2"/>
  <c r="D418" i="2"/>
  <c r="O417" i="2"/>
  <c r="N417" i="2"/>
  <c r="M417" i="2"/>
  <c r="L417" i="2"/>
  <c r="H417" i="2"/>
  <c r="G417" i="2"/>
  <c r="D417" i="2"/>
  <c r="O416" i="2"/>
  <c r="N416" i="2"/>
  <c r="M416" i="2"/>
  <c r="L416" i="2"/>
  <c r="H416" i="2"/>
  <c r="G416" i="2"/>
  <c r="D416" i="2"/>
  <c r="O415" i="2"/>
  <c r="N415" i="2"/>
  <c r="M415" i="2"/>
  <c r="L415" i="2"/>
  <c r="H415" i="2"/>
  <c r="G415" i="2"/>
  <c r="D415" i="2"/>
  <c r="O414" i="2"/>
  <c r="N414" i="2"/>
  <c r="M414" i="2"/>
  <c r="L414" i="2"/>
  <c r="H414" i="2"/>
  <c r="G414" i="2"/>
  <c r="D414" i="2"/>
  <c r="O413" i="2"/>
  <c r="N413" i="2"/>
  <c r="M413" i="2"/>
  <c r="L413" i="2"/>
  <c r="H413" i="2"/>
  <c r="G413" i="2"/>
  <c r="D413" i="2"/>
  <c r="O412" i="2"/>
  <c r="N412" i="2"/>
  <c r="M412" i="2"/>
  <c r="L412" i="2"/>
  <c r="H412" i="2"/>
  <c r="G412" i="2"/>
  <c r="D412" i="2"/>
  <c r="O411" i="2"/>
  <c r="N411" i="2"/>
  <c r="M411" i="2"/>
  <c r="L411" i="2"/>
  <c r="H411" i="2"/>
  <c r="G411" i="2"/>
  <c r="D411" i="2"/>
  <c r="O410" i="2"/>
  <c r="N410" i="2"/>
  <c r="M410" i="2"/>
  <c r="L410" i="2"/>
  <c r="H410" i="2"/>
  <c r="G410" i="2"/>
  <c r="D410" i="2"/>
  <c r="O409" i="2"/>
  <c r="N409" i="2"/>
  <c r="M409" i="2"/>
  <c r="L409" i="2"/>
  <c r="H409" i="2"/>
  <c r="G409" i="2"/>
  <c r="D409" i="2"/>
  <c r="O408" i="2"/>
  <c r="N408" i="2"/>
  <c r="M408" i="2"/>
  <c r="L408" i="2"/>
  <c r="H408" i="2"/>
  <c r="G408" i="2"/>
  <c r="D408" i="2"/>
  <c r="O407" i="2"/>
  <c r="N407" i="2"/>
  <c r="M407" i="2"/>
  <c r="L407" i="2"/>
  <c r="H407" i="2"/>
  <c r="G407" i="2"/>
  <c r="D407" i="2"/>
  <c r="O406" i="2"/>
  <c r="N406" i="2"/>
  <c r="M406" i="2"/>
  <c r="L406" i="2"/>
  <c r="H406" i="2"/>
  <c r="G406" i="2"/>
  <c r="D406" i="2"/>
  <c r="O405" i="2"/>
  <c r="N405" i="2"/>
  <c r="M405" i="2"/>
  <c r="L405" i="2"/>
  <c r="H405" i="2"/>
  <c r="G405" i="2"/>
  <c r="D405" i="2"/>
  <c r="O404" i="2"/>
  <c r="N404" i="2"/>
  <c r="M404" i="2"/>
  <c r="L404" i="2"/>
  <c r="H404" i="2"/>
  <c r="G404" i="2"/>
  <c r="D404" i="2"/>
  <c r="O403" i="2"/>
  <c r="N403" i="2"/>
  <c r="M403" i="2"/>
  <c r="L403" i="2"/>
  <c r="H403" i="2"/>
  <c r="G403" i="2"/>
  <c r="D403" i="2"/>
  <c r="O402" i="2"/>
  <c r="N402" i="2"/>
  <c r="M402" i="2"/>
  <c r="L402" i="2"/>
  <c r="H402" i="2"/>
  <c r="G402" i="2"/>
  <c r="D402" i="2"/>
  <c r="O401" i="2"/>
  <c r="N401" i="2"/>
  <c r="M401" i="2"/>
  <c r="L401" i="2"/>
  <c r="H401" i="2"/>
  <c r="G401" i="2"/>
  <c r="D401" i="2"/>
  <c r="O400" i="2"/>
  <c r="N400" i="2"/>
  <c r="M400" i="2"/>
  <c r="L400" i="2"/>
  <c r="H400" i="2"/>
  <c r="F86" i="1" s="1"/>
  <c r="G400" i="2"/>
  <c r="E86" i="1" s="1"/>
  <c r="D400" i="2"/>
  <c r="O399" i="2"/>
  <c r="N399" i="2"/>
  <c r="M399" i="2"/>
  <c r="L399" i="2"/>
  <c r="H399" i="2"/>
  <c r="G399" i="2"/>
  <c r="D399" i="2"/>
  <c r="O398" i="2"/>
  <c r="N398" i="2"/>
  <c r="M398" i="2"/>
  <c r="L398" i="2"/>
  <c r="H398" i="2"/>
  <c r="G398" i="2"/>
  <c r="D398" i="2"/>
  <c r="O397" i="2"/>
  <c r="N397" i="2"/>
  <c r="M397" i="2"/>
  <c r="L397" i="2"/>
  <c r="H397" i="2"/>
  <c r="G397" i="2"/>
  <c r="D397" i="2"/>
  <c r="O396" i="2"/>
  <c r="N396" i="2"/>
  <c r="M396" i="2"/>
  <c r="L396" i="2"/>
  <c r="H396" i="2"/>
  <c r="G396" i="2"/>
  <c r="D396" i="2"/>
  <c r="O395" i="2"/>
  <c r="N395" i="2"/>
  <c r="M395" i="2"/>
  <c r="L395" i="2"/>
  <c r="H395" i="2"/>
  <c r="G395" i="2"/>
  <c r="D395" i="2"/>
  <c r="O394" i="2"/>
  <c r="N394" i="2"/>
  <c r="M394" i="2"/>
  <c r="L394" i="2"/>
  <c r="H394" i="2"/>
  <c r="G394" i="2"/>
  <c r="D394" i="2"/>
  <c r="O393" i="2"/>
  <c r="N393" i="2"/>
  <c r="M393" i="2"/>
  <c r="L393" i="2"/>
  <c r="H393" i="2"/>
  <c r="G393" i="2"/>
  <c r="D393" i="2"/>
  <c r="O392" i="2"/>
  <c r="N392" i="2"/>
  <c r="M392" i="2"/>
  <c r="L392" i="2"/>
  <c r="H392" i="2"/>
  <c r="F85" i="1" s="1"/>
  <c r="G392" i="2"/>
  <c r="E85" i="1" s="1"/>
  <c r="D392" i="2"/>
  <c r="O391" i="2"/>
  <c r="N391" i="2"/>
  <c r="M391" i="2"/>
  <c r="L391" i="2"/>
  <c r="H391" i="2"/>
  <c r="G391" i="2"/>
  <c r="D391" i="2"/>
  <c r="O390" i="2"/>
  <c r="N390" i="2"/>
  <c r="M390" i="2"/>
  <c r="L390" i="2"/>
  <c r="H390" i="2"/>
  <c r="G390" i="2"/>
  <c r="D390" i="2"/>
  <c r="O389" i="2"/>
  <c r="N389" i="2"/>
  <c r="M389" i="2"/>
  <c r="L389" i="2"/>
  <c r="H389" i="2"/>
  <c r="G389" i="2"/>
  <c r="D389" i="2"/>
  <c r="O388" i="2"/>
  <c r="N388" i="2"/>
  <c r="M388" i="2"/>
  <c r="L388" i="2"/>
  <c r="H388" i="2"/>
  <c r="G388" i="2"/>
  <c r="D388" i="2"/>
  <c r="O387" i="2"/>
  <c r="N387" i="2"/>
  <c r="M387" i="2"/>
  <c r="L387" i="2"/>
  <c r="H387" i="2"/>
  <c r="G387" i="2"/>
  <c r="D387" i="2"/>
  <c r="O386" i="2"/>
  <c r="N386" i="2"/>
  <c r="M386" i="2"/>
  <c r="L386" i="2"/>
  <c r="H386" i="2"/>
  <c r="G386" i="2"/>
  <c r="D386" i="2"/>
  <c r="O385" i="2"/>
  <c r="N385" i="2"/>
  <c r="M385" i="2"/>
  <c r="L385" i="2"/>
  <c r="H385" i="2"/>
  <c r="G385" i="2"/>
  <c r="D385" i="2"/>
  <c r="O384" i="2"/>
  <c r="N384" i="2"/>
  <c r="M384" i="2"/>
  <c r="L384" i="2"/>
  <c r="H384" i="2"/>
  <c r="G384" i="2"/>
  <c r="D384" i="2"/>
  <c r="O383" i="2"/>
  <c r="N383" i="2"/>
  <c r="M383" i="2"/>
  <c r="L383" i="2"/>
  <c r="H383" i="2"/>
  <c r="G383" i="2"/>
  <c r="D383" i="2"/>
  <c r="O382" i="2"/>
  <c r="N382" i="2"/>
  <c r="M382" i="2"/>
  <c r="L382" i="2"/>
  <c r="H382" i="2"/>
  <c r="G382" i="2"/>
  <c r="D382" i="2"/>
  <c r="O381" i="2"/>
  <c r="N381" i="2"/>
  <c r="M381" i="2"/>
  <c r="L381" i="2"/>
  <c r="H381" i="2"/>
  <c r="G381" i="2"/>
  <c r="D381" i="2"/>
  <c r="O380" i="2"/>
  <c r="N380" i="2"/>
  <c r="M380" i="2"/>
  <c r="L380" i="2"/>
  <c r="H380" i="2"/>
  <c r="G380" i="2"/>
  <c r="D380" i="2"/>
  <c r="O379" i="2"/>
  <c r="N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N377" i="2"/>
  <c r="M377" i="2"/>
  <c r="L377" i="2"/>
  <c r="H377" i="2"/>
  <c r="G377" i="2"/>
  <c r="D377" i="2"/>
  <c r="O376" i="2"/>
  <c r="N376" i="2"/>
  <c r="M376" i="2"/>
  <c r="L376" i="2"/>
  <c r="H376" i="2"/>
  <c r="G376" i="2"/>
  <c r="D376" i="2"/>
  <c r="O375" i="2"/>
  <c r="N375" i="2"/>
  <c r="M375" i="2"/>
  <c r="L375" i="2"/>
  <c r="H375" i="2"/>
  <c r="G375" i="2"/>
  <c r="D375" i="2"/>
  <c r="O374" i="2"/>
  <c r="N374" i="2"/>
  <c r="M374" i="2"/>
  <c r="L374" i="2"/>
  <c r="H374" i="2"/>
  <c r="G374" i="2"/>
  <c r="D374" i="2"/>
  <c r="O373" i="2"/>
  <c r="N373" i="2"/>
  <c r="M373" i="2"/>
  <c r="L373" i="2"/>
  <c r="H373" i="2"/>
  <c r="G373" i="2"/>
  <c r="D373" i="2"/>
  <c r="O372" i="2"/>
  <c r="N372" i="2"/>
  <c r="M372" i="2"/>
  <c r="L372" i="2"/>
  <c r="H372" i="2"/>
  <c r="G372" i="2"/>
  <c r="D372" i="2"/>
  <c r="O371" i="2"/>
  <c r="N371" i="2"/>
  <c r="M371" i="2"/>
  <c r="L371" i="2"/>
  <c r="H371" i="2"/>
  <c r="G371" i="2"/>
  <c r="D371" i="2"/>
  <c r="O370" i="2"/>
  <c r="N370" i="2"/>
  <c r="M370" i="2"/>
  <c r="L370" i="2"/>
  <c r="H370" i="2"/>
  <c r="G370" i="2"/>
  <c r="D370" i="2"/>
  <c r="O369" i="2"/>
  <c r="N369" i="2"/>
  <c r="M369" i="2"/>
  <c r="L369" i="2"/>
  <c r="H369" i="2"/>
  <c r="G369" i="2"/>
  <c r="D369" i="2"/>
  <c r="O368" i="2"/>
  <c r="N368" i="2"/>
  <c r="M368" i="2"/>
  <c r="L368" i="2"/>
  <c r="H368" i="2"/>
  <c r="G368" i="2"/>
  <c r="D368" i="2"/>
  <c r="O367" i="2"/>
  <c r="N367" i="2"/>
  <c r="M367" i="2"/>
  <c r="L367" i="2"/>
  <c r="H367" i="2"/>
  <c r="G367" i="2"/>
  <c r="D367" i="2"/>
  <c r="O366" i="2"/>
  <c r="N366" i="2"/>
  <c r="M366" i="2"/>
  <c r="L366" i="2"/>
  <c r="H366" i="2"/>
  <c r="G366" i="2"/>
  <c r="D366" i="2"/>
  <c r="O365" i="2"/>
  <c r="N365" i="2"/>
  <c r="M365" i="2"/>
  <c r="L365" i="2"/>
  <c r="H365" i="2"/>
  <c r="G365" i="2"/>
  <c r="D365" i="2"/>
  <c r="O364" i="2"/>
  <c r="N364" i="2"/>
  <c r="M364" i="2"/>
  <c r="L364" i="2"/>
  <c r="H364" i="2"/>
  <c r="G364" i="2"/>
  <c r="D364" i="2"/>
  <c r="O363" i="2"/>
  <c r="N363" i="2"/>
  <c r="M363" i="2"/>
  <c r="L363" i="2"/>
  <c r="H363" i="2"/>
  <c r="G363" i="2"/>
  <c r="D363" i="2"/>
  <c r="O362" i="2"/>
  <c r="N362" i="2"/>
  <c r="M362" i="2"/>
  <c r="L362" i="2"/>
  <c r="H362" i="2"/>
  <c r="G362" i="2"/>
  <c r="D362" i="2"/>
  <c r="O361" i="2"/>
  <c r="N361" i="2"/>
  <c r="M361" i="2"/>
  <c r="L361" i="2"/>
  <c r="H361" i="2"/>
  <c r="G361" i="2"/>
  <c r="D361" i="2"/>
  <c r="O360" i="2"/>
  <c r="N360" i="2"/>
  <c r="M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M358" i="2"/>
  <c r="L358" i="2"/>
  <c r="H358" i="2"/>
  <c r="G358" i="2"/>
  <c r="D358" i="2"/>
  <c r="O357" i="2"/>
  <c r="N357" i="2"/>
  <c r="M357" i="2"/>
  <c r="L357" i="2"/>
  <c r="H357" i="2"/>
  <c r="G357" i="2"/>
  <c r="D357" i="2"/>
  <c r="O356" i="2"/>
  <c r="N356" i="2"/>
  <c r="M356" i="2"/>
  <c r="L356" i="2"/>
  <c r="H356" i="2"/>
  <c r="G356" i="2"/>
  <c r="D356" i="2"/>
  <c r="O355" i="2"/>
  <c r="N355" i="2"/>
  <c r="M355" i="2"/>
  <c r="L355" i="2"/>
  <c r="H355" i="2"/>
  <c r="G355" i="2"/>
  <c r="D355" i="2"/>
  <c r="O354" i="2"/>
  <c r="N354" i="2"/>
  <c r="M354" i="2"/>
  <c r="L354" i="2"/>
  <c r="H354" i="2"/>
  <c r="G354" i="2"/>
  <c r="D354" i="2"/>
  <c r="O353" i="2"/>
  <c r="N353" i="2"/>
  <c r="M353" i="2"/>
  <c r="L353" i="2"/>
  <c r="H353" i="2"/>
  <c r="G353" i="2"/>
  <c r="D353" i="2"/>
  <c r="O352" i="2"/>
  <c r="N352" i="2"/>
  <c r="M352" i="2"/>
  <c r="L352" i="2"/>
  <c r="H352" i="2"/>
  <c r="G352" i="2"/>
  <c r="D352" i="2"/>
  <c r="O351" i="2"/>
  <c r="N351" i="2"/>
  <c r="M351" i="2"/>
  <c r="L351" i="2"/>
  <c r="H351" i="2"/>
  <c r="G351" i="2"/>
  <c r="D351" i="2"/>
  <c r="O350" i="2"/>
  <c r="N350" i="2"/>
  <c r="M350" i="2"/>
  <c r="L350" i="2"/>
  <c r="H350" i="2"/>
  <c r="G350" i="2"/>
  <c r="D350" i="2"/>
  <c r="O349" i="2"/>
  <c r="N349" i="2"/>
  <c r="M349" i="2"/>
  <c r="L349" i="2"/>
  <c r="H349" i="2"/>
  <c r="G349" i="2"/>
  <c r="D349" i="2"/>
  <c r="O348" i="2"/>
  <c r="N348" i="2"/>
  <c r="M348" i="2"/>
  <c r="L348" i="2"/>
  <c r="H348" i="2"/>
  <c r="G348" i="2"/>
  <c r="D348" i="2"/>
  <c r="O347" i="2"/>
  <c r="N347" i="2"/>
  <c r="M347" i="2"/>
  <c r="L347" i="2"/>
  <c r="H347" i="2"/>
  <c r="G347" i="2"/>
  <c r="D347" i="2"/>
  <c r="O346" i="2"/>
  <c r="N346" i="2"/>
  <c r="M346" i="2"/>
  <c r="L346" i="2"/>
  <c r="H346" i="2"/>
  <c r="G346" i="2"/>
  <c r="D346" i="2"/>
  <c r="O345" i="2"/>
  <c r="N345" i="2"/>
  <c r="M345" i="2"/>
  <c r="L345" i="2"/>
  <c r="H345" i="2"/>
  <c r="G345" i="2"/>
  <c r="D345" i="2"/>
  <c r="O344" i="2"/>
  <c r="N344" i="2"/>
  <c r="M344" i="2"/>
  <c r="L344" i="2"/>
  <c r="H344" i="2"/>
  <c r="G344" i="2"/>
  <c r="D344" i="2"/>
  <c r="O343" i="2"/>
  <c r="N343" i="2"/>
  <c r="M343" i="2"/>
  <c r="L343" i="2"/>
  <c r="H343" i="2"/>
  <c r="G343" i="2"/>
  <c r="D343" i="2"/>
  <c r="O342" i="2"/>
  <c r="N342" i="2"/>
  <c r="M342" i="2"/>
  <c r="L342" i="2"/>
  <c r="H342" i="2"/>
  <c r="G342" i="2"/>
  <c r="D342" i="2"/>
  <c r="O341" i="2"/>
  <c r="N341" i="2"/>
  <c r="M341" i="2"/>
  <c r="L341" i="2"/>
  <c r="H341" i="2"/>
  <c r="G341" i="2"/>
  <c r="D341" i="2"/>
  <c r="O340" i="2"/>
  <c r="N340" i="2"/>
  <c r="M340" i="2"/>
  <c r="L340" i="2"/>
  <c r="H340" i="2"/>
  <c r="G340" i="2"/>
  <c r="D340" i="2"/>
  <c r="O339" i="2"/>
  <c r="N339" i="2"/>
  <c r="M339" i="2"/>
  <c r="L339" i="2"/>
  <c r="H339" i="2"/>
  <c r="G339" i="2"/>
  <c r="D339" i="2"/>
  <c r="O338" i="2"/>
  <c r="N338" i="2"/>
  <c r="M338" i="2"/>
  <c r="L338" i="2"/>
  <c r="H338" i="2"/>
  <c r="G338" i="2"/>
  <c r="D338" i="2"/>
  <c r="O337" i="2"/>
  <c r="N337" i="2"/>
  <c r="M337" i="2"/>
  <c r="L337" i="2"/>
  <c r="H337" i="2"/>
  <c r="G337" i="2"/>
  <c r="D337" i="2"/>
  <c r="O336" i="2"/>
  <c r="N336" i="2"/>
  <c r="M336" i="2"/>
  <c r="L336" i="2"/>
  <c r="H336" i="2"/>
  <c r="F82" i="1" s="1"/>
  <c r="G336" i="2"/>
  <c r="E82" i="1" s="1"/>
  <c r="D336" i="2"/>
  <c r="O335" i="2"/>
  <c r="N335" i="2"/>
  <c r="M335" i="2"/>
  <c r="L335" i="2"/>
  <c r="H335" i="2"/>
  <c r="G335" i="2"/>
  <c r="D335" i="2"/>
  <c r="O334" i="2"/>
  <c r="N334" i="2"/>
  <c r="M334" i="2"/>
  <c r="L334" i="2"/>
  <c r="H334" i="2"/>
  <c r="F81" i="1" s="1"/>
  <c r="G334" i="2"/>
  <c r="E81" i="1" s="1"/>
  <c r="D334" i="2"/>
  <c r="O333" i="2"/>
  <c r="N333" i="2"/>
  <c r="M333" i="2"/>
  <c r="L333" i="2"/>
  <c r="H333" i="2"/>
  <c r="G333" i="2"/>
  <c r="D333" i="2"/>
  <c r="O332" i="2"/>
  <c r="N332" i="2"/>
  <c r="M332" i="2"/>
  <c r="L332" i="2"/>
  <c r="H332" i="2"/>
  <c r="G332" i="2"/>
  <c r="D332" i="2"/>
  <c r="O331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N329" i="2"/>
  <c r="M329" i="2"/>
  <c r="L329" i="2"/>
  <c r="H329" i="2"/>
  <c r="G329" i="2"/>
  <c r="D329" i="2"/>
  <c r="O328" i="2"/>
  <c r="N328" i="2"/>
  <c r="M328" i="2"/>
  <c r="L328" i="2"/>
  <c r="H328" i="2"/>
  <c r="G328" i="2"/>
  <c r="D328" i="2"/>
  <c r="O327" i="2"/>
  <c r="N327" i="2"/>
  <c r="M327" i="2"/>
  <c r="L327" i="2"/>
  <c r="H327" i="2"/>
  <c r="G327" i="2"/>
  <c r="D327" i="2"/>
  <c r="O326" i="2"/>
  <c r="N326" i="2"/>
  <c r="M326" i="2"/>
  <c r="L326" i="2"/>
  <c r="H326" i="2"/>
  <c r="G326" i="2"/>
  <c r="D326" i="2"/>
  <c r="O325" i="2"/>
  <c r="N325" i="2"/>
  <c r="M325" i="2"/>
  <c r="L325" i="2"/>
  <c r="H325" i="2"/>
  <c r="G325" i="2"/>
  <c r="D325" i="2"/>
  <c r="O324" i="2"/>
  <c r="N324" i="2"/>
  <c r="M324" i="2"/>
  <c r="L324" i="2"/>
  <c r="H324" i="2"/>
  <c r="G324" i="2"/>
  <c r="D324" i="2"/>
  <c r="O323" i="2"/>
  <c r="N323" i="2"/>
  <c r="M323" i="2"/>
  <c r="L323" i="2"/>
  <c r="H323" i="2"/>
  <c r="G323" i="2"/>
  <c r="D323" i="2"/>
  <c r="O322" i="2"/>
  <c r="N322" i="2"/>
  <c r="M322" i="2"/>
  <c r="L322" i="2"/>
  <c r="H322" i="2"/>
  <c r="G322" i="2"/>
  <c r="D322" i="2"/>
  <c r="O321" i="2"/>
  <c r="N321" i="2"/>
  <c r="M321" i="2"/>
  <c r="L321" i="2"/>
  <c r="H321" i="2"/>
  <c r="G321" i="2"/>
  <c r="D321" i="2"/>
  <c r="O320" i="2"/>
  <c r="N320" i="2"/>
  <c r="M320" i="2"/>
  <c r="L320" i="2"/>
  <c r="H320" i="2"/>
  <c r="G320" i="2"/>
  <c r="D320" i="2"/>
  <c r="O319" i="2"/>
  <c r="N319" i="2"/>
  <c r="M319" i="2"/>
  <c r="L319" i="2"/>
  <c r="H319" i="2"/>
  <c r="G319" i="2"/>
  <c r="D319" i="2"/>
  <c r="O318" i="2"/>
  <c r="N318" i="2"/>
  <c r="M318" i="2"/>
  <c r="L318" i="2"/>
  <c r="H318" i="2"/>
  <c r="G318" i="2"/>
  <c r="D318" i="2"/>
  <c r="O317" i="2"/>
  <c r="N317" i="2"/>
  <c r="M317" i="2"/>
  <c r="L317" i="2"/>
  <c r="H317" i="2"/>
  <c r="G317" i="2"/>
  <c r="D317" i="2"/>
  <c r="O316" i="2"/>
  <c r="N316" i="2"/>
  <c r="M316" i="2"/>
  <c r="L316" i="2"/>
  <c r="H316" i="2"/>
  <c r="G316" i="2"/>
  <c r="D316" i="2"/>
  <c r="O315" i="2"/>
  <c r="N315" i="2"/>
  <c r="M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N313" i="2"/>
  <c r="M313" i="2"/>
  <c r="L313" i="2"/>
  <c r="H313" i="2"/>
  <c r="G313" i="2"/>
  <c r="D313" i="2"/>
  <c r="O312" i="2"/>
  <c r="N312" i="2"/>
  <c r="M312" i="2"/>
  <c r="L312" i="2"/>
  <c r="H312" i="2"/>
  <c r="G312" i="2"/>
  <c r="D312" i="2"/>
  <c r="O311" i="2"/>
  <c r="N311" i="2"/>
  <c r="M311" i="2"/>
  <c r="L311" i="2"/>
  <c r="H311" i="2"/>
  <c r="G311" i="2"/>
  <c r="D311" i="2"/>
  <c r="O310" i="2"/>
  <c r="N310" i="2"/>
  <c r="M310" i="2"/>
  <c r="L310" i="2"/>
  <c r="H310" i="2"/>
  <c r="G310" i="2"/>
  <c r="D310" i="2"/>
  <c r="O309" i="2"/>
  <c r="N309" i="2"/>
  <c r="M309" i="2"/>
  <c r="L309" i="2"/>
  <c r="H309" i="2"/>
  <c r="G309" i="2"/>
  <c r="D309" i="2"/>
  <c r="O308" i="2"/>
  <c r="N308" i="2"/>
  <c r="M308" i="2"/>
  <c r="L308" i="2"/>
  <c r="H308" i="2"/>
  <c r="G308" i="2"/>
  <c r="D308" i="2"/>
  <c r="O307" i="2"/>
  <c r="N307" i="2"/>
  <c r="M307" i="2"/>
  <c r="L307" i="2"/>
  <c r="H307" i="2"/>
  <c r="G307" i="2"/>
  <c r="D307" i="2"/>
  <c r="O306" i="2"/>
  <c r="N306" i="2"/>
  <c r="M306" i="2"/>
  <c r="L306" i="2"/>
  <c r="H306" i="2"/>
  <c r="G306" i="2"/>
  <c r="D306" i="2"/>
  <c r="O305" i="2"/>
  <c r="N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O302" i="2"/>
  <c r="N302" i="2"/>
  <c r="M302" i="2"/>
  <c r="L302" i="2"/>
  <c r="H302" i="2"/>
  <c r="G302" i="2"/>
  <c r="D302" i="2"/>
  <c r="O301" i="2"/>
  <c r="N301" i="2"/>
  <c r="M301" i="2"/>
  <c r="L301" i="2"/>
  <c r="H301" i="2"/>
  <c r="G301" i="2"/>
  <c r="D301" i="2"/>
  <c r="O300" i="2"/>
  <c r="N300" i="2"/>
  <c r="M300" i="2"/>
  <c r="L300" i="2"/>
  <c r="H300" i="2"/>
  <c r="G300" i="2"/>
  <c r="D300" i="2"/>
  <c r="O299" i="2"/>
  <c r="N299" i="2"/>
  <c r="M299" i="2"/>
  <c r="L299" i="2"/>
  <c r="H299" i="2"/>
  <c r="G299" i="2"/>
  <c r="D299" i="2"/>
  <c r="O298" i="2"/>
  <c r="N298" i="2"/>
  <c r="M298" i="2"/>
  <c r="L298" i="2"/>
  <c r="H298" i="2"/>
  <c r="G298" i="2"/>
  <c r="D298" i="2"/>
  <c r="O297" i="2"/>
  <c r="N297" i="2"/>
  <c r="M297" i="2"/>
  <c r="L297" i="2"/>
  <c r="H297" i="2"/>
  <c r="F78" i="1" s="1"/>
  <c r="G297" i="2"/>
  <c r="E78" i="1" s="1"/>
  <c r="D297" i="2"/>
  <c r="O296" i="2"/>
  <c r="N296" i="2"/>
  <c r="M296" i="2"/>
  <c r="L296" i="2"/>
  <c r="H296" i="2"/>
  <c r="F77" i="1" s="1"/>
  <c r="G296" i="2"/>
  <c r="E77" i="1" s="1"/>
  <c r="D296" i="2"/>
  <c r="O295" i="2"/>
  <c r="N295" i="2"/>
  <c r="M295" i="2"/>
  <c r="L295" i="2"/>
  <c r="H295" i="2"/>
  <c r="G295" i="2"/>
  <c r="D295" i="2"/>
  <c r="O294" i="2"/>
  <c r="N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L292" i="2"/>
  <c r="H292" i="2"/>
  <c r="G292" i="2"/>
  <c r="D292" i="2"/>
  <c r="O291" i="2"/>
  <c r="N291" i="2"/>
  <c r="M291" i="2"/>
  <c r="L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M288" i="2"/>
  <c r="L288" i="2"/>
  <c r="H288" i="2"/>
  <c r="G288" i="2"/>
  <c r="D288" i="2"/>
  <c r="O287" i="2"/>
  <c r="N287" i="2"/>
  <c r="M287" i="2"/>
  <c r="L287" i="2"/>
  <c r="H287" i="2"/>
  <c r="G287" i="2"/>
  <c r="D287" i="2"/>
  <c r="O286" i="2"/>
  <c r="N286" i="2"/>
  <c r="M286" i="2"/>
  <c r="L286" i="2"/>
  <c r="H286" i="2"/>
  <c r="G286" i="2"/>
  <c r="D286" i="2"/>
  <c r="O285" i="2"/>
  <c r="N285" i="2"/>
  <c r="M285" i="2"/>
  <c r="L285" i="2"/>
  <c r="H285" i="2"/>
  <c r="G285" i="2"/>
  <c r="D285" i="2"/>
  <c r="O284" i="2"/>
  <c r="N284" i="2"/>
  <c r="M284" i="2"/>
  <c r="L284" i="2"/>
  <c r="H284" i="2"/>
  <c r="G284" i="2"/>
  <c r="D284" i="2"/>
  <c r="O283" i="2"/>
  <c r="N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N281" i="2"/>
  <c r="M281" i="2"/>
  <c r="L281" i="2"/>
  <c r="H281" i="2"/>
  <c r="G281" i="2"/>
  <c r="D281" i="2"/>
  <c r="O280" i="2"/>
  <c r="N280" i="2"/>
  <c r="M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N278" i="2"/>
  <c r="M278" i="2"/>
  <c r="L278" i="2"/>
  <c r="H278" i="2"/>
  <c r="G278" i="2"/>
  <c r="D278" i="2"/>
  <c r="O277" i="2"/>
  <c r="N277" i="2"/>
  <c r="M277" i="2"/>
  <c r="L277" i="2"/>
  <c r="H277" i="2"/>
  <c r="G277" i="2"/>
  <c r="D277" i="2"/>
  <c r="O276" i="2"/>
  <c r="N276" i="2"/>
  <c r="M276" i="2"/>
  <c r="L276" i="2"/>
  <c r="H276" i="2"/>
  <c r="G276" i="2"/>
  <c r="D276" i="2"/>
  <c r="O275" i="2"/>
  <c r="N275" i="2"/>
  <c r="M275" i="2"/>
  <c r="L275" i="2"/>
  <c r="H275" i="2"/>
  <c r="G275" i="2"/>
  <c r="D275" i="2"/>
  <c r="O274" i="2"/>
  <c r="N274" i="2"/>
  <c r="M274" i="2"/>
  <c r="L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N272" i="2"/>
  <c r="M272" i="2"/>
  <c r="L272" i="2"/>
  <c r="H272" i="2"/>
  <c r="G272" i="2"/>
  <c r="D272" i="2"/>
  <c r="O271" i="2"/>
  <c r="N271" i="2"/>
  <c r="M271" i="2"/>
  <c r="L271" i="2"/>
  <c r="H271" i="2"/>
  <c r="G271" i="2"/>
  <c r="D271" i="2"/>
  <c r="O270" i="2"/>
  <c r="N270" i="2"/>
  <c r="M270" i="2"/>
  <c r="L270" i="2"/>
  <c r="H270" i="2"/>
  <c r="G270" i="2"/>
  <c r="D270" i="2"/>
  <c r="O269" i="2"/>
  <c r="N269" i="2"/>
  <c r="M269" i="2"/>
  <c r="L269" i="2"/>
  <c r="H269" i="2"/>
  <c r="G269" i="2"/>
  <c r="D269" i="2"/>
  <c r="O268" i="2"/>
  <c r="N268" i="2"/>
  <c r="M268" i="2"/>
  <c r="L268" i="2"/>
  <c r="H268" i="2"/>
  <c r="G268" i="2"/>
  <c r="D268" i="2"/>
  <c r="O267" i="2"/>
  <c r="N267" i="2"/>
  <c r="M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N265" i="2"/>
  <c r="M265" i="2"/>
  <c r="L265" i="2"/>
  <c r="H265" i="2"/>
  <c r="G265" i="2"/>
  <c r="D265" i="2"/>
  <c r="O264" i="2"/>
  <c r="N264" i="2"/>
  <c r="M264" i="2"/>
  <c r="L264" i="2"/>
  <c r="H264" i="2"/>
  <c r="G264" i="2"/>
  <c r="D264" i="2"/>
  <c r="O263" i="2"/>
  <c r="N263" i="2"/>
  <c r="M263" i="2"/>
  <c r="L263" i="2"/>
  <c r="H263" i="2"/>
  <c r="G263" i="2"/>
  <c r="D263" i="2"/>
  <c r="O262" i="2"/>
  <c r="N262" i="2"/>
  <c r="M262" i="2"/>
  <c r="L262" i="2"/>
  <c r="H262" i="2"/>
  <c r="G262" i="2"/>
  <c r="D262" i="2"/>
  <c r="O261" i="2"/>
  <c r="N261" i="2"/>
  <c r="M261" i="2"/>
  <c r="L261" i="2"/>
  <c r="H261" i="2"/>
  <c r="G261" i="2"/>
  <c r="D261" i="2"/>
  <c r="O260" i="2"/>
  <c r="N260" i="2"/>
  <c r="M260" i="2"/>
  <c r="L260" i="2"/>
  <c r="H260" i="2"/>
  <c r="G260" i="2"/>
  <c r="D260" i="2"/>
  <c r="O259" i="2"/>
  <c r="N259" i="2"/>
  <c r="M259" i="2"/>
  <c r="L259" i="2"/>
  <c r="H259" i="2"/>
  <c r="G259" i="2"/>
  <c r="D259" i="2"/>
  <c r="O258" i="2"/>
  <c r="N258" i="2"/>
  <c r="M258" i="2"/>
  <c r="L258" i="2"/>
  <c r="H258" i="2"/>
  <c r="G258" i="2"/>
  <c r="D258" i="2"/>
  <c r="O257" i="2"/>
  <c r="N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E65" i="1" s="1"/>
  <c r="D256" i="2"/>
  <c r="O255" i="2"/>
  <c r="N255" i="2"/>
  <c r="M255" i="2"/>
  <c r="L255" i="2"/>
  <c r="H255" i="2"/>
  <c r="G255" i="2"/>
  <c r="D255" i="2"/>
  <c r="O254" i="2"/>
  <c r="N254" i="2"/>
  <c r="M254" i="2"/>
  <c r="L254" i="2"/>
  <c r="H254" i="2"/>
  <c r="G254" i="2"/>
  <c r="D254" i="2"/>
  <c r="O253" i="2"/>
  <c r="N253" i="2"/>
  <c r="M253" i="2"/>
  <c r="L253" i="2"/>
  <c r="H253" i="2"/>
  <c r="G253" i="2"/>
  <c r="D253" i="2"/>
  <c r="O252" i="2"/>
  <c r="N252" i="2"/>
  <c r="M252" i="2"/>
  <c r="L252" i="2"/>
  <c r="H252" i="2"/>
  <c r="G252" i="2"/>
  <c r="D252" i="2"/>
  <c r="O251" i="2"/>
  <c r="N251" i="2"/>
  <c r="M251" i="2"/>
  <c r="L251" i="2"/>
  <c r="H251" i="2"/>
  <c r="G251" i="2"/>
  <c r="D251" i="2"/>
  <c r="O250" i="2"/>
  <c r="N250" i="2"/>
  <c r="M250" i="2"/>
  <c r="L250" i="2"/>
  <c r="H250" i="2"/>
  <c r="G250" i="2"/>
  <c r="D250" i="2"/>
  <c r="O249" i="2"/>
  <c r="N249" i="2"/>
  <c r="M249" i="2"/>
  <c r="L249" i="2"/>
  <c r="H249" i="2"/>
  <c r="G249" i="2"/>
  <c r="D249" i="2"/>
  <c r="O248" i="2"/>
  <c r="N248" i="2"/>
  <c r="M248" i="2"/>
  <c r="L248" i="2"/>
  <c r="H248" i="2"/>
  <c r="G248" i="2"/>
  <c r="D248" i="2"/>
  <c r="O247" i="2"/>
  <c r="N247" i="2"/>
  <c r="M247" i="2"/>
  <c r="L247" i="2"/>
  <c r="H247" i="2"/>
  <c r="G247" i="2"/>
  <c r="D247" i="2"/>
  <c r="O246" i="2"/>
  <c r="N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L244" i="2"/>
  <c r="H244" i="2"/>
  <c r="G244" i="2"/>
  <c r="D244" i="2"/>
  <c r="O243" i="2"/>
  <c r="N243" i="2"/>
  <c r="M243" i="2"/>
  <c r="L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M240" i="2"/>
  <c r="L240" i="2"/>
  <c r="H240" i="2"/>
  <c r="G240" i="2"/>
  <c r="D240" i="2"/>
  <c r="O239" i="2"/>
  <c r="N239" i="2"/>
  <c r="M239" i="2"/>
  <c r="L239" i="2"/>
  <c r="H239" i="2"/>
  <c r="G239" i="2"/>
  <c r="D239" i="2"/>
  <c r="O238" i="2"/>
  <c r="N238" i="2"/>
  <c r="M238" i="2"/>
  <c r="L238" i="2"/>
  <c r="H238" i="2"/>
  <c r="G238" i="2"/>
  <c r="D238" i="2"/>
  <c r="O237" i="2"/>
  <c r="N237" i="2"/>
  <c r="M237" i="2"/>
  <c r="L237" i="2"/>
  <c r="H237" i="2"/>
  <c r="G237" i="2"/>
  <c r="D237" i="2"/>
  <c r="O236" i="2"/>
  <c r="N236" i="2"/>
  <c r="M236" i="2"/>
  <c r="L236" i="2"/>
  <c r="H236" i="2"/>
  <c r="G236" i="2"/>
  <c r="D236" i="2"/>
  <c r="O235" i="2"/>
  <c r="N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N233" i="2"/>
  <c r="M233" i="2"/>
  <c r="L233" i="2"/>
  <c r="H233" i="2"/>
  <c r="G233" i="2"/>
  <c r="D233" i="2"/>
  <c r="O232" i="2"/>
  <c r="N232" i="2"/>
  <c r="M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N230" i="2"/>
  <c r="M230" i="2"/>
  <c r="L230" i="2"/>
  <c r="H230" i="2"/>
  <c r="G230" i="2"/>
  <c r="D230" i="2"/>
  <c r="O229" i="2"/>
  <c r="N229" i="2"/>
  <c r="M229" i="2"/>
  <c r="L229" i="2"/>
  <c r="H229" i="2"/>
  <c r="G229" i="2"/>
  <c r="D229" i="2"/>
  <c r="O228" i="2"/>
  <c r="N228" i="2"/>
  <c r="M228" i="2"/>
  <c r="L228" i="2"/>
  <c r="H228" i="2"/>
  <c r="G228" i="2"/>
  <c r="D228" i="2"/>
  <c r="O227" i="2"/>
  <c r="N227" i="2"/>
  <c r="M227" i="2"/>
  <c r="L227" i="2"/>
  <c r="H227" i="2"/>
  <c r="G227" i="2"/>
  <c r="D227" i="2"/>
  <c r="O226" i="2"/>
  <c r="N226" i="2"/>
  <c r="M226" i="2"/>
  <c r="L226" i="2"/>
  <c r="H226" i="2"/>
  <c r="G226" i="2"/>
  <c r="D226" i="2"/>
  <c r="O225" i="2"/>
  <c r="N225" i="2"/>
  <c r="M225" i="2"/>
  <c r="L225" i="2"/>
  <c r="H225" i="2"/>
  <c r="G225" i="2"/>
  <c r="D225" i="2"/>
  <c r="O224" i="2"/>
  <c r="N224" i="2"/>
  <c r="M224" i="2"/>
  <c r="L224" i="2"/>
  <c r="H224" i="2"/>
  <c r="G224" i="2"/>
  <c r="D224" i="2"/>
  <c r="O223" i="2"/>
  <c r="N223" i="2"/>
  <c r="M223" i="2"/>
  <c r="L223" i="2"/>
  <c r="H223" i="2"/>
  <c r="G223" i="2"/>
  <c r="D223" i="2"/>
  <c r="O222" i="2"/>
  <c r="N222" i="2"/>
  <c r="M222" i="2"/>
  <c r="L222" i="2"/>
  <c r="H222" i="2"/>
  <c r="G222" i="2"/>
  <c r="D222" i="2"/>
  <c r="O221" i="2"/>
  <c r="N221" i="2"/>
  <c r="M221" i="2"/>
  <c r="L221" i="2"/>
  <c r="H221" i="2"/>
  <c r="G221" i="2"/>
  <c r="D221" i="2"/>
  <c r="O220" i="2"/>
  <c r="N220" i="2"/>
  <c r="M220" i="2"/>
  <c r="L220" i="2"/>
  <c r="H220" i="2"/>
  <c r="G220" i="2"/>
  <c r="D220" i="2"/>
  <c r="O219" i="2"/>
  <c r="N219" i="2"/>
  <c r="M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N217" i="2"/>
  <c r="M217" i="2"/>
  <c r="L217" i="2"/>
  <c r="H217" i="2"/>
  <c r="G217" i="2"/>
  <c r="D217" i="2"/>
  <c r="O216" i="2"/>
  <c r="N216" i="2"/>
  <c r="M216" i="2"/>
  <c r="L216" i="2"/>
  <c r="H216" i="2"/>
  <c r="G216" i="2"/>
  <c r="D216" i="2"/>
  <c r="O215" i="2"/>
  <c r="N215" i="2"/>
  <c r="M215" i="2"/>
  <c r="L215" i="2"/>
  <c r="H215" i="2"/>
  <c r="G215" i="2"/>
  <c r="D215" i="2"/>
  <c r="O214" i="2"/>
  <c r="N214" i="2"/>
  <c r="M214" i="2"/>
  <c r="L214" i="2"/>
  <c r="H214" i="2"/>
  <c r="G214" i="2"/>
  <c r="D214" i="2"/>
  <c r="O213" i="2"/>
  <c r="N213" i="2"/>
  <c r="M213" i="2"/>
  <c r="L213" i="2"/>
  <c r="H213" i="2"/>
  <c r="G213" i="2"/>
  <c r="D213" i="2"/>
  <c r="O212" i="2"/>
  <c r="N212" i="2"/>
  <c r="M212" i="2"/>
  <c r="L212" i="2"/>
  <c r="H212" i="2"/>
  <c r="G212" i="2"/>
  <c r="D212" i="2"/>
  <c r="O211" i="2"/>
  <c r="N211" i="2"/>
  <c r="M211" i="2"/>
  <c r="L211" i="2"/>
  <c r="H211" i="2"/>
  <c r="G211" i="2"/>
  <c r="D211" i="2"/>
  <c r="O210" i="2"/>
  <c r="N210" i="2"/>
  <c r="M210" i="2"/>
  <c r="L210" i="2"/>
  <c r="H210" i="2"/>
  <c r="G210" i="2"/>
  <c r="D210" i="2"/>
  <c r="O209" i="2"/>
  <c r="N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O206" i="2"/>
  <c r="N206" i="2"/>
  <c r="M206" i="2"/>
  <c r="L206" i="2"/>
  <c r="H206" i="2"/>
  <c r="G206" i="2"/>
  <c r="D206" i="2"/>
  <c r="O205" i="2"/>
  <c r="N205" i="2"/>
  <c r="M205" i="2"/>
  <c r="L205" i="2"/>
  <c r="H205" i="2"/>
  <c r="G205" i="2"/>
  <c r="D205" i="2"/>
  <c r="O204" i="2"/>
  <c r="N204" i="2"/>
  <c r="M204" i="2"/>
  <c r="L204" i="2"/>
  <c r="H204" i="2"/>
  <c r="G204" i="2"/>
  <c r="D204" i="2"/>
  <c r="O203" i="2"/>
  <c r="N203" i="2"/>
  <c r="M203" i="2"/>
  <c r="L203" i="2"/>
  <c r="H203" i="2"/>
  <c r="G203" i="2"/>
  <c r="D203" i="2"/>
  <c r="O202" i="2"/>
  <c r="N202" i="2"/>
  <c r="M202" i="2"/>
  <c r="L202" i="2"/>
  <c r="H202" i="2"/>
  <c r="G202" i="2"/>
  <c r="D202" i="2"/>
  <c r="O201" i="2"/>
  <c r="N201" i="2"/>
  <c r="M201" i="2"/>
  <c r="L201" i="2"/>
  <c r="H201" i="2"/>
  <c r="G201" i="2"/>
  <c r="D201" i="2"/>
  <c r="O200" i="2"/>
  <c r="N200" i="2"/>
  <c r="M200" i="2"/>
  <c r="L200" i="2"/>
  <c r="H200" i="2"/>
  <c r="G200" i="2"/>
  <c r="D200" i="2"/>
  <c r="O199" i="2"/>
  <c r="N199" i="2"/>
  <c r="M199" i="2"/>
  <c r="L199" i="2"/>
  <c r="H199" i="2"/>
  <c r="G199" i="2"/>
  <c r="D199" i="2"/>
  <c r="O198" i="2"/>
  <c r="N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L196" i="2"/>
  <c r="H196" i="2"/>
  <c r="G196" i="2"/>
  <c r="D196" i="2"/>
  <c r="O195" i="2"/>
  <c r="N195" i="2"/>
  <c r="M195" i="2"/>
  <c r="L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M192" i="2"/>
  <c r="L192" i="2"/>
  <c r="H192" i="2"/>
  <c r="F58" i="1" s="1"/>
  <c r="G192" i="2"/>
  <c r="E58" i="1" s="1"/>
  <c r="D192" i="2"/>
  <c r="O191" i="2"/>
  <c r="N191" i="2"/>
  <c r="M191" i="2"/>
  <c r="L191" i="2"/>
  <c r="H191" i="2"/>
  <c r="G191" i="2"/>
  <c r="D191" i="2"/>
  <c r="O190" i="2"/>
  <c r="N190" i="2"/>
  <c r="M190" i="2"/>
  <c r="L190" i="2"/>
  <c r="H190" i="2"/>
  <c r="G190" i="2"/>
  <c r="D190" i="2"/>
  <c r="O189" i="2"/>
  <c r="N189" i="2"/>
  <c r="M189" i="2"/>
  <c r="L189" i="2"/>
  <c r="H189" i="2"/>
  <c r="G189" i="2"/>
  <c r="D189" i="2"/>
  <c r="O188" i="2"/>
  <c r="N188" i="2"/>
  <c r="M188" i="2"/>
  <c r="L188" i="2"/>
  <c r="H188" i="2"/>
  <c r="G188" i="2"/>
  <c r="D188" i="2"/>
  <c r="O187" i="2"/>
  <c r="N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N185" i="2"/>
  <c r="M185" i="2"/>
  <c r="L185" i="2"/>
  <c r="H185" i="2"/>
  <c r="G185" i="2"/>
  <c r="D185" i="2"/>
  <c r="O184" i="2"/>
  <c r="N184" i="2"/>
  <c r="M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N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M180" i="2"/>
  <c r="L180" i="2"/>
  <c r="H180" i="2"/>
  <c r="G180" i="2"/>
  <c r="D180" i="2"/>
  <c r="O179" i="2"/>
  <c r="N179" i="2"/>
  <c r="M179" i="2"/>
  <c r="L179" i="2"/>
  <c r="H179" i="2"/>
  <c r="G179" i="2"/>
  <c r="D179" i="2"/>
  <c r="O178" i="2"/>
  <c r="N178" i="2"/>
  <c r="M178" i="2"/>
  <c r="L178" i="2"/>
  <c r="H178" i="2"/>
  <c r="G178" i="2"/>
  <c r="D178" i="2"/>
  <c r="O177" i="2"/>
  <c r="N177" i="2"/>
  <c r="M177" i="2"/>
  <c r="L177" i="2"/>
  <c r="H177" i="2"/>
  <c r="G177" i="2"/>
  <c r="D177" i="2"/>
  <c r="O176" i="2"/>
  <c r="N176" i="2"/>
  <c r="M176" i="2"/>
  <c r="L176" i="2"/>
  <c r="H176" i="2"/>
  <c r="G176" i="2"/>
  <c r="D176" i="2"/>
  <c r="O175" i="2"/>
  <c r="N175" i="2"/>
  <c r="M175" i="2"/>
  <c r="L175" i="2"/>
  <c r="H175" i="2"/>
  <c r="G175" i="2"/>
  <c r="D175" i="2"/>
  <c r="O174" i="2"/>
  <c r="N174" i="2"/>
  <c r="M174" i="2"/>
  <c r="L174" i="2"/>
  <c r="H174" i="2"/>
  <c r="G174" i="2"/>
  <c r="D174" i="2"/>
  <c r="O173" i="2"/>
  <c r="N173" i="2"/>
  <c r="M173" i="2"/>
  <c r="L173" i="2"/>
  <c r="H173" i="2"/>
  <c r="G173" i="2"/>
  <c r="D173" i="2"/>
  <c r="O172" i="2"/>
  <c r="N172" i="2"/>
  <c r="M172" i="2"/>
  <c r="L172" i="2"/>
  <c r="H172" i="2"/>
  <c r="G172" i="2"/>
  <c r="D172" i="2"/>
  <c r="O171" i="2"/>
  <c r="N171" i="2"/>
  <c r="M171" i="2"/>
  <c r="L171" i="2"/>
  <c r="H171" i="2"/>
  <c r="G171" i="2"/>
  <c r="D171" i="2"/>
  <c r="O170" i="2"/>
  <c r="N170" i="2"/>
  <c r="M170" i="2"/>
  <c r="L170" i="2"/>
  <c r="H170" i="2"/>
  <c r="G170" i="2"/>
  <c r="D170" i="2"/>
  <c r="O169" i="2"/>
  <c r="N169" i="2"/>
  <c r="M169" i="2"/>
  <c r="L169" i="2"/>
  <c r="H169" i="2"/>
  <c r="G169" i="2"/>
  <c r="D169" i="2"/>
  <c r="O168" i="2"/>
  <c r="N168" i="2"/>
  <c r="M168" i="2"/>
  <c r="L168" i="2"/>
  <c r="H168" i="2"/>
  <c r="G168" i="2"/>
  <c r="D168" i="2"/>
  <c r="O167" i="2"/>
  <c r="N167" i="2"/>
  <c r="M167" i="2"/>
  <c r="L167" i="2"/>
  <c r="H167" i="2"/>
  <c r="G167" i="2"/>
  <c r="D167" i="2"/>
  <c r="O166" i="2"/>
  <c r="N166" i="2"/>
  <c r="M166" i="2"/>
  <c r="L166" i="2"/>
  <c r="H166" i="2"/>
  <c r="G166" i="2"/>
  <c r="D166" i="2"/>
  <c r="O165" i="2"/>
  <c r="N165" i="2"/>
  <c r="M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M162" i="2"/>
  <c r="L162" i="2"/>
  <c r="H162" i="2"/>
  <c r="F49" i="1" s="1"/>
  <c r="G162" i="2"/>
  <c r="E49" i="1" s="1"/>
  <c r="D162" i="2"/>
  <c r="O161" i="2"/>
  <c r="N161" i="2"/>
  <c r="M161" i="2"/>
  <c r="L161" i="2"/>
  <c r="H161" i="2"/>
  <c r="G161" i="2"/>
  <c r="D161" i="2"/>
  <c r="O160" i="2"/>
  <c r="N160" i="2"/>
  <c r="M160" i="2"/>
  <c r="L160" i="2"/>
  <c r="H160" i="2"/>
  <c r="G160" i="2"/>
  <c r="D160" i="2"/>
  <c r="O159" i="2"/>
  <c r="N159" i="2"/>
  <c r="M159" i="2"/>
  <c r="L159" i="2"/>
  <c r="H159" i="2"/>
  <c r="G159" i="2"/>
  <c r="D159" i="2"/>
  <c r="O158" i="2"/>
  <c r="N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O155" i="2"/>
  <c r="N155" i="2"/>
  <c r="M155" i="2"/>
  <c r="L155" i="2"/>
  <c r="H155" i="2"/>
  <c r="G155" i="2"/>
  <c r="D155" i="2"/>
  <c r="O154" i="2"/>
  <c r="N154" i="2"/>
  <c r="M154" i="2"/>
  <c r="L154" i="2"/>
  <c r="H154" i="2"/>
  <c r="G154" i="2"/>
  <c r="D154" i="2"/>
  <c r="O153" i="2"/>
  <c r="N153" i="2"/>
  <c r="M153" i="2"/>
  <c r="L153" i="2"/>
  <c r="H153" i="2"/>
  <c r="G153" i="2"/>
  <c r="D153" i="2"/>
  <c r="O152" i="2"/>
  <c r="N152" i="2"/>
  <c r="M152" i="2"/>
  <c r="L152" i="2"/>
  <c r="H152" i="2"/>
  <c r="G152" i="2"/>
  <c r="D152" i="2"/>
  <c r="O151" i="2"/>
  <c r="N151" i="2"/>
  <c r="M151" i="2"/>
  <c r="L151" i="2"/>
  <c r="H151" i="2"/>
  <c r="G151" i="2"/>
  <c r="D151" i="2"/>
  <c r="O150" i="2"/>
  <c r="N150" i="2"/>
  <c r="M150" i="2"/>
  <c r="L150" i="2"/>
  <c r="H150" i="2"/>
  <c r="G150" i="2"/>
  <c r="D150" i="2"/>
  <c r="O149" i="2"/>
  <c r="N149" i="2"/>
  <c r="M149" i="2"/>
  <c r="L149" i="2"/>
  <c r="H149" i="2"/>
  <c r="G149" i="2"/>
  <c r="D149" i="2"/>
  <c r="O148" i="2"/>
  <c r="N148" i="2"/>
  <c r="M148" i="2"/>
  <c r="L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M144" i="2"/>
  <c r="L144" i="2"/>
  <c r="H144" i="2"/>
  <c r="G144" i="2"/>
  <c r="D144" i="2"/>
  <c r="O143" i="2"/>
  <c r="N143" i="2"/>
  <c r="M143" i="2"/>
  <c r="L143" i="2"/>
  <c r="H143" i="2"/>
  <c r="G143" i="2"/>
  <c r="D143" i="2"/>
  <c r="O142" i="2"/>
  <c r="N142" i="2"/>
  <c r="M142" i="2"/>
  <c r="L142" i="2"/>
  <c r="H142" i="2"/>
  <c r="G142" i="2"/>
  <c r="D142" i="2"/>
  <c r="O141" i="2"/>
  <c r="N141" i="2"/>
  <c r="M141" i="2"/>
  <c r="L141" i="2"/>
  <c r="H141" i="2"/>
  <c r="G141" i="2"/>
  <c r="D141" i="2"/>
  <c r="O140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O137" i="2"/>
  <c r="N137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M135" i="2"/>
  <c r="L135" i="2"/>
  <c r="H135" i="2"/>
  <c r="G135" i="2"/>
  <c r="D135" i="2"/>
  <c r="O134" i="2"/>
  <c r="N134" i="2"/>
  <c r="M134" i="2"/>
  <c r="L134" i="2"/>
  <c r="H134" i="2"/>
  <c r="G134" i="2"/>
  <c r="D134" i="2"/>
  <c r="O133" i="2"/>
  <c r="N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O130" i="2"/>
  <c r="N130" i="2"/>
  <c r="M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L128" i="2"/>
  <c r="H128" i="2"/>
  <c r="G128" i="2"/>
  <c r="D128" i="2"/>
  <c r="O127" i="2"/>
  <c r="N127" i="2"/>
  <c r="M127" i="2"/>
  <c r="L127" i="2"/>
  <c r="H127" i="2"/>
  <c r="G127" i="2"/>
  <c r="D127" i="2"/>
  <c r="O126" i="2"/>
  <c r="N126" i="2"/>
  <c r="M126" i="2"/>
  <c r="L126" i="2"/>
  <c r="H126" i="2"/>
  <c r="G126" i="2"/>
  <c r="D126" i="2"/>
  <c r="O125" i="2"/>
  <c r="N125" i="2"/>
  <c r="M125" i="2"/>
  <c r="L125" i="2"/>
  <c r="H125" i="2"/>
  <c r="G125" i="2"/>
  <c r="D125" i="2"/>
  <c r="O124" i="2"/>
  <c r="N124" i="2"/>
  <c r="M124" i="2"/>
  <c r="L124" i="2"/>
  <c r="H124" i="2"/>
  <c r="G124" i="2"/>
  <c r="D124" i="2"/>
  <c r="O123" i="2"/>
  <c r="N123" i="2"/>
  <c r="M123" i="2"/>
  <c r="L123" i="2"/>
  <c r="H123" i="2"/>
  <c r="G123" i="2"/>
  <c r="D123" i="2"/>
  <c r="O122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M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M117" i="2"/>
  <c r="L117" i="2"/>
  <c r="H117" i="2"/>
  <c r="G117" i="2"/>
  <c r="D117" i="2"/>
  <c r="O116" i="2"/>
  <c r="N116" i="2"/>
  <c r="M116" i="2"/>
  <c r="L116" i="2"/>
  <c r="H116" i="2"/>
  <c r="G116" i="2"/>
  <c r="D116" i="2"/>
  <c r="O115" i="2"/>
  <c r="N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N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N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M108" i="2"/>
  <c r="L108" i="2"/>
  <c r="H108" i="2"/>
  <c r="G108" i="2"/>
  <c r="D108" i="2"/>
  <c r="O107" i="2"/>
  <c r="N107" i="2"/>
  <c r="M107" i="2"/>
  <c r="L107" i="2"/>
  <c r="H107" i="2"/>
  <c r="G107" i="2"/>
  <c r="D107" i="2"/>
  <c r="O106" i="2"/>
  <c r="N106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O103" i="2"/>
  <c r="N103" i="2"/>
  <c r="M103" i="2"/>
  <c r="L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L100" i="2"/>
  <c r="H100" i="2"/>
  <c r="G100" i="2"/>
  <c r="D100" i="2"/>
  <c r="O99" i="2"/>
  <c r="N99" i="2"/>
  <c r="M99" i="2"/>
  <c r="L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M96" i="2"/>
  <c r="L96" i="2"/>
  <c r="H96" i="2"/>
  <c r="G96" i="2"/>
  <c r="D96" i="2"/>
  <c r="O95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M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N89" i="2"/>
  <c r="M89" i="2"/>
  <c r="L89" i="2"/>
  <c r="H89" i="2"/>
  <c r="G89" i="2"/>
  <c r="D89" i="2"/>
  <c r="O88" i="2"/>
  <c r="N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N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O82" i="2"/>
  <c r="N82" i="2"/>
  <c r="M82" i="2"/>
  <c r="L82" i="2"/>
  <c r="H82" i="2"/>
  <c r="G82" i="2"/>
  <c r="D82" i="2"/>
  <c r="O81" i="2"/>
  <c r="N81" i="2"/>
  <c r="M81" i="2"/>
  <c r="L81" i="2"/>
  <c r="H81" i="2"/>
  <c r="G81" i="2"/>
  <c r="D81" i="2"/>
  <c r="O80" i="2"/>
  <c r="N80" i="2"/>
  <c r="M80" i="2"/>
  <c r="L80" i="2"/>
  <c r="H80" i="2"/>
  <c r="G80" i="2"/>
  <c r="D80" i="2"/>
  <c r="O79" i="2"/>
  <c r="N79" i="2"/>
  <c r="M79" i="2"/>
  <c r="L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O77" i="2"/>
  <c r="N77" i="2"/>
  <c r="M77" i="2"/>
  <c r="L77" i="2"/>
  <c r="H77" i="2"/>
  <c r="G77" i="2"/>
  <c r="D77" i="2"/>
  <c r="O76" i="2"/>
  <c r="N76" i="2"/>
  <c r="M76" i="2"/>
  <c r="L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M72" i="2"/>
  <c r="L72" i="2"/>
  <c r="H72" i="2"/>
  <c r="G72" i="2"/>
  <c r="D72" i="2"/>
  <c r="O71" i="2"/>
  <c r="N71" i="2"/>
  <c r="M71" i="2"/>
  <c r="L71" i="2"/>
  <c r="H71" i="2"/>
  <c r="G71" i="2"/>
  <c r="D71" i="2"/>
  <c r="O70" i="2"/>
  <c r="N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N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N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F61" i="1" s="1"/>
  <c r="G39" i="2"/>
  <c r="E61" i="1" s="1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D181" i="1"/>
  <c r="C181" i="1"/>
  <c r="G180" i="1"/>
  <c r="D180" i="1"/>
  <c r="C180" i="1"/>
  <c r="G179" i="1"/>
  <c r="F179" i="1"/>
  <c r="E179" i="1"/>
  <c r="D179" i="1"/>
  <c r="C179" i="1"/>
  <c r="G178" i="1"/>
  <c r="D178" i="1"/>
  <c r="C178" i="1"/>
  <c r="G177" i="1"/>
  <c r="D177" i="1"/>
  <c r="C177" i="1"/>
  <c r="G176" i="1"/>
  <c r="D176" i="1"/>
  <c r="C176" i="1"/>
  <c r="G175" i="1"/>
  <c r="E175" i="1"/>
  <c r="D175" i="1"/>
  <c r="C175" i="1"/>
  <c r="G174" i="1"/>
  <c r="D174" i="1"/>
  <c r="C174" i="1"/>
  <c r="G173" i="1"/>
  <c r="D173" i="1"/>
  <c r="C173" i="1"/>
  <c r="G172" i="1"/>
  <c r="D172" i="1"/>
  <c r="C172" i="1"/>
  <c r="G171" i="1"/>
  <c r="D171" i="1"/>
  <c r="C171" i="1"/>
  <c r="G170" i="1"/>
  <c r="D170" i="1"/>
  <c r="C170" i="1"/>
  <c r="G169" i="1"/>
  <c r="E169" i="1"/>
  <c r="D169" i="1"/>
  <c r="C169" i="1"/>
  <c r="G168" i="1"/>
  <c r="D168" i="1"/>
  <c r="C168" i="1"/>
  <c r="G167" i="1"/>
  <c r="D167" i="1"/>
  <c r="C167" i="1"/>
  <c r="G166" i="1"/>
  <c r="D166" i="1"/>
  <c r="C166" i="1"/>
  <c r="G165" i="1"/>
  <c r="D165" i="1"/>
  <c r="C165" i="1"/>
  <c r="G164" i="1"/>
  <c r="D164" i="1"/>
  <c r="C164" i="1"/>
  <c r="G163" i="1"/>
  <c r="D163" i="1"/>
  <c r="C163" i="1"/>
  <c r="G162" i="1"/>
  <c r="F162" i="1"/>
  <c r="D162" i="1"/>
  <c r="C162" i="1"/>
  <c r="G161" i="1"/>
  <c r="D161" i="1"/>
  <c r="C161" i="1"/>
  <c r="G160" i="1"/>
  <c r="D160" i="1"/>
  <c r="C160" i="1"/>
  <c r="G159" i="1"/>
  <c r="D159" i="1"/>
  <c r="C159" i="1"/>
  <c r="G158" i="1"/>
  <c r="D158" i="1"/>
  <c r="C158" i="1"/>
  <c r="G157" i="1"/>
  <c r="D157" i="1"/>
  <c r="C157" i="1"/>
  <c r="G156" i="1"/>
  <c r="D156" i="1"/>
  <c r="C156" i="1"/>
  <c r="G155" i="1"/>
  <c r="D155" i="1"/>
  <c r="C155" i="1"/>
  <c r="G154" i="1"/>
  <c r="D154" i="1"/>
  <c r="C154" i="1"/>
  <c r="G153" i="1"/>
  <c r="D153" i="1"/>
  <c r="C153" i="1"/>
  <c r="G152" i="1"/>
  <c r="D152" i="1"/>
  <c r="C152" i="1"/>
  <c r="G151" i="1"/>
  <c r="D151" i="1"/>
  <c r="C151" i="1"/>
  <c r="G150" i="1"/>
  <c r="D150" i="1"/>
  <c r="C150" i="1"/>
  <c r="G149" i="1"/>
  <c r="D149" i="1"/>
  <c r="C149" i="1"/>
  <c r="G148" i="1"/>
  <c r="D148" i="1"/>
  <c r="C148" i="1"/>
  <c r="G147" i="1"/>
  <c r="D147" i="1"/>
  <c r="C147" i="1"/>
  <c r="G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D141" i="1"/>
  <c r="C141" i="1"/>
  <c r="G140" i="1"/>
  <c r="D140" i="1"/>
  <c r="C140" i="1"/>
  <c r="G139" i="1"/>
  <c r="D139" i="1"/>
  <c r="C139" i="1"/>
  <c r="G138" i="1"/>
  <c r="D138" i="1"/>
  <c r="C138" i="1"/>
  <c r="G137" i="1"/>
  <c r="D137" i="1"/>
  <c r="C137" i="1"/>
  <c r="G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D132" i="1"/>
  <c r="C132" i="1"/>
  <c r="G131" i="1"/>
  <c r="D131" i="1"/>
  <c r="C131" i="1"/>
  <c r="G130" i="1"/>
  <c r="D130" i="1"/>
  <c r="C130" i="1"/>
  <c r="G129" i="1"/>
  <c r="D129" i="1"/>
  <c r="C129" i="1"/>
  <c r="G128" i="1"/>
  <c r="E128" i="1"/>
  <c r="D128" i="1"/>
  <c r="C128" i="1"/>
  <c r="G127" i="1"/>
  <c r="D127" i="1"/>
  <c r="C127" i="1"/>
  <c r="G126" i="1"/>
  <c r="D126" i="1"/>
  <c r="C126" i="1"/>
  <c r="G125" i="1"/>
  <c r="D125" i="1"/>
  <c r="C125" i="1"/>
  <c r="G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D118" i="1"/>
  <c r="C118" i="1"/>
  <c r="G117" i="1"/>
  <c r="D117" i="1"/>
  <c r="C117" i="1"/>
  <c r="G116" i="1"/>
  <c r="D116" i="1"/>
  <c r="C116" i="1"/>
  <c r="G115" i="1"/>
  <c r="D115" i="1"/>
  <c r="C115" i="1"/>
  <c r="G114" i="1"/>
  <c r="D114" i="1"/>
  <c r="C114" i="1"/>
  <c r="G113" i="1"/>
  <c r="D113" i="1"/>
  <c r="C113" i="1"/>
  <c r="G112" i="1"/>
  <c r="D112" i="1"/>
  <c r="C112" i="1"/>
  <c r="G111" i="1"/>
  <c r="D111" i="1"/>
  <c r="C111" i="1"/>
  <c r="G110" i="1"/>
  <c r="D110" i="1"/>
  <c r="C110" i="1"/>
  <c r="G109" i="1"/>
  <c r="D109" i="1"/>
  <c r="C109" i="1"/>
  <c r="G108" i="1"/>
  <c r="D108" i="1"/>
  <c r="C108" i="1"/>
  <c r="G107" i="1"/>
  <c r="D107" i="1"/>
  <c r="C107" i="1"/>
  <c r="G106" i="1"/>
  <c r="D106" i="1"/>
  <c r="C106" i="1"/>
  <c r="G105" i="1"/>
  <c r="D105" i="1"/>
  <c r="C105" i="1"/>
  <c r="G104" i="1"/>
  <c r="D104" i="1"/>
  <c r="C104" i="1"/>
  <c r="G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D86" i="1"/>
  <c r="C86" i="1"/>
  <c r="G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D78" i="1"/>
  <c r="C78" i="1"/>
  <c r="G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M1606" i="2" l="1"/>
  <c r="M1612" i="2"/>
  <c r="M1620" i="2"/>
  <c r="M1626" i="2"/>
  <c r="M1632" i="2"/>
  <c r="N1606" i="2"/>
  <c r="N1612" i="2"/>
  <c r="N1620" i="2"/>
  <c r="N1626" i="2"/>
  <c r="N1632" i="2"/>
  <c r="O1606" i="2"/>
  <c r="O1612" i="2"/>
  <c r="O1620" i="2"/>
  <c r="O1626" i="2"/>
  <c r="O1632" i="2"/>
  <c r="F224" i="3"/>
  <c r="L1607" i="2"/>
  <c r="L1613" i="2"/>
  <c r="L1621" i="2"/>
  <c r="L1627" i="2"/>
  <c r="L1633" i="2"/>
  <c r="G224" i="3"/>
  <c r="M1607" i="2"/>
  <c r="M1613" i="2"/>
  <c r="M1621" i="2"/>
  <c r="M1627" i="2"/>
  <c r="M1633" i="2"/>
  <c r="I224" i="3"/>
  <c r="O1607" i="2"/>
  <c r="O1613" i="2"/>
  <c r="O1621" i="2"/>
  <c r="O1627" i="2"/>
  <c r="O1633" i="2"/>
  <c r="G225" i="3"/>
  <c r="M1608" i="2"/>
  <c r="M1614" i="2"/>
  <c r="M1622" i="2"/>
  <c r="M1628" i="2"/>
  <c r="H225" i="3"/>
  <c r="N1608" i="2"/>
  <c r="N1614" i="2"/>
  <c r="N1622" i="2"/>
  <c r="N1628" i="2"/>
  <c r="I225" i="3"/>
  <c r="O1608" i="2"/>
  <c r="O1614" i="2"/>
  <c r="O1622" i="2"/>
  <c r="O1628" i="2"/>
  <c r="F226" i="3"/>
  <c r="L1609" i="2"/>
  <c r="L1615" i="2"/>
  <c r="L1623" i="2"/>
  <c r="L1629" i="2"/>
  <c r="G226" i="3"/>
  <c r="M1609" i="2"/>
  <c r="M1615" i="2"/>
  <c r="M1623" i="2"/>
  <c r="M1629" i="2"/>
  <c r="L1617" i="2"/>
  <c r="H226" i="3"/>
  <c r="N1609" i="2"/>
  <c r="N1615" i="2"/>
  <c r="N1623" i="2"/>
  <c r="N1629" i="2"/>
  <c r="M1617" i="2"/>
  <c r="I226" i="3"/>
  <c r="O1609" i="2"/>
  <c r="O1615" i="2"/>
  <c r="O1623" i="2"/>
  <c r="O1629" i="2"/>
  <c r="N1617" i="2"/>
  <c r="L1604" i="2"/>
  <c r="L1610" i="2"/>
  <c r="L1616" i="2"/>
  <c r="L1624" i="2"/>
  <c r="L1630" i="2"/>
  <c r="O1617" i="2"/>
  <c r="M1604" i="2"/>
  <c r="M1610" i="2"/>
  <c r="M1616" i="2"/>
  <c r="M1624" i="2"/>
  <c r="M1630" i="2"/>
  <c r="N1604" i="2"/>
  <c r="N1610" i="2"/>
  <c r="N1616" i="2"/>
  <c r="N1624" i="2"/>
  <c r="N1630" i="2"/>
  <c r="O1604" i="2"/>
  <c r="O1610" i="2"/>
  <c r="O1616" i="2"/>
  <c r="O1624" i="2"/>
  <c r="O1630" i="2"/>
  <c r="L1605" i="2"/>
  <c r="L1611" i="2"/>
  <c r="L1619" i="2"/>
  <c r="L1625" i="2"/>
  <c r="L1631" i="2"/>
  <c r="O1603" i="2"/>
  <c r="M1605" i="2"/>
  <c r="M1611" i="2"/>
  <c r="M1619" i="2"/>
  <c r="M1625" i="2"/>
  <c r="M1631" i="2"/>
  <c r="L1618" i="2"/>
  <c r="N1605" i="2"/>
  <c r="N1611" i="2"/>
  <c r="N1619" i="2"/>
  <c r="N1625" i="2"/>
  <c r="N1631" i="2"/>
  <c r="M1618" i="2"/>
  <c r="L1599" i="2"/>
  <c r="O1605" i="2"/>
  <c r="O1611" i="2"/>
  <c r="O1619" i="2"/>
  <c r="O1625" i="2"/>
  <c r="O1631" i="2"/>
  <c r="N1618" i="2"/>
  <c r="L1606" i="2"/>
  <c r="L1612" i="2"/>
  <c r="L1620" i="2"/>
  <c r="L1626" i="2"/>
  <c r="L1632" i="2"/>
  <c r="O1618" i="2"/>
  <c r="E149" i="1"/>
  <c r="E164" i="1"/>
  <c r="F164" i="1"/>
  <c r="E186" i="1"/>
  <c r="F186" i="1"/>
  <c r="E185" i="1"/>
  <c r="M1582" i="2"/>
  <c r="M1588" i="2"/>
  <c r="M1594" i="2"/>
  <c r="M1600" i="2"/>
  <c r="N1582" i="2"/>
  <c r="N1588" i="2"/>
  <c r="N1594" i="2"/>
  <c r="N1600" i="2"/>
  <c r="O1582" i="2"/>
  <c r="O1588" i="2"/>
  <c r="O1594" i="2"/>
  <c r="O1600" i="2"/>
  <c r="F221" i="3"/>
  <c r="L1583" i="2"/>
  <c r="L1589" i="2"/>
  <c r="L1595" i="2"/>
  <c r="L1601" i="2"/>
  <c r="G221" i="3"/>
  <c r="M1583" i="2"/>
  <c r="M1589" i="2"/>
  <c r="M1595" i="2"/>
  <c r="M1601" i="2"/>
  <c r="H221" i="3"/>
  <c r="N1583" i="2"/>
  <c r="N1589" i="2"/>
  <c r="N1595" i="2"/>
  <c r="N1601" i="2"/>
  <c r="I221" i="3"/>
  <c r="O1583" i="2"/>
  <c r="O1589" i="2"/>
  <c r="O1595" i="2"/>
  <c r="O1601" i="2"/>
  <c r="F222" i="3"/>
  <c r="L1584" i="2"/>
  <c r="L1590" i="2"/>
  <c r="L1596" i="2"/>
  <c r="L1602" i="2"/>
  <c r="G222" i="3"/>
  <c r="M1584" i="2"/>
  <c r="M1590" i="2"/>
  <c r="M1596" i="2"/>
  <c r="M1602" i="2"/>
  <c r="H222" i="3"/>
  <c r="N1584" i="2"/>
  <c r="N1590" i="2"/>
  <c r="N1596" i="2"/>
  <c r="N1602" i="2"/>
  <c r="M671" i="2"/>
  <c r="L678" i="2"/>
  <c r="M719" i="2"/>
  <c r="L726" i="2"/>
  <c r="M767" i="2"/>
  <c r="L774" i="2"/>
  <c r="M815" i="2"/>
  <c r="L822" i="2"/>
  <c r="I222" i="3"/>
  <c r="O1584" i="2"/>
  <c r="O1590" i="2"/>
  <c r="O1596" i="2"/>
  <c r="O1602" i="2"/>
  <c r="F223" i="3"/>
  <c r="L1585" i="2"/>
  <c r="L1591" i="2"/>
  <c r="L1597" i="2"/>
  <c r="L1603" i="2"/>
  <c r="G223" i="3"/>
  <c r="M1585" i="2"/>
  <c r="M1591" i="2"/>
  <c r="M1597" i="2"/>
  <c r="M1603" i="2"/>
  <c r="H223" i="3"/>
  <c r="N1585" i="2"/>
  <c r="N1591" i="2"/>
  <c r="N1597" i="2"/>
  <c r="N1603" i="2"/>
  <c r="I223" i="3"/>
  <c r="O1585" i="2"/>
  <c r="O1591" i="2"/>
  <c r="O1597" i="2"/>
  <c r="L1580" i="2"/>
  <c r="L1586" i="2"/>
  <c r="L1592" i="2"/>
  <c r="L1598" i="2"/>
  <c r="M1580" i="2"/>
  <c r="M1586" i="2"/>
  <c r="M1592" i="2"/>
  <c r="M1598" i="2"/>
  <c r="N1580" i="2"/>
  <c r="N1586" i="2"/>
  <c r="N1592" i="2"/>
  <c r="N1598" i="2"/>
  <c r="O1580" i="2"/>
  <c r="O1586" i="2"/>
  <c r="O1592" i="2"/>
  <c r="O1598" i="2"/>
  <c r="L1581" i="2"/>
  <c r="L1587" i="2"/>
  <c r="L1593" i="2"/>
  <c r="M1581" i="2"/>
  <c r="M1587" i="2"/>
  <c r="M1593" i="2"/>
  <c r="M1599" i="2"/>
  <c r="N1581" i="2"/>
  <c r="N1587" i="2"/>
  <c r="N1593" i="2"/>
  <c r="N1599" i="2"/>
  <c r="O1581" i="2"/>
  <c r="O1587" i="2"/>
  <c r="O1593" i="2"/>
  <c r="O1599" i="2"/>
  <c r="L1582" i="2"/>
  <c r="L1588" i="2"/>
  <c r="L1594" i="2"/>
  <c r="E63" i="1"/>
  <c r="F180" i="1"/>
  <c r="E57" i="1"/>
  <c r="I52" i="3"/>
  <c r="N891" i="2"/>
  <c r="M493" i="2"/>
  <c r="L500" i="2"/>
  <c r="O503" i="2"/>
  <c r="N510" i="2"/>
  <c r="M517" i="2"/>
  <c r="L524" i="2"/>
  <c r="O527" i="2"/>
  <c r="N534" i="2"/>
  <c r="M541" i="2"/>
  <c r="L548" i="2"/>
  <c r="O551" i="2"/>
  <c r="N558" i="2"/>
  <c r="M565" i="2"/>
  <c r="L572" i="2"/>
  <c r="O575" i="2"/>
  <c r="N582" i="2"/>
  <c r="M589" i="2"/>
  <c r="L596" i="2"/>
  <c r="O599" i="2"/>
  <c r="N606" i="2"/>
  <c r="M613" i="2"/>
  <c r="L620" i="2"/>
  <c r="O623" i="2"/>
  <c r="N630" i="2"/>
  <c r="M637" i="2"/>
  <c r="L644" i="2"/>
  <c r="O647" i="2"/>
  <c r="N654" i="2"/>
  <c r="M661" i="2"/>
  <c r="L668" i="2"/>
  <c r="O671" i="2"/>
  <c r="N678" i="2"/>
  <c r="M685" i="2"/>
  <c r="L692" i="2"/>
  <c r="O695" i="2"/>
  <c r="N702" i="2"/>
  <c r="M709" i="2"/>
  <c r="L716" i="2"/>
  <c r="O719" i="2"/>
  <c r="N726" i="2"/>
  <c r="M733" i="2"/>
  <c r="L740" i="2"/>
  <c r="O743" i="2"/>
  <c r="N750" i="2"/>
  <c r="M757" i="2"/>
  <c r="L764" i="2"/>
  <c r="O767" i="2"/>
  <c r="N774" i="2"/>
  <c r="M781" i="2"/>
  <c r="L788" i="2"/>
  <c r="O791" i="2"/>
  <c r="N798" i="2"/>
  <c r="M805" i="2"/>
  <c r="L812" i="2"/>
  <c r="O815" i="2"/>
  <c r="N822" i="2"/>
  <c r="M829" i="2"/>
  <c r="M836" i="2"/>
  <c r="M843" i="2"/>
  <c r="M850" i="2"/>
  <c r="M857" i="2"/>
  <c r="N864" i="2"/>
  <c r="N1200" i="2"/>
  <c r="O1378" i="2"/>
  <c r="N493" i="2"/>
  <c r="M500" i="2"/>
  <c r="L507" i="2"/>
  <c r="O510" i="2"/>
  <c r="N517" i="2"/>
  <c r="M524" i="2"/>
  <c r="L531" i="2"/>
  <c r="O534" i="2"/>
  <c r="N541" i="2"/>
  <c r="M548" i="2"/>
  <c r="L555" i="2"/>
  <c r="O558" i="2"/>
  <c r="N565" i="2"/>
  <c r="M572" i="2"/>
  <c r="L579" i="2"/>
  <c r="O582" i="2"/>
  <c r="N589" i="2"/>
  <c r="M596" i="2"/>
  <c r="L603" i="2"/>
  <c r="O606" i="2"/>
  <c r="N613" i="2"/>
  <c r="M620" i="2"/>
  <c r="L627" i="2"/>
  <c r="O630" i="2"/>
  <c r="N637" i="2"/>
  <c r="M644" i="2"/>
  <c r="L651" i="2"/>
  <c r="O654" i="2"/>
  <c r="N661" i="2"/>
  <c r="M668" i="2"/>
  <c r="L675" i="2"/>
  <c r="O678" i="2"/>
  <c r="N685" i="2"/>
  <c r="M692" i="2"/>
  <c r="L699" i="2"/>
  <c r="O702" i="2"/>
  <c r="N709" i="2"/>
  <c r="M716" i="2"/>
  <c r="L723" i="2"/>
  <c r="O726" i="2"/>
  <c r="N733" i="2"/>
  <c r="M740" i="2"/>
  <c r="L747" i="2"/>
  <c r="O750" i="2"/>
  <c r="N757" i="2"/>
  <c r="M764" i="2"/>
  <c r="L771" i="2"/>
  <c r="O774" i="2"/>
  <c r="N781" i="2"/>
  <c r="M788" i="2"/>
  <c r="L795" i="2"/>
  <c r="O798" i="2"/>
  <c r="N805" i="2"/>
  <c r="M812" i="2"/>
  <c r="L819" i="2"/>
  <c r="O822" i="2"/>
  <c r="N829" i="2"/>
  <c r="N836" i="2"/>
  <c r="N843" i="2"/>
  <c r="N850" i="2"/>
  <c r="O857" i="2"/>
  <c r="O864" i="2"/>
  <c r="M884" i="2"/>
  <c r="O1247" i="2"/>
  <c r="L490" i="2"/>
  <c r="O493" i="2"/>
  <c r="N500" i="2"/>
  <c r="M507" i="2"/>
  <c r="L514" i="2"/>
  <c r="O517" i="2"/>
  <c r="N524" i="2"/>
  <c r="M531" i="2"/>
  <c r="L538" i="2"/>
  <c r="O541" i="2"/>
  <c r="N548" i="2"/>
  <c r="M555" i="2"/>
  <c r="L562" i="2"/>
  <c r="O565" i="2"/>
  <c r="N572" i="2"/>
  <c r="M579" i="2"/>
  <c r="L586" i="2"/>
  <c r="O589" i="2"/>
  <c r="N596" i="2"/>
  <c r="M603" i="2"/>
  <c r="L610" i="2"/>
  <c r="O613" i="2"/>
  <c r="N620" i="2"/>
  <c r="M627" i="2"/>
  <c r="L634" i="2"/>
  <c r="O637" i="2"/>
  <c r="N644" i="2"/>
  <c r="M651" i="2"/>
  <c r="L658" i="2"/>
  <c r="O661" i="2"/>
  <c r="N668" i="2"/>
  <c r="M675" i="2"/>
  <c r="L682" i="2"/>
  <c r="O685" i="2"/>
  <c r="N692" i="2"/>
  <c r="M699" i="2"/>
  <c r="L706" i="2"/>
  <c r="O709" i="2"/>
  <c r="N716" i="2"/>
  <c r="M723" i="2"/>
  <c r="L730" i="2"/>
  <c r="O733" i="2"/>
  <c r="N740" i="2"/>
  <c r="M747" i="2"/>
  <c r="L754" i="2"/>
  <c r="O757" i="2"/>
  <c r="N764" i="2"/>
  <c r="M771" i="2"/>
  <c r="L778" i="2"/>
  <c r="O781" i="2"/>
  <c r="N788" i="2"/>
  <c r="M795" i="2"/>
  <c r="L802" i="2"/>
  <c r="O805" i="2"/>
  <c r="N812" i="2"/>
  <c r="M819" i="2"/>
  <c r="L826" i="2"/>
  <c r="O829" i="2"/>
  <c r="O836" i="2"/>
  <c r="O843" i="2"/>
  <c r="L854" i="2"/>
  <c r="L861" i="2"/>
  <c r="L877" i="2"/>
  <c r="N991" i="2"/>
  <c r="M1224" i="2"/>
  <c r="M490" i="2"/>
  <c r="L497" i="2"/>
  <c r="O500" i="2"/>
  <c r="N507" i="2"/>
  <c r="M514" i="2"/>
  <c r="L521" i="2"/>
  <c r="O524" i="2"/>
  <c r="N531" i="2"/>
  <c r="M538" i="2"/>
  <c r="L545" i="2"/>
  <c r="O548" i="2"/>
  <c r="N555" i="2"/>
  <c r="M562" i="2"/>
  <c r="L569" i="2"/>
  <c r="O572" i="2"/>
  <c r="N579" i="2"/>
  <c r="M586" i="2"/>
  <c r="L593" i="2"/>
  <c r="O596" i="2"/>
  <c r="N603" i="2"/>
  <c r="M610" i="2"/>
  <c r="L617" i="2"/>
  <c r="O620" i="2"/>
  <c r="N627" i="2"/>
  <c r="M634" i="2"/>
  <c r="L641" i="2"/>
  <c r="O644" i="2"/>
  <c r="N651" i="2"/>
  <c r="M658" i="2"/>
  <c r="L665" i="2"/>
  <c r="O668" i="2"/>
  <c r="N675" i="2"/>
  <c r="M682" i="2"/>
  <c r="L689" i="2"/>
  <c r="O692" i="2"/>
  <c r="N699" i="2"/>
  <c r="M706" i="2"/>
  <c r="L713" i="2"/>
  <c r="O716" i="2"/>
  <c r="N723" i="2"/>
  <c r="M730" i="2"/>
  <c r="L737" i="2"/>
  <c r="O740" i="2"/>
  <c r="N747" i="2"/>
  <c r="M754" i="2"/>
  <c r="L761" i="2"/>
  <c r="O764" i="2"/>
  <c r="N771" i="2"/>
  <c r="M778" i="2"/>
  <c r="L785" i="2"/>
  <c r="O788" i="2"/>
  <c r="N795" i="2"/>
  <c r="M802" i="2"/>
  <c r="L809" i="2"/>
  <c r="O812" i="2"/>
  <c r="N819" i="2"/>
  <c r="M826" i="2"/>
  <c r="L833" i="2"/>
  <c r="L840" i="2"/>
  <c r="M847" i="2"/>
  <c r="M854" i="2"/>
  <c r="M861" i="2"/>
  <c r="L1069" i="2"/>
  <c r="N490" i="2"/>
  <c r="M497" i="2"/>
  <c r="L504" i="2"/>
  <c r="O507" i="2"/>
  <c r="N514" i="2"/>
  <c r="M521" i="2"/>
  <c r="L528" i="2"/>
  <c r="O531" i="2"/>
  <c r="N538" i="2"/>
  <c r="M545" i="2"/>
  <c r="L552" i="2"/>
  <c r="O555" i="2"/>
  <c r="N562" i="2"/>
  <c r="M569" i="2"/>
  <c r="L576" i="2"/>
  <c r="O579" i="2"/>
  <c r="N586" i="2"/>
  <c r="M593" i="2"/>
  <c r="L600" i="2"/>
  <c r="O603" i="2"/>
  <c r="N610" i="2"/>
  <c r="M617" i="2"/>
  <c r="L624" i="2"/>
  <c r="O627" i="2"/>
  <c r="N634" i="2"/>
  <c r="M641" i="2"/>
  <c r="L648" i="2"/>
  <c r="O651" i="2"/>
  <c r="N658" i="2"/>
  <c r="M665" i="2"/>
  <c r="L672" i="2"/>
  <c r="O675" i="2"/>
  <c r="N682" i="2"/>
  <c r="M689" i="2"/>
  <c r="L696" i="2"/>
  <c r="O699" i="2"/>
  <c r="N706" i="2"/>
  <c r="M713" i="2"/>
  <c r="L720" i="2"/>
  <c r="O723" i="2"/>
  <c r="N730" i="2"/>
  <c r="M737" i="2"/>
  <c r="L744" i="2"/>
  <c r="O747" i="2"/>
  <c r="N754" i="2"/>
  <c r="M761" i="2"/>
  <c r="L768" i="2"/>
  <c r="O771" i="2"/>
  <c r="N778" i="2"/>
  <c r="M785" i="2"/>
  <c r="L792" i="2"/>
  <c r="O795" i="2"/>
  <c r="N802" i="2"/>
  <c r="M809" i="2"/>
  <c r="L816" i="2"/>
  <c r="O819" i="2"/>
  <c r="N826" i="2"/>
  <c r="M833" i="2"/>
  <c r="N840" i="2"/>
  <c r="N847" i="2"/>
  <c r="N854" i="2"/>
  <c r="N861" i="2"/>
  <c r="F71" i="1"/>
  <c r="O490" i="2"/>
  <c r="N497" i="2"/>
  <c r="M504" i="2"/>
  <c r="L511" i="2"/>
  <c r="O514" i="2"/>
  <c r="N521" i="2"/>
  <c r="M528" i="2"/>
  <c r="L535" i="2"/>
  <c r="O538" i="2"/>
  <c r="N545" i="2"/>
  <c r="M552" i="2"/>
  <c r="L559" i="2"/>
  <c r="O562" i="2"/>
  <c r="N569" i="2"/>
  <c r="M576" i="2"/>
  <c r="L583" i="2"/>
  <c r="O586" i="2"/>
  <c r="N593" i="2"/>
  <c r="M600" i="2"/>
  <c r="L607" i="2"/>
  <c r="O610" i="2"/>
  <c r="N617" i="2"/>
  <c r="M624" i="2"/>
  <c r="L631" i="2"/>
  <c r="O634" i="2"/>
  <c r="N641" i="2"/>
  <c r="M648" i="2"/>
  <c r="L655" i="2"/>
  <c r="O658" i="2"/>
  <c r="N665" i="2"/>
  <c r="M672" i="2"/>
  <c r="L679" i="2"/>
  <c r="O682" i="2"/>
  <c r="N689" i="2"/>
  <c r="M696" i="2"/>
  <c r="L703" i="2"/>
  <c r="O706" i="2"/>
  <c r="N713" i="2"/>
  <c r="M720" i="2"/>
  <c r="L727" i="2"/>
  <c r="O730" i="2"/>
  <c r="N737" i="2"/>
  <c r="M744" i="2"/>
  <c r="L751" i="2"/>
  <c r="O754" i="2"/>
  <c r="N761" i="2"/>
  <c r="M768" i="2"/>
  <c r="L775" i="2"/>
  <c r="O778" i="2"/>
  <c r="N785" i="2"/>
  <c r="M792" i="2"/>
  <c r="L799" i="2"/>
  <c r="O802" i="2"/>
  <c r="N809" i="2"/>
  <c r="M816" i="2"/>
  <c r="L823" i="2"/>
  <c r="O826" i="2"/>
  <c r="O833" i="2"/>
  <c r="O840" i="2"/>
  <c r="O847" i="2"/>
  <c r="L851" i="2"/>
  <c r="O854" i="2"/>
  <c r="L858" i="2"/>
  <c r="O861" i="2"/>
  <c r="L865" i="2"/>
  <c r="O931" i="2"/>
  <c r="N954" i="2"/>
  <c r="O1077" i="2"/>
  <c r="N1163" i="2"/>
  <c r="O1186" i="2"/>
  <c r="L494" i="2"/>
  <c r="O497" i="2"/>
  <c r="N504" i="2"/>
  <c r="M511" i="2"/>
  <c r="L518" i="2"/>
  <c r="O521" i="2"/>
  <c r="N528" i="2"/>
  <c r="M535" i="2"/>
  <c r="L542" i="2"/>
  <c r="O545" i="2"/>
  <c r="N552" i="2"/>
  <c r="M559" i="2"/>
  <c r="L566" i="2"/>
  <c r="O569" i="2"/>
  <c r="N576" i="2"/>
  <c r="M583" i="2"/>
  <c r="L590" i="2"/>
  <c r="O593" i="2"/>
  <c r="N600" i="2"/>
  <c r="M607" i="2"/>
  <c r="L614" i="2"/>
  <c r="O617" i="2"/>
  <c r="N624" i="2"/>
  <c r="M631" i="2"/>
  <c r="L638" i="2"/>
  <c r="O641" i="2"/>
  <c r="N648" i="2"/>
  <c r="M655" i="2"/>
  <c r="L662" i="2"/>
  <c r="O665" i="2"/>
  <c r="N672" i="2"/>
  <c r="M679" i="2"/>
  <c r="L686" i="2"/>
  <c r="O689" i="2"/>
  <c r="N696" i="2"/>
  <c r="M703" i="2"/>
  <c r="L710" i="2"/>
  <c r="O713" i="2"/>
  <c r="N720" i="2"/>
  <c r="M727" i="2"/>
  <c r="L734" i="2"/>
  <c r="O737" i="2"/>
  <c r="N744" i="2"/>
  <c r="M751" i="2"/>
  <c r="L758" i="2"/>
  <c r="O761" i="2"/>
  <c r="N768" i="2"/>
  <c r="M775" i="2"/>
  <c r="L782" i="2"/>
  <c r="O785" i="2"/>
  <c r="N792" i="2"/>
  <c r="M799" i="2"/>
  <c r="L806" i="2"/>
  <c r="O809" i="2"/>
  <c r="N816" i="2"/>
  <c r="M823" i="2"/>
  <c r="L830" i="2"/>
  <c r="L837" i="2"/>
  <c r="L844" i="2"/>
  <c r="M851" i="2"/>
  <c r="M858" i="2"/>
  <c r="M865" i="2"/>
  <c r="N916" i="2"/>
  <c r="M494" i="2"/>
  <c r="L501" i="2"/>
  <c r="O504" i="2"/>
  <c r="N511" i="2"/>
  <c r="M518" i="2"/>
  <c r="L525" i="2"/>
  <c r="O528" i="2"/>
  <c r="N535" i="2"/>
  <c r="M542" i="2"/>
  <c r="L549" i="2"/>
  <c r="O552" i="2"/>
  <c r="N559" i="2"/>
  <c r="M566" i="2"/>
  <c r="L573" i="2"/>
  <c r="O576" i="2"/>
  <c r="N583" i="2"/>
  <c r="M590" i="2"/>
  <c r="L597" i="2"/>
  <c r="O600" i="2"/>
  <c r="N607" i="2"/>
  <c r="M614" i="2"/>
  <c r="L621" i="2"/>
  <c r="O624" i="2"/>
  <c r="N631" i="2"/>
  <c r="M638" i="2"/>
  <c r="L645" i="2"/>
  <c r="O648" i="2"/>
  <c r="N655" i="2"/>
  <c r="M662" i="2"/>
  <c r="L669" i="2"/>
  <c r="O672" i="2"/>
  <c r="N679" i="2"/>
  <c r="M686" i="2"/>
  <c r="L693" i="2"/>
  <c r="O696" i="2"/>
  <c r="N703" i="2"/>
  <c r="M710" i="2"/>
  <c r="L717" i="2"/>
  <c r="O720" i="2"/>
  <c r="N727" i="2"/>
  <c r="M734" i="2"/>
  <c r="L741" i="2"/>
  <c r="O744" i="2"/>
  <c r="N751" i="2"/>
  <c r="M758" i="2"/>
  <c r="L765" i="2"/>
  <c r="O768" i="2"/>
  <c r="N775" i="2"/>
  <c r="M782" i="2"/>
  <c r="L789" i="2"/>
  <c r="O792" i="2"/>
  <c r="N799" i="2"/>
  <c r="M806" i="2"/>
  <c r="L813" i="2"/>
  <c r="O816" i="2"/>
  <c r="N823" i="2"/>
  <c r="M830" i="2"/>
  <c r="M837" i="2"/>
  <c r="M844" i="2"/>
  <c r="N851" i="2"/>
  <c r="N858" i="2"/>
  <c r="N865" i="2"/>
  <c r="L939" i="2"/>
  <c r="N494" i="2"/>
  <c r="M501" i="2"/>
  <c r="L508" i="2"/>
  <c r="O511" i="2"/>
  <c r="N518" i="2"/>
  <c r="M525" i="2"/>
  <c r="L532" i="2"/>
  <c r="O535" i="2"/>
  <c r="N542" i="2"/>
  <c r="M549" i="2"/>
  <c r="L556" i="2"/>
  <c r="O559" i="2"/>
  <c r="N566" i="2"/>
  <c r="M573" i="2"/>
  <c r="L580" i="2"/>
  <c r="O583" i="2"/>
  <c r="N590" i="2"/>
  <c r="M597" i="2"/>
  <c r="L604" i="2"/>
  <c r="O607" i="2"/>
  <c r="N614" i="2"/>
  <c r="M621" i="2"/>
  <c r="L628" i="2"/>
  <c r="O631" i="2"/>
  <c r="N638" i="2"/>
  <c r="M645" i="2"/>
  <c r="L652" i="2"/>
  <c r="O655" i="2"/>
  <c r="N662" i="2"/>
  <c r="M669" i="2"/>
  <c r="L676" i="2"/>
  <c r="O679" i="2"/>
  <c r="N686" i="2"/>
  <c r="M693" i="2"/>
  <c r="L700" i="2"/>
  <c r="O703" i="2"/>
  <c r="N710" i="2"/>
  <c r="M717" i="2"/>
  <c r="L724" i="2"/>
  <c r="O727" i="2"/>
  <c r="N734" i="2"/>
  <c r="M741" i="2"/>
  <c r="L748" i="2"/>
  <c r="O751" i="2"/>
  <c r="N758" i="2"/>
  <c r="M765" i="2"/>
  <c r="L772" i="2"/>
  <c r="O775" i="2"/>
  <c r="N782" i="2"/>
  <c r="M789" i="2"/>
  <c r="L796" i="2"/>
  <c r="O799" i="2"/>
  <c r="N806" i="2"/>
  <c r="M813" i="2"/>
  <c r="L820" i="2"/>
  <c r="O823" i="2"/>
  <c r="N830" i="2"/>
  <c r="N837" i="2"/>
  <c r="N844" i="2"/>
  <c r="O851" i="2"/>
  <c r="O858" i="2"/>
  <c r="O865" i="2"/>
  <c r="M909" i="2"/>
  <c r="N970" i="2"/>
  <c r="N1016" i="2"/>
  <c r="N1055" i="2"/>
  <c r="N1257" i="2"/>
  <c r="L491" i="2"/>
  <c r="O494" i="2"/>
  <c r="N501" i="2"/>
  <c r="M508" i="2"/>
  <c r="L515" i="2"/>
  <c r="O518" i="2"/>
  <c r="N525" i="2"/>
  <c r="M532" i="2"/>
  <c r="L539" i="2"/>
  <c r="O542" i="2"/>
  <c r="N549" i="2"/>
  <c r="M556" i="2"/>
  <c r="L563" i="2"/>
  <c r="O566" i="2"/>
  <c r="N573" i="2"/>
  <c r="M580" i="2"/>
  <c r="L587" i="2"/>
  <c r="O590" i="2"/>
  <c r="N597" i="2"/>
  <c r="M604" i="2"/>
  <c r="L611" i="2"/>
  <c r="O614" i="2"/>
  <c r="N621" i="2"/>
  <c r="M628" i="2"/>
  <c r="L635" i="2"/>
  <c r="O638" i="2"/>
  <c r="N645" i="2"/>
  <c r="M652" i="2"/>
  <c r="L659" i="2"/>
  <c r="O662" i="2"/>
  <c r="N669" i="2"/>
  <c r="M676" i="2"/>
  <c r="L683" i="2"/>
  <c r="O686" i="2"/>
  <c r="N693" i="2"/>
  <c r="M700" i="2"/>
  <c r="L707" i="2"/>
  <c r="O710" i="2"/>
  <c r="N717" i="2"/>
  <c r="M724" i="2"/>
  <c r="L731" i="2"/>
  <c r="O734" i="2"/>
  <c r="N741" i="2"/>
  <c r="M748" i="2"/>
  <c r="L755" i="2"/>
  <c r="O758" i="2"/>
  <c r="N765" i="2"/>
  <c r="M772" i="2"/>
  <c r="L779" i="2"/>
  <c r="O782" i="2"/>
  <c r="N789" i="2"/>
  <c r="M796" i="2"/>
  <c r="L803" i="2"/>
  <c r="O806" i="2"/>
  <c r="N813" i="2"/>
  <c r="M820" i="2"/>
  <c r="L827" i="2"/>
  <c r="O830" i="2"/>
  <c r="L834" i="2"/>
  <c r="O837" i="2"/>
  <c r="L841" i="2"/>
  <c r="O844" i="2"/>
  <c r="L848" i="2"/>
  <c r="L855" i="2"/>
  <c r="L862" i="2"/>
  <c r="O1117" i="2"/>
  <c r="O1172" i="2"/>
  <c r="N491" i="2"/>
  <c r="M498" i="2"/>
  <c r="L505" i="2"/>
  <c r="O508" i="2"/>
  <c r="N515" i="2"/>
  <c r="M522" i="2"/>
  <c r="L529" i="2"/>
  <c r="O532" i="2"/>
  <c r="N539" i="2"/>
  <c r="M546" i="2"/>
  <c r="L553" i="2"/>
  <c r="O556" i="2"/>
  <c r="N563" i="2"/>
  <c r="M570" i="2"/>
  <c r="L577" i="2"/>
  <c r="O580" i="2"/>
  <c r="N587" i="2"/>
  <c r="M594" i="2"/>
  <c r="L601" i="2"/>
  <c r="O604" i="2"/>
  <c r="N611" i="2"/>
  <c r="M618" i="2"/>
  <c r="L625" i="2"/>
  <c r="O628" i="2"/>
  <c r="N635" i="2"/>
  <c r="M642" i="2"/>
  <c r="L649" i="2"/>
  <c r="O652" i="2"/>
  <c r="N659" i="2"/>
  <c r="M666" i="2"/>
  <c r="L673" i="2"/>
  <c r="O676" i="2"/>
  <c r="N683" i="2"/>
  <c r="M690" i="2"/>
  <c r="L697" i="2"/>
  <c r="O700" i="2"/>
  <c r="N707" i="2"/>
  <c r="M714" i="2"/>
  <c r="L721" i="2"/>
  <c r="O724" i="2"/>
  <c r="N731" i="2"/>
  <c r="M738" i="2"/>
  <c r="L745" i="2"/>
  <c r="O748" i="2"/>
  <c r="N755" i="2"/>
  <c r="M762" i="2"/>
  <c r="L769" i="2"/>
  <c r="O772" i="2"/>
  <c r="N779" i="2"/>
  <c r="M786" i="2"/>
  <c r="L793" i="2"/>
  <c r="O796" i="2"/>
  <c r="N803" i="2"/>
  <c r="M810" i="2"/>
  <c r="L817" i="2"/>
  <c r="O820" i="2"/>
  <c r="N827" i="2"/>
  <c r="N834" i="2"/>
  <c r="N841" i="2"/>
  <c r="N848" i="2"/>
  <c r="N855" i="2"/>
  <c r="N862" i="2"/>
  <c r="L488" i="2"/>
  <c r="O491" i="2"/>
  <c r="N498" i="2"/>
  <c r="M505" i="2"/>
  <c r="L512" i="2"/>
  <c r="O515" i="2"/>
  <c r="N522" i="2"/>
  <c r="M529" i="2"/>
  <c r="L536" i="2"/>
  <c r="O539" i="2"/>
  <c r="N546" i="2"/>
  <c r="M553" i="2"/>
  <c r="L560" i="2"/>
  <c r="O563" i="2"/>
  <c r="N570" i="2"/>
  <c r="M577" i="2"/>
  <c r="L584" i="2"/>
  <c r="O587" i="2"/>
  <c r="N594" i="2"/>
  <c r="M601" i="2"/>
  <c r="L608" i="2"/>
  <c r="O611" i="2"/>
  <c r="N618" i="2"/>
  <c r="M625" i="2"/>
  <c r="L632" i="2"/>
  <c r="O635" i="2"/>
  <c r="N642" i="2"/>
  <c r="M649" i="2"/>
  <c r="L656" i="2"/>
  <c r="O659" i="2"/>
  <c r="N666" i="2"/>
  <c r="M673" i="2"/>
  <c r="L680" i="2"/>
  <c r="O683" i="2"/>
  <c r="N690" i="2"/>
  <c r="M697" i="2"/>
  <c r="L704" i="2"/>
  <c r="O707" i="2"/>
  <c r="N714" i="2"/>
  <c r="M721" i="2"/>
  <c r="L728" i="2"/>
  <c r="O731" i="2"/>
  <c r="N738" i="2"/>
  <c r="M745" i="2"/>
  <c r="L752" i="2"/>
  <c r="O755" i="2"/>
  <c r="N762" i="2"/>
  <c r="M769" i="2"/>
  <c r="L776" i="2"/>
  <c r="O779" i="2"/>
  <c r="N786" i="2"/>
  <c r="M793" i="2"/>
  <c r="L800" i="2"/>
  <c r="O803" i="2"/>
  <c r="N810" i="2"/>
  <c r="M817" i="2"/>
  <c r="L824" i="2"/>
  <c r="O827" i="2"/>
  <c r="O834" i="2"/>
  <c r="O841" i="2"/>
  <c r="O848" i="2"/>
  <c r="L852" i="2"/>
  <c r="O855" i="2"/>
  <c r="L859" i="2"/>
  <c r="O862" i="2"/>
  <c r="L866" i="2"/>
  <c r="O880" i="2"/>
  <c r="O1033" i="2"/>
  <c r="N1266" i="2"/>
  <c r="M488" i="2"/>
  <c r="L495" i="2"/>
  <c r="O498" i="2"/>
  <c r="N505" i="2"/>
  <c r="M512" i="2"/>
  <c r="L519" i="2"/>
  <c r="O522" i="2"/>
  <c r="N529" i="2"/>
  <c r="M536" i="2"/>
  <c r="L543" i="2"/>
  <c r="O546" i="2"/>
  <c r="N553" i="2"/>
  <c r="M560" i="2"/>
  <c r="L567" i="2"/>
  <c r="O570" i="2"/>
  <c r="N577" i="2"/>
  <c r="M584" i="2"/>
  <c r="L591" i="2"/>
  <c r="O594" i="2"/>
  <c r="N601" i="2"/>
  <c r="M608" i="2"/>
  <c r="L615" i="2"/>
  <c r="O618" i="2"/>
  <c r="N625" i="2"/>
  <c r="M632" i="2"/>
  <c r="L639" i="2"/>
  <c r="O642" i="2"/>
  <c r="N649" i="2"/>
  <c r="M656" i="2"/>
  <c r="L663" i="2"/>
  <c r="O666" i="2"/>
  <c r="N673" i="2"/>
  <c r="M680" i="2"/>
  <c r="L687" i="2"/>
  <c r="O690" i="2"/>
  <c r="N697" i="2"/>
  <c r="M704" i="2"/>
  <c r="L711" i="2"/>
  <c r="O714" i="2"/>
  <c r="N721" i="2"/>
  <c r="M728" i="2"/>
  <c r="L735" i="2"/>
  <c r="O738" i="2"/>
  <c r="N745" i="2"/>
  <c r="M752" i="2"/>
  <c r="L759" i="2"/>
  <c r="O762" i="2"/>
  <c r="N769" i="2"/>
  <c r="M776" i="2"/>
  <c r="L783" i="2"/>
  <c r="O786" i="2"/>
  <c r="N793" i="2"/>
  <c r="M800" i="2"/>
  <c r="L807" i="2"/>
  <c r="O810" i="2"/>
  <c r="N817" i="2"/>
  <c r="M824" i="2"/>
  <c r="L831" i="2"/>
  <c r="L838" i="2"/>
  <c r="L845" i="2"/>
  <c r="M852" i="2"/>
  <c r="M859" i="2"/>
  <c r="M866" i="2"/>
  <c r="O873" i="2"/>
  <c r="M987" i="2"/>
  <c r="N1095" i="2"/>
  <c r="O1181" i="2"/>
  <c r="L1353" i="2"/>
  <c r="L1298" i="2"/>
  <c r="O488" i="2"/>
  <c r="N495" i="2"/>
  <c r="M502" i="2"/>
  <c r="L509" i="2"/>
  <c r="O512" i="2"/>
  <c r="N519" i="2"/>
  <c r="M526" i="2"/>
  <c r="L533" i="2"/>
  <c r="O536" i="2"/>
  <c r="N543" i="2"/>
  <c r="M550" i="2"/>
  <c r="L557" i="2"/>
  <c r="O560" i="2"/>
  <c r="N567" i="2"/>
  <c r="M574" i="2"/>
  <c r="L581" i="2"/>
  <c r="O584" i="2"/>
  <c r="N591" i="2"/>
  <c r="M598" i="2"/>
  <c r="L605" i="2"/>
  <c r="O608" i="2"/>
  <c r="N615" i="2"/>
  <c r="M622" i="2"/>
  <c r="L629" i="2"/>
  <c r="O632" i="2"/>
  <c r="N639" i="2"/>
  <c r="M646" i="2"/>
  <c r="L653" i="2"/>
  <c r="O656" i="2"/>
  <c r="N663" i="2"/>
  <c r="M670" i="2"/>
  <c r="L677" i="2"/>
  <c r="O680" i="2"/>
  <c r="N687" i="2"/>
  <c r="M694" i="2"/>
  <c r="L701" i="2"/>
  <c r="O704" i="2"/>
  <c r="N711" i="2"/>
  <c r="M718" i="2"/>
  <c r="L725" i="2"/>
  <c r="O728" i="2"/>
  <c r="N735" i="2"/>
  <c r="M742" i="2"/>
  <c r="L749" i="2"/>
  <c r="O752" i="2"/>
  <c r="N759" i="2"/>
  <c r="M766" i="2"/>
  <c r="L773" i="2"/>
  <c r="O776" i="2"/>
  <c r="N783" i="2"/>
  <c r="M790" i="2"/>
  <c r="L797" i="2"/>
  <c r="O800" i="2"/>
  <c r="N807" i="2"/>
  <c r="M814" i="2"/>
  <c r="L821" i="2"/>
  <c r="O824" i="2"/>
  <c r="N831" i="2"/>
  <c r="N838" i="2"/>
  <c r="N845" i="2"/>
  <c r="O852" i="2"/>
  <c r="O859" i="2"/>
  <c r="O866" i="2"/>
  <c r="O995" i="2"/>
  <c r="L492" i="2"/>
  <c r="O495" i="2"/>
  <c r="N502" i="2"/>
  <c r="M509" i="2"/>
  <c r="L516" i="2"/>
  <c r="O519" i="2"/>
  <c r="N526" i="2"/>
  <c r="M533" i="2"/>
  <c r="L540" i="2"/>
  <c r="O543" i="2"/>
  <c r="N550" i="2"/>
  <c r="M557" i="2"/>
  <c r="L564" i="2"/>
  <c r="O567" i="2"/>
  <c r="N574" i="2"/>
  <c r="M581" i="2"/>
  <c r="L588" i="2"/>
  <c r="O591" i="2"/>
  <c r="N598" i="2"/>
  <c r="M605" i="2"/>
  <c r="L612" i="2"/>
  <c r="O615" i="2"/>
  <c r="N622" i="2"/>
  <c r="M629" i="2"/>
  <c r="L636" i="2"/>
  <c r="O639" i="2"/>
  <c r="N646" i="2"/>
  <c r="M653" i="2"/>
  <c r="L660" i="2"/>
  <c r="O663" i="2"/>
  <c r="N670" i="2"/>
  <c r="M677" i="2"/>
  <c r="L684" i="2"/>
  <c r="O687" i="2"/>
  <c r="N694" i="2"/>
  <c r="M701" i="2"/>
  <c r="L708" i="2"/>
  <c r="O711" i="2"/>
  <c r="N718" i="2"/>
  <c r="M725" i="2"/>
  <c r="L732" i="2"/>
  <c r="O735" i="2"/>
  <c r="N742" i="2"/>
  <c r="M749" i="2"/>
  <c r="L756" i="2"/>
  <c r="O759" i="2"/>
  <c r="N766" i="2"/>
  <c r="M773" i="2"/>
  <c r="L780" i="2"/>
  <c r="O783" i="2"/>
  <c r="N790" i="2"/>
  <c r="M797" i="2"/>
  <c r="L804" i="2"/>
  <c r="O807" i="2"/>
  <c r="N814" i="2"/>
  <c r="M821" i="2"/>
  <c r="L828" i="2"/>
  <c r="O831" i="2"/>
  <c r="L835" i="2"/>
  <c r="O838" i="2"/>
  <c r="L842" i="2"/>
  <c r="O845" i="2"/>
  <c r="L849" i="2"/>
  <c r="L856" i="2"/>
  <c r="L863" i="2"/>
  <c r="O927" i="2"/>
  <c r="L1042" i="2"/>
  <c r="L1073" i="2"/>
  <c r="L1205" i="2"/>
  <c r="M492" i="2"/>
  <c r="L499" i="2"/>
  <c r="O502" i="2"/>
  <c r="N509" i="2"/>
  <c r="M516" i="2"/>
  <c r="L523" i="2"/>
  <c r="O526" i="2"/>
  <c r="N533" i="2"/>
  <c r="M540" i="2"/>
  <c r="L547" i="2"/>
  <c r="O550" i="2"/>
  <c r="N557" i="2"/>
  <c r="M564" i="2"/>
  <c r="L571" i="2"/>
  <c r="O574" i="2"/>
  <c r="N581" i="2"/>
  <c r="M588" i="2"/>
  <c r="L595" i="2"/>
  <c r="O598" i="2"/>
  <c r="N605" i="2"/>
  <c r="M612" i="2"/>
  <c r="L619" i="2"/>
  <c r="O622" i="2"/>
  <c r="N629" i="2"/>
  <c r="M636" i="2"/>
  <c r="L643" i="2"/>
  <c r="O646" i="2"/>
  <c r="N653" i="2"/>
  <c r="M660" i="2"/>
  <c r="L667" i="2"/>
  <c r="O670" i="2"/>
  <c r="N677" i="2"/>
  <c r="M684" i="2"/>
  <c r="L691" i="2"/>
  <c r="O694" i="2"/>
  <c r="N701" i="2"/>
  <c r="M708" i="2"/>
  <c r="L715" i="2"/>
  <c r="O718" i="2"/>
  <c r="N725" i="2"/>
  <c r="M732" i="2"/>
  <c r="L739" i="2"/>
  <c r="O742" i="2"/>
  <c r="N749" i="2"/>
  <c r="M756" i="2"/>
  <c r="L763" i="2"/>
  <c r="O766" i="2"/>
  <c r="N773" i="2"/>
  <c r="M780" i="2"/>
  <c r="L787" i="2"/>
  <c r="O790" i="2"/>
  <c r="N797" i="2"/>
  <c r="M804" i="2"/>
  <c r="L811" i="2"/>
  <c r="O814" i="2"/>
  <c r="N821" i="2"/>
  <c r="M828" i="2"/>
  <c r="M835" i="2"/>
  <c r="M842" i="2"/>
  <c r="M849" i="2"/>
  <c r="M856" i="2"/>
  <c r="M863" i="2"/>
  <c r="N492" i="2"/>
  <c r="M499" i="2"/>
  <c r="L506" i="2"/>
  <c r="O509" i="2"/>
  <c r="N516" i="2"/>
  <c r="M523" i="2"/>
  <c r="L530" i="2"/>
  <c r="O533" i="2"/>
  <c r="N540" i="2"/>
  <c r="M547" i="2"/>
  <c r="L554" i="2"/>
  <c r="O557" i="2"/>
  <c r="N564" i="2"/>
  <c r="M571" i="2"/>
  <c r="L578" i="2"/>
  <c r="O581" i="2"/>
  <c r="N588" i="2"/>
  <c r="M595" i="2"/>
  <c r="L602" i="2"/>
  <c r="O605" i="2"/>
  <c r="N612" i="2"/>
  <c r="M619" i="2"/>
  <c r="L626" i="2"/>
  <c r="O629" i="2"/>
  <c r="N636" i="2"/>
  <c r="M643" i="2"/>
  <c r="L650" i="2"/>
  <c r="O653" i="2"/>
  <c r="N660" i="2"/>
  <c r="M667" i="2"/>
  <c r="L674" i="2"/>
  <c r="O677" i="2"/>
  <c r="N684" i="2"/>
  <c r="M691" i="2"/>
  <c r="L698" i="2"/>
  <c r="O701" i="2"/>
  <c r="N708" i="2"/>
  <c r="M715" i="2"/>
  <c r="L722" i="2"/>
  <c r="O725" i="2"/>
  <c r="N732" i="2"/>
  <c r="M739" i="2"/>
  <c r="L746" i="2"/>
  <c r="O749" i="2"/>
  <c r="N756" i="2"/>
  <c r="M763" i="2"/>
  <c r="L770" i="2"/>
  <c r="O773" i="2"/>
  <c r="N780" i="2"/>
  <c r="M787" i="2"/>
  <c r="L794" i="2"/>
  <c r="O797" i="2"/>
  <c r="N804" i="2"/>
  <c r="M811" i="2"/>
  <c r="L818" i="2"/>
  <c r="O821" i="2"/>
  <c r="N828" i="2"/>
  <c r="N835" i="2"/>
  <c r="N842" i="2"/>
  <c r="N849" i="2"/>
  <c r="N856" i="2"/>
  <c r="N863" i="2"/>
  <c r="L935" i="2"/>
  <c r="M958" i="2"/>
  <c r="O1081" i="2"/>
  <c r="L489" i="2"/>
  <c r="O492" i="2"/>
  <c r="N499" i="2"/>
  <c r="M506" i="2"/>
  <c r="L513" i="2"/>
  <c r="O516" i="2"/>
  <c r="N523" i="2"/>
  <c r="M530" i="2"/>
  <c r="L537" i="2"/>
  <c r="O540" i="2"/>
  <c r="N547" i="2"/>
  <c r="M554" i="2"/>
  <c r="L561" i="2"/>
  <c r="O564" i="2"/>
  <c r="N571" i="2"/>
  <c r="M578" i="2"/>
  <c r="L585" i="2"/>
  <c r="O588" i="2"/>
  <c r="N595" i="2"/>
  <c r="M602" i="2"/>
  <c r="L609" i="2"/>
  <c r="O612" i="2"/>
  <c r="N619" i="2"/>
  <c r="M626" i="2"/>
  <c r="L633" i="2"/>
  <c r="O636" i="2"/>
  <c r="N643" i="2"/>
  <c r="M650" i="2"/>
  <c r="L657" i="2"/>
  <c r="O660" i="2"/>
  <c r="N667" i="2"/>
  <c r="M674" i="2"/>
  <c r="L681" i="2"/>
  <c r="O684" i="2"/>
  <c r="N691" i="2"/>
  <c r="M698" i="2"/>
  <c r="L705" i="2"/>
  <c r="O708" i="2"/>
  <c r="N715" i="2"/>
  <c r="M722" i="2"/>
  <c r="L729" i="2"/>
  <c r="O732" i="2"/>
  <c r="N739" i="2"/>
  <c r="M746" i="2"/>
  <c r="L753" i="2"/>
  <c r="O756" i="2"/>
  <c r="N763" i="2"/>
  <c r="M770" i="2"/>
  <c r="L777" i="2"/>
  <c r="O780" i="2"/>
  <c r="N787" i="2"/>
  <c r="M794" i="2"/>
  <c r="L801" i="2"/>
  <c r="O804" i="2"/>
  <c r="N811" i="2"/>
  <c r="M818" i="2"/>
  <c r="L825" i="2"/>
  <c r="O828" i="2"/>
  <c r="O835" i="2"/>
  <c r="O842" i="2"/>
  <c r="O849" i="2"/>
  <c r="L853" i="2"/>
  <c r="O856" i="2"/>
  <c r="L860" i="2"/>
  <c r="O863" i="2"/>
  <c r="N966" i="2"/>
  <c r="N1012" i="2"/>
  <c r="N1276" i="2"/>
  <c r="M489" i="2"/>
  <c r="L496" i="2"/>
  <c r="O499" i="2"/>
  <c r="N506" i="2"/>
  <c r="M513" i="2"/>
  <c r="L520" i="2"/>
  <c r="O523" i="2"/>
  <c r="N530" i="2"/>
  <c r="M537" i="2"/>
  <c r="L544" i="2"/>
  <c r="O547" i="2"/>
  <c r="N554" i="2"/>
  <c r="M561" i="2"/>
  <c r="L568" i="2"/>
  <c r="O571" i="2"/>
  <c r="N578" i="2"/>
  <c r="M585" i="2"/>
  <c r="L592" i="2"/>
  <c r="O595" i="2"/>
  <c r="N602" i="2"/>
  <c r="M609" i="2"/>
  <c r="L616" i="2"/>
  <c r="O619" i="2"/>
  <c r="N626" i="2"/>
  <c r="M633" i="2"/>
  <c r="L640" i="2"/>
  <c r="O643" i="2"/>
  <c r="N650" i="2"/>
  <c r="M657" i="2"/>
  <c r="L664" i="2"/>
  <c r="O667" i="2"/>
  <c r="N674" i="2"/>
  <c r="M681" i="2"/>
  <c r="L688" i="2"/>
  <c r="O691" i="2"/>
  <c r="N698" i="2"/>
  <c r="M705" i="2"/>
  <c r="L712" i="2"/>
  <c r="O715" i="2"/>
  <c r="N722" i="2"/>
  <c r="M729" i="2"/>
  <c r="L736" i="2"/>
  <c r="O739" i="2"/>
  <c r="N746" i="2"/>
  <c r="M753" i="2"/>
  <c r="L760" i="2"/>
  <c r="O763" i="2"/>
  <c r="N770" i="2"/>
  <c r="M777" i="2"/>
  <c r="L784" i="2"/>
  <c r="O787" i="2"/>
  <c r="N794" i="2"/>
  <c r="M801" i="2"/>
  <c r="L808" i="2"/>
  <c r="O811" i="2"/>
  <c r="N818" i="2"/>
  <c r="M825" i="2"/>
  <c r="L832" i="2"/>
  <c r="L839" i="2"/>
  <c r="L846" i="2"/>
  <c r="M853" i="2"/>
  <c r="M860" i="2"/>
  <c r="N1113" i="2"/>
  <c r="H39" i="3"/>
  <c r="N489" i="2"/>
  <c r="M496" i="2"/>
  <c r="L503" i="2"/>
  <c r="O506" i="2"/>
  <c r="N513" i="2"/>
  <c r="M520" i="2"/>
  <c r="L527" i="2"/>
  <c r="O530" i="2"/>
  <c r="N537" i="2"/>
  <c r="M544" i="2"/>
  <c r="L551" i="2"/>
  <c r="O554" i="2"/>
  <c r="N561" i="2"/>
  <c r="M568" i="2"/>
  <c r="L575" i="2"/>
  <c r="O578" i="2"/>
  <c r="N585" i="2"/>
  <c r="M592" i="2"/>
  <c r="L599" i="2"/>
  <c r="O602" i="2"/>
  <c r="N609" i="2"/>
  <c r="M616" i="2"/>
  <c r="L623" i="2"/>
  <c r="O626" i="2"/>
  <c r="N633" i="2"/>
  <c r="M640" i="2"/>
  <c r="L647" i="2"/>
  <c r="O650" i="2"/>
  <c r="N657" i="2"/>
  <c r="M664" i="2"/>
  <c r="L671" i="2"/>
  <c r="O674" i="2"/>
  <c r="N681" i="2"/>
  <c r="M688" i="2"/>
  <c r="L695" i="2"/>
  <c r="O698" i="2"/>
  <c r="N705" i="2"/>
  <c r="M712" i="2"/>
  <c r="L719" i="2"/>
  <c r="O722" i="2"/>
  <c r="N729" i="2"/>
  <c r="M736" i="2"/>
  <c r="L743" i="2"/>
  <c r="O746" i="2"/>
  <c r="N753" i="2"/>
  <c r="M760" i="2"/>
  <c r="L767" i="2"/>
  <c r="O770" i="2"/>
  <c r="N777" i="2"/>
  <c r="M784" i="2"/>
  <c r="L791" i="2"/>
  <c r="O794" i="2"/>
  <c r="N801" i="2"/>
  <c r="M808" i="2"/>
  <c r="L815" i="2"/>
  <c r="O818" i="2"/>
  <c r="N825" i="2"/>
  <c r="M832" i="2"/>
  <c r="M839" i="2"/>
  <c r="M846" i="2"/>
  <c r="N853" i="2"/>
  <c r="N860" i="2"/>
  <c r="O898" i="2"/>
  <c r="O974" i="2"/>
  <c r="N1238" i="2"/>
  <c r="L1308" i="2"/>
  <c r="L493" i="2"/>
  <c r="O496" i="2"/>
  <c r="N503" i="2"/>
  <c r="M510" i="2"/>
  <c r="L517" i="2"/>
  <c r="O520" i="2"/>
  <c r="N527" i="2"/>
  <c r="M534" i="2"/>
  <c r="L541" i="2"/>
  <c r="O544" i="2"/>
  <c r="N551" i="2"/>
  <c r="M558" i="2"/>
  <c r="L565" i="2"/>
  <c r="O568" i="2"/>
  <c r="N575" i="2"/>
  <c r="M582" i="2"/>
  <c r="L589" i="2"/>
  <c r="O592" i="2"/>
  <c r="N599" i="2"/>
  <c r="M606" i="2"/>
  <c r="L613" i="2"/>
  <c r="O616" i="2"/>
  <c r="N623" i="2"/>
  <c r="M630" i="2"/>
  <c r="L637" i="2"/>
  <c r="O640" i="2"/>
  <c r="N647" i="2"/>
  <c r="M654" i="2"/>
  <c r="L661" i="2"/>
  <c r="O664" i="2"/>
  <c r="N671" i="2"/>
  <c r="M678" i="2"/>
  <c r="L685" i="2"/>
  <c r="O688" i="2"/>
  <c r="N695" i="2"/>
  <c r="M702" i="2"/>
  <c r="L709" i="2"/>
  <c r="O712" i="2"/>
  <c r="N719" i="2"/>
  <c r="M726" i="2"/>
  <c r="L733" i="2"/>
  <c r="O736" i="2"/>
  <c r="N743" i="2"/>
  <c r="M750" i="2"/>
  <c r="L757" i="2"/>
  <c r="O760" i="2"/>
  <c r="N767" i="2"/>
  <c r="M774" i="2"/>
  <c r="L781" i="2"/>
  <c r="O784" i="2"/>
  <c r="N791" i="2"/>
  <c r="M798" i="2"/>
  <c r="L805" i="2"/>
  <c r="O808" i="2"/>
  <c r="N815" i="2"/>
  <c r="M822" i="2"/>
  <c r="L829" i="2"/>
  <c r="O832" i="2"/>
  <c r="L836" i="2"/>
  <c r="O839" i="2"/>
  <c r="L843" i="2"/>
  <c r="O846" i="2"/>
  <c r="L850" i="2"/>
  <c r="L857" i="2"/>
  <c r="L864" i="2"/>
  <c r="L870" i="2"/>
  <c r="M877" i="2"/>
  <c r="N884" i="2"/>
  <c r="O891" i="2"/>
  <c r="M902" i="2"/>
  <c r="N909" i="2"/>
  <c r="L920" i="2"/>
  <c r="M935" i="2"/>
  <c r="M939" i="2"/>
  <c r="O954" i="2"/>
  <c r="O966" i="2"/>
  <c r="N987" i="2"/>
  <c r="M1008" i="2"/>
  <c r="O1012" i="2"/>
  <c r="O1016" i="2"/>
  <c r="N1029" i="2"/>
  <c r="M1042" i="2"/>
  <c r="L1051" i="2"/>
  <c r="L1060" i="2"/>
  <c r="M1069" i="2"/>
  <c r="N1073" i="2"/>
  <c r="O1095" i="2"/>
  <c r="O1113" i="2"/>
  <c r="L1141" i="2"/>
  <c r="N1145" i="2"/>
  <c r="M1168" i="2"/>
  <c r="N1177" i="2"/>
  <c r="O1200" i="2"/>
  <c r="M1205" i="2"/>
  <c r="N1224" i="2"/>
  <c r="O1238" i="2"/>
  <c r="O1257" i="2"/>
  <c r="L1262" i="2"/>
  <c r="O1266" i="2"/>
  <c r="O1276" i="2"/>
  <c r="L1287" i="2"/>
  <c r="M1298" i="2"/>
  <c r="M1308" i="2"/>
  <c r="M1313" i="2"/>
  <c r="L1335" i="2"/>
  <c r="M1353" i="2"/>
  <c r="M870" i="2"/>
  <c r="N877" i="2"/>
  <c r="O884" i="2"/>
  <c r="L895" i="2"/>
  <c r="N902" i="2"/>
  <c r="L913" i="2"/>
  <c r="M920" i="2"/>
  <c r="L924" i="2"/>
  <c r="N935" i="2"/>
  <c r="N939" i="2"/>
  <c r="L943" i="2"/>
  <c r="L947" i="2"/>
  <c r="O987" i="2"/>
  <c r="N1008" i="2"/>
  <c r="O1029" i="2"/>
  <c r="L1038" i="2"/>
  <c r="N1042" i="2"/>
  <c r="M1051" i="2"/>
  <c r="M1060" i="2"/>
  <c r="N1069" i="2"/>
  <c r="L1091" i="2"/>
  <c r="L1100" i="2"/>
  <c r="L1109" i="2"/>
  <c r="L1127" i="2"/>
  <c r="M1141" i="2"/>
  <c r="L1154" i="2"/>
  <c r="L1159" i="2"/>
  <c r="N1168" i="2"/>
  <c r="O1177" i="2"/>
  <c r="L1191" i="2"/>
  <c r="M1196" i="2"/>
  <c r="N1205" i="2"/>
  <c r="L1210" i="2"/>
  <c r="L1215" i="2"/>
  <c r="L1220" i="2"/>
  <c r="O1224" i="2"/>
  <c r="L1234" i="2"/>
  <c r="L1243" i="2"/>
  <c r="M1262" i="2"/>
  <c r="M1287" i="2"/>
  <c r="N1298" i="2"/>
  <c r="N1308" i="2"/>
  <c r="N1313" i="2"/>
  <c r="M1324" i="2"/>
  <c r="L1330" i="2"/>
  <c r="O1347" i="2"/>
  <c r="N1353" i="2"/>
  <c r="N870" i="2"/>
  <c r="O877" i="2"/>
  <c r="L888" i="2"/>
  <c r="M895" i="2"/>
  <c r="L906" i="2"/>
  <c r="M913" i="2"/>
  <c r="N920" i="2"/>
  <c r="M924" i="2"/>
  <c r="O935" i="2"/>
  <c r="O939" i="2"/>
  <c r="M943" i="2"/>
  <c r="M947" i="2"/>
  <c r="L951" i="2"/>
  <c r="L979" i="2"/>
  <c r="L1000" i="2"/>
  <c r="O1008" i="2"/>
  <c r="L1021" i="2"/>
  <c r="M1038" i="2"/>
  <c r="O1042" i="2"/>
  <c r="L1047" i="2"/>
  <c r="N1060" i="2"/>
  <c r="O1069" i="2"/>
  <c r="N1091" i="2"/>
  <c r="M1100" i="2"/>
  <c r="N1109" i="2"/>
  <c r="N1127" i="2"/>
  <c r="L1132" i="2"/>
  <c r="N1141" i="2"/>
  <c r="L1150" i="2"/>
  <c r="M1159" i="2"/>
  <c r="N1196" i="2"/>
  <c r="M1215" i="2"/>
  <c r="O1220" i="2"/>
  <c r="M1234" i="2"/>
  <c r="L1253" i="2"/>
  <c r="O1262" i="2"/>
  <c r="M1282" i="2"/>
  <c r="N1287" i="2"/>
  <c r="O1308" i="2"/>
  <c r="L1319" i="2"/>
  <c r="M1330" i="2"/>
  <c r="O1353" i="2"/>
  <c r="N1359" i="2"/>
  <c r="L867" i="2"/>
  <c r="O870" i="2"/>
  <c r="L874" i="2"/>
  <c r="L881" i="2"/>
  <c r="M888" i="2"/>
  <c r="O895" i="2"/>
  <c r="L899" i="2"/>
  <c r="M906" i="2"/>
  <c r="N913" i="2"/>
  <c r="L917" i="2"/>
  <c r="O920" i="2"/>
  <c r="N924" i="2"/>
  <c r="L928" i="2"/>
  <c r="L932" i="2"/>
  <c r="N943" i="2"/>
  <c r="N947" i="2"/>
  <c r="M951" i="2"/>
  <c r="L959" i="2"/>
  <c r="L963" i="2"/>
  <c r="L971" i="2"/>
  <c r="L975" i="2"/>
  <c r="M979" i="2"/>
  <c r="L992" i="2"/>
  <c r="L996" i="2"/>
  <c r="M1000" i="2"/>
  <c r="M1021" i="2"/>
  <c r="L1034" i="2"/>
  <c r="N1038" i="2"/>
  <c r="M1047" i="2"/>
  <c r="L1056" i="2"/>
  <c r="O1060" i="2"/>
  <c r="N1065" i="2"/>
  <c r="L1078" i="2"/>
  <c r="L1087" i="2"/>
  <c r="L1105" i="2"/>
  <c r="L1118" i="2"/>
  <c r="M1132" i="2"/>
  <c r="O1141" i="2"/>
  <c r="M1150" i="2"/>
  <c r="N1159" i="2"/>
  <c r="L1164" i="2"/>
  <c r="L1182" i="2"/>
  <c r="L1187" i="2"/>
  <c r="O1196" i="2"/>
  <c r="N1215" i="2"/>
  <c r="N1234" i="2"/>
  <c r="M1253" i="2"/>
  <c r="M1272" i="2"/>
  <c r="N1282" i="2"/>
  <c r="O1287" i="2"/>
  <c r="N1319" i="2"/>
  <c r="N1330" i="2"/>
  <c r="L1386" i="2"/>
  <c r="M867" i="2"/>
  <c r="M874" i="2"/>
  <c r="M881" i="2"/>
  <c r="O888" i="2"/>
  <c r="L892" i="2"/>
  <c r="M899" i="2"/>
  <c r="N906" i="2"/>
  <c r="L910" i="2"/>
  <c r="O913" i="2"/>
  <c r="M917" i="2"/>
  <c r="M928" i="2"/>
  <c r="M932" i="2"/>
  <c r="O943" i="2"/>
  <c r="O947" i="2"/>
  <c r="M955" i="2"/>
  <c r="M959" i="2"/>
  <c r="M963" i="2"/>
  <c r="L967" i="2"/>
  <c r="M971" i="2"/>
  <c r="M975" i="2"/>
  <c r="M992" i="2"/>
  <c r="M996" i="2"/>
  <c r="N1000" i="2"/>
  <c r="L1013" i="2"/>
  <c r="M1017" i="2"/>
  <c r="N1021" i="2"/>
  <c r="N1034" i="2"/>
  <c r="O1038" i="2"/>
  <c r="N1047" i="2"/>
  <c r="M1056" i="2"/>
  <c r="O1065" i="2"/>
  <c r="L1074" i="2"/>
  <c r="M1078" i="2"/>
  <c r="M1087" i="2"/>
  <c r="M1096" i="2"/>
  <c r="M1105" i="2"/>
  <c r="L1114" i="2"/>
  <c r="L1123" i="2"/>
  <c r="N1132" i="2"/>
  <c r="L1146" i="2"/>
  <c r="N1150" i="2"/>
  <c r="O1159" i="2"/>
  <c r="M1164" i="2"/>
  <c r="M1187" i="2"/>
  <c r="M1201" i="2"/>
  <c r="O1215" i="2"/>
  <c r="O1234" i="2"/>
  <c r="M1239" i="2"/>
  <c r="N1253" i="2"/>
  <c r="M1258" i="2"/>
  <c r="N1272" i="2"/>
  <c r="M1277" i="2"/>
  <c r="M1304" i="2"/>
  <c r="O1319" i="2"/>
  <c r="O1330" i="2"/>
  <c r="M1336" i="2"/>
  <c r="N867" i="2"/>
  <c r="N874" i="2"/>
  <c r="O881" i="2"/>
  <c r="L885" i="2"/>
  <c r="M892" i="2"/>
  <c r="N899" i="2"/>
  <c r="L903" i="2"/>
  <c r="O906" i="2"/>
  <c r="M910" i="2"/>
  <c r="N917" i="2"/>
  <c r="N928" i="2"/>
  <c r="N932" i="2"/>
  <c r="O955" i="2"/>
  <c r="N959" i="2"/>
  <c r="N963" i="2"/>
  <c r="M967" i="2"/>
  <c r="N971" i="2"/>
  <c r="N975" i="2"/>
  <c r="L984" i="2"/>
  <c r="M988" i="2"/>
  <c r="N992" i="2"/>
  <c r="N996" i="2"/>
  <c r="L1005" i="2"/>
  <c r="M1013" i="2"/>
  <c r="N1017" i="2"/>
  <c r="L1026" i="2"/>
  <c r="L1030" i="2"/>
  <c r="O1034" i="2"/>
  <c r="O1047" i="2"/>
  <c r="M1052" i="2"/>
  <c r="N1056" i="2"/>
  <c r="M1074" i="2"/>
  <c r="N1078" i="2"/>
  <c r="N1087" i="2"/>
  <c r="N1096" i="2"/>
  <c r="N1105" i="2"/>
  <c r="M1114" i="2"/>
  <c r="M1123" i="2"/>
  <c r="O1132" i="2"/>
  <c r="N1137" i="2"/>
  <c r="M1146" i="2"/>
  <c r="O1150" i="2"/>
  <c r="N1155" i="2"/>
  <c r="N1164" i="2"/>
  <c r="L1169" i="2"/>
  <c r="L1178" i="2"/>
  <c r="N1187" i="2"/>
  <c r="M1192" i="2"/>
  <c r="N1201" i="2"/>
  <c r="L1206" i="2"/>
  <c r="L1211" i="2"/>
  <c r="L1225" i="2"/>
  <c r="L1230" i="2"/>
  <c r="N1239" i="2"/>
  <c r="L1244" i="2"/>
  <c r="N1258" i="2"/>
  <c r="O1272" i="2"/>
  <c r="M1299" i="2"/>
  <c r="N1304" i="2"/>
  <c r="L1325" i="2"/>
  <c r="N1336" i="2"/>
  <c r="O1348" i="2"/>
  <c r="M1380" i="2"/>
  <c r="O867" i="2"/>
  <c r="L878" i="2"/>
  <c r="M885" i="2"/>
  <c r="N892" i="2"/>
  <c r="O899" i="2"/>
  <c r="M903" i="2"/>
  <c r="N910" i="2"/>
  <c r="O917" i="2"/>
  <c r="O928" i="2"/>
  <c r="O932" i="2"/>
  <c r="L936" i="2"/>
  <c r="L940" i="2"/>
  <c r="O959" i="2"/>
  <c r="N967" i="2"/>
  <c r="O971" i="2"/>
  <c r="O975" i="2"/>
  <c r="M984" i="2"/>
  <c r="N988" i="2"/>
  <c r="O992" i="2"/>
  <c r="M1005" i="2"/>
  <c r="M1009" i="2"/>
  <c r="N1013" i="2"/>
  <c r="O1017" i="2"/>
  <c r="M1026" i="2"/>
  <c r="N1030" i="2"/>
  <c r="O1043" i="2"/>
  <c r="N1052" i="2"/>
  <c r="O1056" i="2"/>
  <c r="L1070" i="2"/>
  <c r="N1074" i="2"/>
  <c r="O1078" i="2"/>
  <c r="M1083" i="2"/>
  <c r="L1092" i="2"/>
  <c r="O1096" i="2"/>
  <c r="M1101" i="2"/>
  <c r="L1110" i="2"/>
  <c r="N1114" i="2"/>
  <c r="L1128" i="2"/>
  <c r="O1137" i="2"/>
  <c r="N1146" i="2"/>
  <c r="O1155" i="2"/>
  <c r="L1174" i="2"/>
  <c r="N1192" i="2"/>
  <c r="O1201" i="2"/>
  <c r="N1206" i="2"/>
  <c r="M1211" i="2"/>
  <c r="L1221" i="2"/>
  <c r="N1230" i="2"/>
  <c r="O1239" i="2"/>
  <c r="M1244" i="2"/>
  <c r="L1249" i="2"/>
  <c r="O1258" i="2"/>
  <c r="L1263" i="2"/>
  <c r="N1299" i="2"/>
  <c r="O1304" i="2"/>
  <c r="M1325" i="2"/>
  <c r="L1360" i="2"/>
  <c r="M1374" i="2"/>
  <c r="N1380" i="2"/>
  <c r="M871" i="2"/>
  <c r="M878" i="2"/>
  <c r="N885" i="2"/>
  <c r="O892" i="2"/>
  <c r="L896" i="2"/>
  <c r="N903" i="2"/>
  <c r="O910" i="2"/>
  <c r="M921" i="2"/>
  <c r="L925" i="2"/>
  <c r="M936" i="2"/>
  <c r="M940" i="2"/>
  <c r="L952" i="2"/>
  <c r="O967" i="2"/>
  <c r="M980" i="2"/>
  <c r="N984" i="2"/>
  <c r="O988" i="2"/>
  <c r="N1005" i="2"/>
  <c r="N1009" i="2"/>
  <c r="O1013" i="2"/>
  <c r="N1026" i="2"/>
  <c r="O1052" i="2"/>
  <c r="O1061" i="2"/>
  <c r="M1070" i="2"/>
  <c r="O1074" i="2"/>
  <c r="N1083" i="2"/>
  <c r="M1092" i="2"/>
  <c r="N1101" i="2"/>
  <c r="M1110" i="2"/>
  <c r="O1114" i="2"/>
  <c r="L1119" i="2"/>
  <c r="M1128" i="2"/>
  <c r="M1142" i="2"/>
  <c r="O1146" i="2"/>
  <c r="M1174" i="2"/>
  <c r="L1183" i="2"/>
  <c r="M1197" i="2"/>
  <c r="N1211" i="2"/>
  <c r="M1221" i="2"/>
  <c r="O1230" i="2"/>
  <c r="N1244" i="2"/>
  <c r="M1249" i="2"/>
  <c r="M1263" i="2"/>
  <c r="N1268" i="2"/>
  <c r="L1283" i="2"/>
  <c r="O1288" i="2"/>
  <c r="M1294" i="2"/>
  <c r="O1299" i="2"/>
  <c r="N1374" i="2"/>
  <c r="M1401" i="2"/>
  <c r="N871" i="2"/>
  <c r="N878" i="2"/>
  <c r="O885" i="2"/>
  <c r="L889" i="2"/>
  <c r="M896" i="2"/>
  <c r="O903" i="2"/>
  <c r="L914" i="2"/>
  <c r="N921" i="2"/>
  <c r="M925" i="2"/>
  <c r="N936" i="2"/>
  <c r="N940" i="2"/>
  <c r="L944" i="2"/>
  <c r="M948" i="2"/>
  <c r="M952" i="2"/>
  <c r="N980" i="2"/>
  <c r="M1001" i="2"/>
  <c r="O1005" i="2"/>
  <c r="O1009" i="2"/>
  <c r="N1022" i="2"/>
  <c r="O1026" i="2"/>
  <c r="M1066" i="2"/>
  <c r="N1070" i="2"/>
  <c r="O1083" i="2"/>
  <c r="N1092" i="2"/>
  <c r="O1101" i="2"/>
  <c r="N1110" i="2"/>
  <c r="M1119" i="2"/>
  <c r="N1128" i="2"/>
  <c r="N1142" i="2"/>
  <c r="N1160" i="2"/>
  <c r="N1174" i="2"/>
  <c r="M1183" i="2"/>
  <c r="O1211" i="2"/>
  <c r="N1221" i="2"/>
  <c r="N1235" i="2"/>
  <c r="N1249" i="2"/>
  <c r="O1254" i="2"/>
  <c r="O1268" i="2"/>
  <c r="O1278" i="2"/>
  <c r="L1315" i="2"/>
  <c r="L1343" i="2"/>
  <c r="L1367" i="2"/>
  <c r="L1395" i="2"/>
  <c r="N1401" i="2"/>
  <c r="O871" i="2"/>
  <c r="L875" i="2"/>
  <c r="O878" i="2"/>
  <c r="L882" i="2"/>
  <c r="M889" i="2"/>
  <c r="N896" i="2"/>
  <c r="L907" i="2"/>
  <c r="N914" i="2"/>
  <c r="O921" i="2"/>
  <c r="N925" i="2"/>
  <c r="O936" i="2"/>
  <c r="O940" i="2"/>
  <c r="N948" i="2"/>
  <c r="N952" i="2"/>
  <c r="L956" i="2"/>
  <c r="L964" i="2"/>
  <c r="O980" i="2"/>
  <c r="N1001" i="2"/>
  <c r="O1022" i="2"/>
  <c r="L1035" i="2"/>
  <c r="M1048" i="2"/>
  <c r="O1066" i="2"/>
  <c r="O1070" i="2"/>
  <c r="L1088" i="2"/>
  <c r="L1106" i="2"/>
  <c r="O1110" i="2"/>
  <c r="N1119" i="2"/>
  <c r="N1124" i="2"/>
  <c r="O1128" i="2"/>
  <c r="O1133" i="2"/>
  <c r="O1142" i="2"/>
  <c r="O1160" i="2"/>
  <c r="M1165" i="2"/>
  <c r="L1170" i="2"/>
  <c r="O1174" i="2"/>
  <c r="L1179" i="2"/>
  <c r="N1183" i="2"/>
  <c r="N1188" i="2"/>
  <c r="O1221" i="2"/>
  <c r="O1226" i="2"/>
  <c r="O1235" i="2"/>
  <c r="O1249" i="2"/>
  <c r="M1273" i="2"/>
  <c r="N1315" i="2"/>
  <c r="M1343" i="2"/>
  <c r="M1355" i="2"/>
  <c r="M1395" i="2"/>
  <c r="L868" i="2"/>
  <c r="M875" i="2"/>
  <c r="M882" i="2"/>
  <c r="N889" i="2"/>
  <c r="O896" i="2"/>
  <c r="L900" i="2"/>
  <c r="M907" i="2"/>
  <c r="O914" i="2"/>
  <c r="L918" i="2"/>
  <c r="O925" i="2"/>
  <c r="L929" i="2"/>
  <c r="L933" i="2"/>
  <c r="O952" i="2"/>
  <c r="M956" i="2"/>
  <c r="L960" i="2"/>
  <c r="M964" i="2"/>
  <c r="L972" i="2"/>
  <c r="M993" i="2"/>
  <c r="O1001" i="2"/>
  <c r="L1031" i="2"/>
  <c r="M1035" i="2"/>
  <c r="L1044" i="2"/>
  <c r="O1048" i="2"/>
  <c r="O1079" i="2"/>
  <c r="M1088" i="2"/>
  <c r="O1097" i="2"/>
  <c r="O1106" i="2"/>
  <c r="O1119" i="2"/>
  <c r="O1124" i="2"/>
  <c r="M1138" i="2"/>
  <c r="L1156" i="2"/>
  <c r="N1165" i="2"/>
  <c r="M1170" i="2"/>
  <c r="M1179" i="2"/>
  <c r="O1183" i="2"/>
  <c r="L1193" i="2"/>
  <c r="O1202" i="2"/>
  <c r="N1207" i="2"/>
  <c r="M1240" i="2"/>
  <c r="L1259" i="2"/>
  <c r="O1315" i="2"/>
  <c r="N1343" i="2"/>
  <c r="N1355" i="2"/>
  <c r="L1361" i="2"/>
  <c r="N1395" i="2"/>
  <c r="M868" i="2"/>
  <c r="N875" i="2"/>
  <c r="N882" i="2"/>
  <c r="O889" i="2"/>
  <c r="L893" i="2"/>
  <c r="M900" i="2"/>
  <c r="O907" i="2"/>
  <c r="L911" i="2"/>
  <c r="M918" i="2"/>
  <c r="M929" i="2"/>
  <c r="M933" i="2"/>
  <c r="N956" i="2"/>
  <c r="M960" i="2"/>
  <c r="N964" i="2"/>
  <c r="L968" i="2"/>
  <c r="M972" i="2"/>
  <c r="L985" i="2"/>
  <c r="L989" i="2"/>
  <c r="N993" i="2"/>
  <c r="L1014" i="2"/>
  <c r="M1031" i="2"/>
  <c r="N1035" i="2"/>
  <c r="L1040" i="2"/>
  <c r="M1044" i="2"/>
  <c r="L1053" i="2"/>
  <c r="L1062" i="2"/>
  <c r="N1088" i="2"/>
  <c r="O1115" i="2"/>
  <c r="N1156" i="2"/>
  <c r="N1170" i="2"/>
  <c r="N1179" i="2"/>
  <c r="N1193" i="2"/>
  <c r="L1198" i="2"/>
  <c r="O1207" i="2"/>
  <c r="L1217" i="2"/>
  <c r="M1231" i="2"/>
  <c r="N1240" i="2"/>
  <c r="N1245" i="2"/>
  <c r="M1259" i="2"/>
  <c r="O1264" i="2"/>
  <c r="M1284" i="2"/>
  <c r="L1289" i="2"/>
  <c r="L1295" i="2"/>
  <c r="M1300" i="2"/>
  <c r="O1321" i="2"/>
  <c r="M1332" i="2"/>
  <c r="O1343" i="2"/>
  <c r="M1361" i="2"/>
  <c r="N868" i="2"/>
  <c r="O875" i="2"/>
  <c r="O882" i="2"/>
  <c r="L886" i="2"/>
  <c r="M893" i="2"/>
  <c r="N900" i="2"/>
  <c r="L904" i="2"/>
  <c r="M911" i="2"/>
  <c r="N918" i="2"/>
  <c r="N929" i="2"/>
  <c r="N933" i="2"/>
  <c r="M945" i="2"/>
  <c r="N960" i="2"/>
  <c r="O964" i="2"/>
  <c r="M968" i="2"/>
  <c r="M985" i="2"/>
  <c r="M989" i="2"/>
  <c r="L998" i="2"/>
  <c r="L1006" i="2"/>
  <c r="L1010" i="2"/>
  <c r="M1014" i="2"/>
  <c r="L1027" i="2"/>
  <c r="N1031" i="2"/>
  <c r="M1040" i="2"/>
  <c r="M1053" i="2"/>
  <c r="M1062" i="2"/>
  <c r="M1084" i="2"/>
  <c r="O1088" i="2"/>
  <c r="M1102" i="2"/>
  <c r="L1152" i="2"/>
  <c r="O1170" i="2"/>
  <c r="O1179" i="2"/>
  <c r="M1198" i="2"/>
  <c r="L1212" i="2"/>
  <c r="M1217" i="2"/>
  <c r="O1245" i="2"/>
  <c r="L1255" i="2"/>
  <c r="L1269" i="2"/>
  <c r="L1279" i="2"/>
  <c r="N1284" i="2"/>
  <c r="N1295" i="2"/>
  <c r="N1300" i="2"/>
  <c r="M1311" i="2"/>
  <c r="N1332" i="2"/>
  <c r="M1338" i="2"/>
  <c r="O1350" i="2"/>
  <c r="N1361" i="2"/>
  <c r="O868" i="2"/>
  <c r="L872" i="2"/>
  <c r="L879" i="2"/>
  <c r="M886" i="2"/>
  <c r="N893" i="2"/>
  <c r="M904" i="2"/>
  <c r="N911" i="2"/>
  <c r="O918" i="2"/>
  <c r="L922" i="2"/>
  <c r="O929" i="2"/>
  <c r="O933" i="2"/>
  <c r="L937" i="2"/>
  <c r="M941" i="2"/>
  <c r="N945" i="2"/>
  <c r="L949" i="2"/>
  <c r="O960" i="2"/>
  <c r="N968" i="2"/>
  <c r="L977" i="2"/>
  <c r="M981" i="2"/>
  <c r="N985" i="2"/>
  <c r="N989" i="2"/>
  <c r="M998" i="2"/>
  <c r="M1006" i="2"/>
  <c r="N1010" i="2"/>
  <c r="L1019" i="2"/>
  <c r="L1023" i="2"/>
  <c r="M1027" i="2"/>
  <c r="O1031" i="2"/>
  <c r="N1040" i="2"/>
  <c r="N1053" i="2"/>
  <c r="L1058" i="2"/>
  <c r="O1062" i="2"/>
  <c r="L1067" i="2"/>
  <c r="L1071" i="2"/>
  <c r="O1084" i="2"/>
  <c r="O1102" i="2"/>
  <c r="L1134" i="2"/>
  <c r="L1143" i="2"/>
  <c r="M1152" i="2"/>
  <c r="N1161" i="2"/>
  <c r="M1175" i="2"/>
  <c r="M1189" i="2"/>
  <c r="N1198" i="2"/>
  <c r="N1217" i="2"/>
  <c r="O1222" i="2"/>
  <c r="L1227" i="2"/>
  <c r="L1236" i="2"/>
  <c r="M1255" i="2"/>
  <c r="O1269" i="2"/>
  <c r="L1274" i="2"/>
  <c r="O1284" i="2"/>
  <c r="O1295" i="2"/>
  <c r="M1306" i="2"/>
  <c r="N1311" i="2"/>
  <c r="L1327" i="2"/>
  <c r="O1332" i="2"/>
  <c r="O1338" i="2"/>
  <c r="O1389" i="2"/>
  <c r="M872" i="2"/>
  <c r="M879" i="2"/>
  <c r="N886" i="2"/>
  <c r="O893" i="2"/>
  <c r="M897" i="2"/>
  <c r="N904" i="2"/>
  <c r="O911" i="2"/>
  <c r="L915" i="2"/>
  <c r="M922" i="2"/>
  <c r="L926" i="2"/>
  <c r="N941" i="2"/>
  <c r="O945" i="2"/>
  <c r="M949" i="2"/>
  <c r="L953" i="2"/>
  <c r="O968" i="2"/>
  <c r="M977" i="2"/>
  <c r="N981" i="2"/>
  <c r="O985" i="2"/>
  <c r="O989" i="2"/>
  <c r="N998" i="2"/>
  <c r="M1002" i="2"/>
  <c r="N1006" i="2"/>
  <c r="O1010" i="2"/>
  <c r="M1019" i="2"/>
  <c r="N1023" i="2"/>
  <c r="O1027" i="2"/>
  <c r="O1040" i="2"/>
  <c r="L1049" i="2"/>
  <c r="O1058" i="2"/>
  <c r="M1067" i="2"/>
  <c r="M1071" i="2"/>
  <c r="L1076" i="2"/>
  <c r="L1080" i="2"/>
  <c r="L1098" i="2"/>
  <c r="L1107" i="2"/>
  <c r="M1120" i="2"/>
  <c r="L1125" i="2"/>
  <c r="M1134" i="2"/>
  <c r="L1139" i="2"/>
  <c r="M1143" i="2"/>
  <c r="L1148" i="2"/>
  <c r="N1152" i="2"/>
  <c r="O1161" i="2"/>
  <c r="N1166" i="2"/>
  <c r="O1175" i="2"/>
  <c r="N1189" i="2"/>
  <c r="O1198" i="2"/>
  <c r="O1217" i="2"/>
  <c r="M1227" i="2"/>
  <c r="M1236" i="2"/>
  <c r="N1255" i="2"/>
  <c r="M1274" i="2"/>
  <c r="N1306" i="2"/>
  <c r="O1311" i="2"/>
  <c r="N1316" i="2"/>
  <c r="N872" i="2"/>
  <c r="N879" i="2"/>
  <c r="O886" i="2"/>
  <c r="L890" i="2"/>
  <c r="N897" i="2"/>
  <c r="O904" i="2"/>
  <c r="L908" i="2"/>
  <c r="M915" i="2"/>
  <c r="N922" i="2"/>
  <c r="M926" i="2"/>
  <c r="O941" i="2"/>
  <c r="N949" i="2"/>
  <c r="M953" i="2"/>
  <c r="L957" i="2"/>
  <c r="M973" i="2"/>
  <c r="N977" i="2"/>
  <c r="O981" i="2"/>
  <c r="M994" i="2"/>
  <c r="O998" i="2"/>
  <c r="N1002" i="2"/>
  <c r="O1006" i="2"/>
  <c r="N1019" i="2"/>
  <c r="O1023" i="2"/>
  <c r="N1036" i="2"/>
  <c r="L1045" i="2"/>
  <c r="M1049" i="2"/>
  <c r="N1067" i="2"/>
  <c r="M1076" i="2"/>
  <c r="M1080" i="2"/>
  <c r="L1094" i="2"/>
  <c r="M1098" i="2"/>
  <c r="M1107" i="2"/>
  <c r="L1116" i="2"/>
  <c r="M1125" i="2"/>
  <c r="O1134" i="2"/>
  <c r="M1139" i="2"/>
  <c r="M1148" i="2"/>
  <c r="L1157" i="2"/>
  <c r="O1166" i="2"/>
  <c r="L1194" i="2"/>
  <c r="L1208" i="2"/>
  <c r="O1227" i="2"/>
  <c r="L1232" i="2"/>
  <c r="O1241" i="2"/>
  <c r="O1255" i="2"/>
  <c r="M1260" i="2"/>
  <c r="L1265" i="2"/>
  <c r="N1274" i="2"/>
  <c r="O1290" i="2"/>
  <c r="O1316" i="2"/>
  <c r="L1322" i="2"/>
  <c r="L1450" i="2"/>
  <c r="O872" i="2"/>
  <c r="L876" i="2"/>
  <c r="O879" i="2"/>
  <c r="L883" i="2"/>
  <c r="N890" i="2"/>
  <c r="O897" i="2"/>
  <c r="L901" i="2"/>
  <c r="M908" i="2"/>
  <c r="N915" i="2"/>
  <c r="O922" i="2"/>
  <c r="N926" i="2"/>
  <c r="N953" i="2"/>
  <c r="M957" i="2"/>
  <c r="L965" i="2"/>
  <c r="N973" i="2"/>
  <c r="N994" i="2"/>
  <c r="O1002" i="2"/>
  <c r="M1015" i="2"/>
  <c r="O1019" i="2"/>
  <c r="O1036" i="2"/>
  <c r="M1045" i="2"/>
  <c r="N1049" i="2"/>
  <c r="O1067" i="2"/>
  <c r="N1076" i="2"/>
  <c r="O1080" i="2"/>
  <c r="N1089" i="2"/>
  <c r="M1094" i="2"/>
  <c r="O1098" i="2"/>
  <c r="N1107" i="2"/>
  <c r="L1112" i="2"/>
  <c r="M1116" i="2"/>
  <c r="N1125" i="2"/>
  <c r="L1130" i="2"/>
  <c r="N1139" i="2"/>
  <c r="N1148" i="2"/>
  <c r="M1157" i="2"/>
  <c r="L1171" i="2"/>
  <c r="L1180" i="2"/>
  <c r="M1194" i="2"/>
  <c r="N1208" i="2"/>
  <c r="M1213" i="2"/>
  <c r="M1232" i="2"/>
  <c r="L1246" i="2"/>
  <c r="L1251" i="2"/>
  <c r="M1265" i="2"/>
  <c r="N1280" i="2"/>
  <c r="L1351" i="2"/>
  <c r="L869" i="2"/>
  <c r="M876" i="2"/>
  <c r="M883" i="2"/>
  <c r="O890" i="2"/>
  <c r="M901" i="2"/>
  <c r="N908" i="2"/>
  <c r="O915" i="2"/>
  <c r="L919" i="2"/>
  <c r="O926" i="2"/>
  <c r="L930" i="2"/>
  <c r="M934" i="2"/>
  <c r="L938" i="2"/>
  <c r="O953" i="2"/>
  <c r="N957" i="2"/>
  <c r="L961" i="2"/>
  <c r="M965" i="2"/>
  <c r="O973" i="2"/>
  <c r="O994" i="2"/>
  <c r="N1015" i="2"/>
  <c r="N1045" i="2"/>
  <c r="O1049" i="2"/>
  <c r="N1054" i="2"/>
  <c r="L1063" i="2"/>
  <c r="O1076" i="2"/>
  <c r="L1085" i="2"/>
  <c r="N1094" i="2"/>
  <c r="L1103" i="2"/>
  <c r="M1112" i="2"/>
  <c r="O1130" i="2"/>
  <c r="O1139" i="2"/>
  <c r="O1148" i="2"/>
  <c r="N1157" i="2"/>
  <c r="N1185" i="2"/>
  <c r="N1194" i="2"/>
  <c r="L1204" i="2"/>
  <c r="N1213" i="2"/>
  <c r="L1223" i="2"/>
  <c r="N1232" i="2"/>
  <c r="N1246" i="2"/>
  <c r="M1251" i="2"/>
  <c r="O1265" i="2"/>
  <c r="L1270" i="2"/>
  <c r="O1280" i="2"/>
  <c r="M1285" i="2"/>
  <c r="M1328" i="2"/>
  <c r="L1339" i="2"/>
  <c r="L1357" i="2"/>
  <c r="O1397" i="2"/>
  <c r="M1427" i="2"/>
  <c r="M869" i="2"/>
  <c r="N876" i="2"/>
  <c r="O883" i="2"/>
  <c r="L894" i="2"/>
  <c r="N901" i="2"/>
  <c r="O908" i="2"/>
  <c r="L912" i="2"/>
  <c r="M919" i="2"/>
  <c r="N934" i="2"/>
  <c r="N938" i="2"/>
  <c r="L946" i="2"/>
  <c r="O957" i="2"/>
  <c r="M961" i="2"/>
  <c r="L986" i="2"/>
  <c r="O1015" i="2"/>
  <c r="L1028" i="2"/>
  <c r="N1041" i="2"/>
  <c r="O1045" i="2"/>
  <c r="O1054" i="2"/>
  <c r="L1059" i="2"/>
  <c r="M1063" i="2"/>
  <c r="N1072" i="2"/>
  <c r="M1085" i="2"/>
  <c r="O1094" i="2"/>
  <c r="M1103" i="2"/>
  <c r="N1112" i="2"/>
  <c r="L1121" i="2"/>
  <c r="N1144" i="2"/>
  <c r="L1153" i="2"/>
  <c r="O1157" i="2"/>
  <c r="L1176" i="2"/>
  <c r="O1185" i="2"/>
  <c r="L1190" i="2"/>
  <c r="O1194" i="2"/>
  <c r="M1204" i="2"/>
  <c r="O1213" i="2"/>
  <c r="M1223" i="2"/>
  <c r="O1232" i="2"/>
  <c r="N1251" i="2"/>
  <c r="M1270" i="2"/>
  <c r="L1307" i="2"/>
  <c r="M1312" i="2"/>
  <c r="O1328" i="2"/>
  <c r="M1339" i="2"/>
  <c r="M1357" i="2"/>
  <c r="M1404" i="2"/>
  <c r="N869" i="2"/>
  <c r="O876" i="2"/>
  <c r="L887" i="2"/>
  <c r="M894" i="2"/>
  <c r="O901" i="2"/>
  <c r="L905" i="2"/>
  <c r="M912" i="2"/>
  <c r="N919" i="2"/>
  <c r="O934" i="2"/>
  <c r="O938" i="2"/>
  <c r="L942" i="2"/>
  <c r="M946" i="2"/>
  <c r="L950" i="2"/>
  <c r="N961" i="2"/>
  <c r="L978" i="2"/>
  <c r="L982" i="2"/>
  <c r="N986" i="2"/>
  <c r="L999" i="2"/>
  <c r="L1007" i="2"/>
  <c r="L1024" i="2"/>
  <c r="M1028" i="2"/>
  <c r="O1041" i="2"/>
  <c r="N1059" i="2"/>
  <c r="N1063" i="2"/>
  <c r="O1072" i="2"/>
  <c r="N1085" i="2"/>
  <c r="N1103" i="2"/>
  <c r="O1112" i="2"/>
  <c r="M1121" i="2"/>
  <c r="L1135" i="2"/>
  <c r="O1144" i="2"/>
  <c r="M1153" i="2"/>
  <c r="L1167" i="2"/>
  <c r="M1176" i="2"/>
  <c r="M1190" i="2"/>
  <c r="N1204" i="2"/>
  <c r="L1228" i="2"/>
  <c r="L1242" i="2"/>
  <c r="O1251" i="2"/>
  <c r="O1256" i="2"/>
  <c r="M1261" i="2"/>
  <c r="N1270" i="2"/>
  <c r="L1291" i="2"/>
  <c r="L1302" i="2"/>
  <c r="N1307" i="2"/>
  <c r="N1312" i="2"/>
  <c r="O1317" i="2"/>
  <c r="L1323" i="2"/>
  <c r="N1339" i="2"/>
  <c r="N1357" i="2"/>
  <c r="L1384" i="2"/>
  <c r="M1412" i="2"/>
  <c r="E46" i="1"/>
  <c r="O869" i="2"/>
  <c r="L873" i="2"/>
  <c r="L880" i="2"/>
  <c r="M887" i="2"/>
  <c r="N894" i="2"/>
  <c r="L898" i="2"/>
  <c r="M905" i="2"/>
  <c r="N912" i="2"/>
  <c r="O919" i="2"/>
  <c r="L923" i="2"/>
  <c r="M942" i="2"/>
  <c r="N946" i="2"/>
  <c r="M950" i="2"/>
  <c r="O961" i="2"/>
  <c r="M978" i="2"/>
  <c r="M982" i="2"/>
  <c r="M999" i="2"/>
  <c r="L1003" i="2"/>
  <c r="M1007" i="2"/>
  <c r="L1020" i="2"/>
  <c r="M1024" i="2"/>
  <c r="N1028" i="2"/>
  <c r="L1033" i="2"/>
  <c r="L1037" i="2"/>
  <c r="O1059" i="2"/>
  <c r="O1063" i="2"/>
  <c r="L1081" i="2"/>
  <c r="O1085" i="2"/>
  <c r="N1090" i="2"/>
  <c r="L1099" i="2"/>
  <c r="O1103" i="2"/>
  <c r="N1108" i="2"/>
  <c r="L1117" i="2"/>
  <c r="N1121" i="2"/>
  <c r="N1126" i="2"/>
  <c r="M1135" i="2"/>
  <c r="N1153" i="2"/>
  <c r="N1167" i="2"/>
  <c r="L1172" i="2"/>
  <c r="N1176" i="2"/>
  <c r="L1181" i="2"/>
  <c r="N1190" i="2"/>
  <c r="N1209" i="2"/>
  <c r="M1228" i="2"/>
  <c r="M1242" i="2"/>
  <c r="N1261" i="2"/>
  <c r="O1270" i="2"/>
  <c r="M1291" i="2"/>
  <c r="M1302" i="2"/>
  <c r="O1312" i="2"/>
  <c r="M1323" i="2"/>
  <c r="O1334" i="2"/>
  <c r="L1378" i="2"/>
  <c r="M1384" i="2"/>
  <c r="M873" i="2"/>
  <c r="M880" i="2"/>
  <c r="N887" i="2"/>
  <c r="L891" i="2"/>
  <c r="O894" i="2"/>
  <c r="M898" i="2"/>
  <c r="N905" i="2"/>
  <c r="O912" i="2"/>
  <c r="L916" i="2"/>
  <c r="M923" i="2"/>
  <c r="M927" i="2"/>
  <c r="L931" i="2"/>
  <c r="O942" i="2"/>
  <c r="O946" i="2"/>
  <c r="N950" i="2"/>
  <c r="L954" i="2"/>
  <c r="L966" i="2"/>
  <c r="L970" i="2"/>
  <c r="M974" i="2"/>
  <c r="N978" i="2"/>
  <c r="N982" i="2"/>
  <c r="L991" i="2"/>
  <c r="M995" i="2"/>
  <c r="N999" i="2"/>
  <c r="M1003" i="2"/>
  <c r="L1012" i="2"/>
  <c r="M1020" i="2"/>
  <c r="N1024" i="2"/>
  <c r="M1033" i="2"/>
  <c r="N1037" i="2"/>
  <c r="L1077" i="2"/>
  <c r="M1081" i="2"/>
  <c r="O1090" i="2"/>
  <c r="M1099" i="2"/>
  <c r="O1108" i="2"/>
  <c r="M1117" i="2"/>
  <c r="O1121" i="2"/>
  <c r="O1126" i="2"/>
  <c r="L1131" i="2"/>
  <c r="N1135" i="2"/>
  <c r="L1149" i="2"/>
  <c r="O1153" i="2"/>
  <c r="L1163" i="2"/>
  <c r="M1172" i="2"/>
  <c r="M1181" i="2"/>
  <c r="O1190" i="2"/>
  <c r="L1200" i="2"/>
  <c r="O1209" i="2"/>
  <c r="L1219" i="2"/>
  <c r="N1228" i="2"/>
  <c r="L1238" i="2"/>
  <c r="O1242" i="2"/>
  <c r="L1247" i="2"/>
  <c r="L1266" i="2"/>
  <c r="L1281" i="2"/>
  <c r="N1291" i="2"/>
  <c r="N1302" i="2"/>
  <c r="O1323" i="2"/>
  <c r="N1346" i="2"/>
  <c r="N1378" i="2"/>
  <c r="M1398" i="2"/>
  <c r="L1401" i="2"/>
  <c r="N873" i="2"/>
  <c r="N880" i="2"/>
  <c r="L884" i="2"/>
  <c r="O887" i="2"/>
  <c r="M891" i="2"/>
  <c r="N898" i="2"/>
  <c r="O905" i="2"/>
  <c r="L909" i="2"/>
  <c r="M916" i="2"/>
  <c r="N927" i="2"/>
  <c r="M931" i="2"/>
  <c r="O950" i="2"/>
  <c r="M954" i="2"/>
  <c r="L958" i="2"/>
  <c r="M966" i="2"/>
  <c r="M970" i="2"/>
  <c r="N974" i="2"/>
  <c r="O978" i="2"/>
  <c r="O982" i="2"/>
  <c r="M991" i="2"/>
  <c r="N995" i="2"/>
  <c r="O999" i="2"/>
  <c r="O1003" i="2"/>
  <c r="M1012" i="2"/>
  <c r="M1016" i="2"/>
  <c r="N1020" i="2"/>
  <c r="O1024" i="2"/>
  <c r="N1033" i="2"/>
  <c r="L1046" i="2"/>
  <c r="L1055" i="2"/>
  <c r="N1077" i="2"/>
  <c r="N1081" i="2"/>
  <c r="M1095" i="2"/>
  <c r="N1117" i="2"/>
  <c r="O1131" i="2"/>
  <c r="O1135" i="2"/>
  <c r="O1149" i="2"/>
  <c r="M1163" i="2"/>
  <c r="N1172" i="2"/>
  <c r="N1181" i="2"/>
  <c r="N1186" i="2"/>
  <c r="M1200" i="2"/>
  <c r="L1224" i="2"/>
  <c r="O1228" i="2"/>
  <c r="M1238" i="2"/>
  <c r="M1247" i="2"/>
  <c r="M1266" i="2"/>
  <c r="M1276" i="2"/>
  <c r="N1281" i="2"/>
  <c r="N1364" i="2"/>
  <c r="O1120" i="2"/>
  <c r="M1124" i="2"/>
  <c r="N1131" i="2"/>
  <c r="O1138" i="2"/>
  <c r="L1142" i="2"/>
  <c r="N1149" i="2"/>
  <c r="M1160" i="2"/>
  <c r="L1175" i="2"/>
  <c r="O1182" i="2"/>
  <c r="M1186" i="2"/>
  <c r="O1197" i="2"/>
  <c r="L1201" i="2"/>
  <c r="N1216" i="2"/>
  <c r="N1220" i="2"/>
  <c r="O1231" i="2"/>
  <c r="M1235" i="2"/>
  <c r="L1239" i="2"/>
  <c r="N1254" i="2"/>
  <c r="L1258" i="2"/>
  <c r="O1277" i="2"/>
  <c r="N1290" i="2"/>
  <c r="O1294" i="2"/>
  <c r="L1303" i="2"/>
  <c r="L1312" i="2"/>
  <c r="M1316" i="2"/>
  <c r="M1320" i="2"/>
  <c r="O1324" i="2"/>
  <c r="O1333" i="2"/>
  <c r="L1338" i="2"/>
  <c r="N1347" i="2"/>
  <c r="N1365" i="2"/>
  <c r="M1394" i="2"/>
  <c r="M1405" i="2"/>
  <c r="L1426" i="2"/>
  <c r="H51" i="3"/>
  <c r="G218" i="3"/>
  <c r="L1553" i="2"/>
  <c r="L1559" i="2"/>
  <c r="L1565" i="2"/>
  <c r="L1571" i="2"/>
  <c r="L1577" i="2"/>
  <c r="O1365" i="2"/>
  <c r="L1388" i="2"/>
  <c r="N1405" i="2"/>
  <c r="L1412" i="2"/>
  <c r="M1419" i="2"/>
  <c r="H59" i="3"/>
  <c r="H218" i="3"/>
  <c r="M1553" i="2"/>
  <c r="M1559" i="2"/>
  <c r="M1565" i="2"/>
  <c r="M1571" i="2"/>
  <c r="M1577" i="2"/>
  <c r="I218" i="3"/>
  <c r="N1553" i="2"/>
  <c r="N1559" i="2"/>
  <c r="N1565" i="2"/>
  <c r="N1571" i="2"/>
  <c r="N1577" i="2"/>
  <c r="F219" i="3"/>
  <c r="O1553" i="2"/>
  <c r="O1559" i="2"/>
  <c r="O1565" i="2"/>
  <c r="O1571" i="2"/>
  <c r="O1577" i="2"/>
  <c r="G219" i="3"/>
  <c r="L1554" i="2"/>
  <c r="L1560" i="2"/>
  <c r="L1566" i="2"/>
  <c r="L1572" i="2"/>
  <c r="L1578" i="2"/>
  <c r="H219" i="3"/>
  <c r="M1554" i="2"/>
  <c r="M1560" i="2"/>
  <c r="M1566" i="2"/>
  <c r="M1572" i="2"/>
  <c r="M1578" i="2"/>
  <c r="I219" i="3"/>
  <c r="N1554" i="2"/>
  <c r="N1560" i="2"/>
  <c r="N1566" i="2"/>
  <c r="N1572" i="2"/>
  <c r="N1578" i="2"/>
  <c r="F220" i="3"/>
  <c r="O1554" i="2"/>
  <c r="O1560" i="2"/>
  <c r="O1566" i="2"/>
  <c r="O1572" i="2"/>
  <c r="O1578" i="2"/>
  <c r="G220" i="3"/>
  <c r="L1555" i="2"/>
  <c r="L1561" i="2"/>
  <c r="L1567" i="2"/>
  <c r="L1573" i="2"/>
  <c r="L1579" i="2"/>
  <c r="N1007" i="2"/>
  <c r="N1014" i="2"/>
  <c r="O1021" i="2"/>
  <c r="O1028" i="2"/>
  <c r="O1035" i="2"/>
  <c r="M1046" i="2"/>
  <c r="O1053" i="2"/>
  <c r="L1064" i="2"/>
  <c r="N1071" i="2"/>
  <c r="L1082" i="2"/>
  <c r="O1089" i="2"/>
  <c r="L1093" i="2"/>
  <c r="N1100" i="2"/>
  <c r="O1107" i="2"/>
  <c r="M1118" i="2"/>
  <c r="O1125" i="2"/>
  <c r="L1136" i="2"/>
  <c r="N1143" i="2"/>
  <c r="O1154" i="2"/>
  <c r="O1165" i="2"/>
  <c r="M1169" i="2"/>
  <c r="O1176" i="2"/>
  <c r="M1180" i="2"/>
  <c r="O1187" i="2"/>
  <c r="M1191" i="2"/>
  <c r="O1206" i="2"/>
  <c r="M1210" i="2"/>
  <c r="L1214" i="2"/>
  <c r="M1225" i="2"/>
  <c r="L1229" i="2"/>
  <c r="O1244" i="2"/>
  <c r="L1248" i="2"/>
  <c r="N1259" i="2"/>
  <c r="N1263" i="2"/>
  <c r="L1267" i="2"/>
  <c r="N1271" i="2"/>
  <c r="L1275" i="2"/>
  <c r="N1279" i="2"/>
  <c r="M1283" i="2"/>
  <c r="O1300" i="2"/>
  <c r="M1309" i="2"/>
  <c r="M1322" i="2"/>
  <c r="L1326" i="2"/>
  <c r="N1335" i="2"/>
  <c r="O1339" i="2"/>
  <c r="L1349" i="2"/>
  <c r="O1358" i="2"/>
  <c r="N1367" i="2"/>
  <c r="N1373" i="2"/>
  <c r="O1414" i="2"/>
  <c r="H220" i="3"/>
  <c r="M1555" i="2"/>
  <c r="M1561" i="2"/>
  <c r="M1567" i="2"/>
  <c r="M1573" i="2"/>
  <c r="M1579" i="2"/>
  <c r="M930" i="2"/>
  <c r="M937" i="2"/>
  <c r="M944" i="2"/>
  <c r="N951" i="2"/>
  <c r="N958" i="2"/>
  <c r="N965" i="2"/>
  <c r="N972" i="2"/>
  <c r="O979" i="2"/>
  <c r="O986" i="2"/>
  <c r="O993" i="2"/>
  <c r="L997" i="2"/>
  <c r="O1000" i="2"/>
  <c r="L1004" i="2"/>
  <c r="O1007" i="2"/>
  <c r="L1011" i="2"/>
  <c r="O1014" i="2"/>
  <c r="L1018" i="2"/>
  <c r="L1025" i="2"/>
  <c r="L1032" i="2"/>
  <c r="L1039" i="2"/>
  <c r="N1046" i="2"/>
  <c r="L1057" i="2"/>
  <c r="M1064" i="2"/>
  <c r="O1071" i="2"/>
  <c r="L1075" i="2"/>
  <c r="O1082" i="2"/>
  <c r="M1093" i="2"/>
  <c r="O1100" i="2"/>
  <c r="L1111" i="2"/>
  <c r="N1118" i="2"/>
  <c r="L1129" i="2"/>
  <c r="M1136" i="2"/>
  <c r="O1143" i="2"/>
  <c r="L1147" i="2"/>
  <c r="L1158" i="2"/>
  <c r="N1169" i="2"/>
  <c r="L1173" i="2"/>
  <c r="N1180" i="2"/>
  <c r="N1191" i="2"/>
  <c r="L1195" i="2"/>
  <c r="N1210" i="2"/>
  <c r="M1214" i="2"/>
  <c r="N1225" i="2"/>
  <c r="M1229" i="2"/>
  <c r="M1248" i="2"/>
  <c r="L1252" i="2"/>
  <c r="O1259" i="2"/>
  <c r="O1263" i="2"/>
  <c r="M1267" i="2"/>
  <c r="O1271" i="2"/>
  <c r="N1275" i="2"/>
  <c r="N1283" i="2"/>
  <c r="L1296" i="2"/>
  <c r="O1305" i="2"/>
  <c r="N1309" i="2"/>
  <c r="M1318" i="2"/>
  <c r="N1322" i="2"/>
  <c r="M1326" i="2"/>
  <c r="O1335" i="2"/>
  <c r="M1349" i="2"/>
  <c r="O1354" i="2"/>
  <c r="O1367" i="2"/>
  <c r="O1373" i="2"/>
  <c r="N1396" i="2"/>
  <c r="I220" i="3"/>
  <c r="N1555" i="2"/>
  <c r="N1561" i="2"/>
  <c r="N1567" i="2"/>
  <c r="N1573" i="2"/>
  <c r="N1579" i="2"/>
  <c r="N923" i="2"/>
  <c r="N930" i="2"/>
  <c r="N937" i="2"/>
  <c r="N944" i="2"/>
  <c r="O951" i="2"/>
  <c r="O958" i="2"/>
  <c r="O965" i="2"/>
  <c r="L976" i="2"/>
  <c r="L983" i="2"/>
  <c r="L990" i="2"/>
  <c r="M997" i="2"/>
  <c r="M1004" i="2"/>
  <c r="M1011" i="2"/>
  <c r="M1018" i="2"/>
  <c r="M1025" i="2"/>
  <c r="M1032" i="2"/>
  <c r="M1039" i="2"/>
  <c r="O1046" i="2"/>
  <c r="L1050" i="2"/>
  <c r="M1057" i="2"/>
  <c r="N1064" i="2"/>
  <c r="L1068" i="2"/>
  <c r="M1075" i="2"/>
  <c r="L1086" i="2"/>
  <c r="N1093" i="2"/>
  <c r="L1104" i="2"/>
  <c r="M1111" i="2"/>
  <c r="O1118" i="2"/>
  <c r="L1122" i="2"/>
  <c r="M1129" i="2"/>
  <c r="N1136" i="2"/>
  <c r="L1140" i="2"/>
  <c r="M1147" i="2"/>
  <c r="N1158" i="2"/>
  <c r="L1162" i="2"/>
  <c r="O1169" i="2"/>
  <c r="M1173" i="2"/>
  <c r="O1180" i="2"/>
  <c r="L1184" i="2"/>
  <c r="O1191" i="2"/>
  <c r="L1199" i="2"/>
  <c r="L1203" i="2"/>
  <c r="O1210" i="2"/>
  <c r="N1214" i="2"/>
  <c r="L1218" i="2"/>
  <c r="O1225" i="2"/>
  <c r="N1229" i="2"/>
  <c r="N1233" i="2"/>
  <c r="M1237" i="2"/>
  <c r="N1248" i="2"/>
  <c r="M1252" i="2"/>
  <c r="O1275" i="2"/>
  <c r="O1283" i="2"/>
  <c r="L1292" i="2"/>
  <c r="M1296" i="2"/>
  <c r="N1318" i="2"/>
  <c r="O1322" i="2"/>
  <c r="N1326" i="2"/>
  <c r="L1363" i="2"/>
  <c r="M1379" i="2"/>
  <c r="N1402" i="2"/>
  <c r="M1429" i="2"/>
  <c r="O1555" i="2"/>
  <c r="O1561" i="2"/>
  <c r="O1567" i="2"/>
  <c r="O1573" i="2"/>
  <c r="O1579" i="2"/>
  <c r="N833" i="2"/>
  <c r="M840" i="2"/>
  <c r="L847" i="2"/>
  <c r="O850" i="2"/>
  <c r="N857" i="2"/>
  <c r="M864" i="2"/>
  <c r="L871" i="2"/>
  <c r="O874" i="2"/>
  <c r="N881" i="2"/>
  <c r="N888" i="2"/>
  <c r="N895" i="2"/>
  <c r="O902" i="2"/>
  <c r="O909" i="2"/>
  <c r="O916" i="2"/>
  <c r="O923" i="2"/>
  <c r="L927" i="2"/>
  <c r="O930" i="2"/>
  <c r="L934" i="2"/>
  <c r="O937" i="2"/>
  <c r="L941" i="2"/>
  <c r="O944" i="2"/>
  <c r="L948" i="2"/>
  <c r="L955" i="2"/>
  <c r="L962" i="2"/>
  <c r="M969" i="2"/>
  <c r="M976" i="2"/>
  <c r="M983" i="2"/>
  <c r="M990" i="2"/>
  <c r="N997" i="2"/>
  <c r="N1004" i="2"/>
  <c r="N1011" i="2"/>
  <c r="N1018" i="2"/>
  <c r="N1025" i="2"/>
  <c r="N1032" i="2"/>
  <c r="N1039" i="2"/>
  <c r="L1043" i="2"/>
  <c r="M1050" i="2"/>
  <c r="N1057" i="2"/>
  <c r="L1061" i="2"/>
  <c r="O1064" i="2"/>
  <c r="M1068" i="2"/>
  <c r="L1079" i="2"/>
  <c r="M1086" i="2"/>
  <c r="O1093" i="2"/>
  <c r="L1097" i="2"/>
  <c r="M1104" i="2"/>
  <c r="N1111" i="2"/>
  <c r="L1115" i="2"/>
  <c r="M1122" i="2"/>
  <c r="N1129" i="2"/>
  <c r="L1133" i="2"/>
  <c r="O1136" i="2"/>
  <c r="M1140" i="2"/>
  <c r="L1151" i="2"/>
  <c r="O1158" i="2"/>
  <c r="M1162" i="2"/>
  <c r="N1173" i="2"/>
  <c r="M1184" i="2"/>
  <c r="M1199" i="2"/>
  <c r="M1203" i="2"/>
  <c r="O1214" i="2"/>
  <c r="M1218" i="2"/>
  <c r="L1222" i="2"/>
  <c r="O1233" i="2"/>
  <c r="N1237" i="2"/>
  <c r="L1241" i="2"/>
  <c r="O1248" i="2"/>
  <c r="N1252" i="2"/>
  <c r="L1256" i="2"/>
  <c r="L1288" i="2"/>
  <c r="M1292" i="2"/>
  <c r="O1314" i="2"/>
  <c r="O1318" i="2"/>
  <c r="O1326" i="2"/>
  <c r="L1331" i="2"/>
  <c r="M1363" i="2"/>
  <c r="L1385" i="2"/>
  <c r="L1391" i="2"/>
  <c r="O1402" i="2"/>
  <c r="N1429" i="2"/>
  <c r="N1459" i="2"/>
  <c r="L1556" i="2"/>
  <c r="L1562" i="2"/>
  <c r="L1568" i="2"/>
  <c r="L1574" i="2"/>
  <c r="N962" i="2"/>
  <c r="N969" i="2"/>
  <c r="N976" i="2"/>
  <c r="N983" i="2"/>
  <c r="N990" i="2"/>
  <c r="O997" i="2"/>
  <c r="O1004" i="2"/>
  <c r="O1011" i="2"/>
  <c r="O1018" i="2"/>
  <c r="L1022" i="2"/>
  <c r="O1025" i="2"/>
  <c r="L1029" i="2"/>
  <c r="O1032" i="2"/>
  <c r="L1036" i="2"/>
  <c r="O1039" i="2"/>
  <c r="M1043" i="2"/>
  <c r="N1050" i="2"/>
  <c r="L1054" i="2"/>
  <c r="O1057" i="2"/>
  <c r="M1061" i="2"/>
  <c r="N1068" i="2"/>
  <c r="M1079" i="2"/>
  <c r="N1086" i="2"/>
  <c r="L1090" i="2"/>
  <c r="M1097" i="2"/>
  <c r="N1104" i="2"/>
  <c r="L1108" i="2"/>
  <c r="O1111" i="2"/>
  <c r="M1115" i="2"/>
  <c r="N1122" i="2"/>
  <c r="L1126" i="2"/>
  <c r="O1129" i="2"/>
  <c r="M1133" i="2"/>
  <c r="N1140" i="2"/>
  <c r="M1151" i="2"/>
  <c r="L1155" i="2"/>
  <c r="N1162" i="2"/>
  <c r="L1166" i="2"/>
  <c r="O1173" i="2"/>
  <c r="L1177" i="2"/>
  <c r="N1184" i="2"/>
  <c r="L1188" i="2"/>
  <c r="O1199" i="2"/>
  <c r="N1203" i="2"/>
  <c r="L1207" i="2"/>
  <c r="N1218" i="2"/>
  <c r="M1222" i="2"/>
  <c r="O1237" i="2"/>
  <c r="M1241" i="2"/>
  <c r="L1245" i="2"/>
  <c r="O1252" i="2"/>
  <c r="M1256" i="2"/>
  <c r="L1280" i="2"/>
  <c r="M1288" i="2"/>
  <c r="N1292" i="2"/>
  <c r="N1301" i="2"/>
  <c r="N1331" i="2"/>
  <c r="L1340" i="2"/>
  <c r="L1345" i="2"/>
  <c r="L1359" i="2"/>
  <c r="N1363" i="2"/>
  <c r="M1391" i="2"/>
  <c r="O1459" i="2"/>
  <c r="M1474" i="2"/>
  <c r="M1556" i="2"/>
  <c r="M1562" i="2"/>
  <c r="M1568" i="2"/>
  <c r="M1574" i="2"/>
  <c r="O962" i="2"/>
  <c r="O969" i="2"/>
  <c r="L973" i="2"/>
  <c r="O976" i="2"/>
  <c r="L980" i="2"/>
  <c r="O983" i="2"/>
  <c r="L987" i="2"/>
  <c r="O990" i="2"/>
  <c r="L994" i="2"/>
  <c r="L1001" i="2"/>
  <c r="L1008" i="2"/>
  <c r="L1015" i="2"/>
  <c r="M1022" i="2"/>
  <c r="M1029" i="2"/>
  <c r="M1036" i="2"/>
  <c r="N1043" i="2"/>
  <c r="O1050" i="2"/>
  <c r="M1054" i="2"/>
  <c r="N1061" i="2"/>
  <c r="M1072" i="2"/>
  <c r="N1079" i="2"/>
  <c r="L1083" i="2"/>
  <c r="O1086" i="2"/>
  <c r="M1090" i="2"/>
  <c r="N1097" i="2"/>
  <c r="L1101" i="2"/>
  <c r="O1104" i="2"/>
  <c r="M1108" i="2"/>
  <c r="N1115" i="2"/>
  <c r="O1122" i="2"/>
  <c r="M1126" i="2"/>
  <c r="N1133" i="2"/>
  <c r="M1144" i="2"/>
  <c r="O1151" i="2"/>
  <c r="M1155" i="2"/>
  <c r="O1162" i="2"/>
  <c r="M1166" i="2"/>
  <c r="M1177" i="2"/>
  <c r="O1184" i="2"/>
  <c r="M1188" i="2"/>
  <c r="L1196" i="2"/>
  <c r="O1203" i="2"/>
  <c r="M1207" i="2"/>
  <c r="O1218" i="2"/>
  <c r="N1222" i="2"/>
  <c r="N1241" i="2"/>
  <c r="M1245" i="2"/>
  <c r="N1256" i="2"/>
  <c r="L1260" i="2"/>
  <c r="N1264" i="2"/>
  <c r="M1268" i="2"/>
  <c r="L1272" i="2"/>
  <c r="M1280" i="2"/>
  <c r="N1288" i="2"/>
  <c r="O1292" i="2"/>
  <c r="O1301" i="2"/>
  <c r="L1306" i="2"/>
  <c r="L1336" i="2"/>
  <c r="M1340" i="2"/>
  <c r="M1350" i="2"/>
  <c r="L1355" i="2"/>
  <c r="M1359" i="2"/>
  <c r="M1368" i="2"/>
  <c r="L1374" i="2"/>
  <c r="N1391" i="2"/>
  <c r="N1397" i="2"/>
  <c r="N1556" i="2"/>
  <c r="N1562" i="2"/>
  <c r="N1568" i="2"/>
  <c r="N1574" i="2"/>
  <c r="F216" i="3"/>
  <c r="O1556" i="2"/>
  <c r="O1562" i="2"/>
  <c r="O1568" i="2"/>
  <c r="O1574" i="2"/>
  <c r="G216" i="3"/>
  <c r="L1551" i="2"/>
  <c r="L1557" i="2"/>
  <c r="L1563" i="2"/>
  <c r="L1569" i="2"/>
  <c r="L1575" i="2"/>
  <c r="L1311" i="2"/>
  <c r="M1315" i="2"/>
  <c r="M1319" i="2"/>
  <c r="N1323" i="2"/>
  <c r="L1332" i="2"/>
  <c r="O1336" i="2"/>
  <c r="L1346" i="2"/>
  <c r="L1364" i="2"/>
  <c r="O1380" i="2"/>
  <c r="L1410" i="2"/>
  <c r="L1460" i="2"/>
  <c r="F3" i="3"/>
  <c r="H216" i="3"/>
  <c r="M1551" i="2"/>
  <c r="M1557" i="2"/>
  <c r="M1563" i="2"/>
  <c r="M1569" i="2"/>
  <c r="M1575" i="2"/>
  <c r="M1364" i="2"/>
  <c r="O1460" i="2"/>
  <c r="I3" i="3"/>
  <c r="I216" i="3"/>
  <c r="N1551" i="2"/>
  <c r="N1557" i="2"/>
  <c r="N1563" i="2"/>
  <c r="N1569" i="2"/>
  <c r="N1575" i="2"/>
  <c r="H4" i="3"/>
  <c r="F217" i="3"/>
  <c r="O1551" i="2"/>
  <c r="O1557" i="2"/>
  <c r="O1563" i="2"/>
  <c r="O1569" i="2"/>
  <c r="O1575" i="2"/>
  <c r="L1356" i="2"/>
  <c r="M1360" i="2"/>
  <c r="O1364" i="2"/>
  <c r="L1387" i="2"/>
  <c r="N1398" i="2"/>
  <c r="N1425" i="2"/>
  <c r="G11" i="3"/>
  <c r="G217" i="3"/>
  <c r="L1552" i="2"/>
  <c r="L1558" i="2"/>
  <c r="L1564" i="2"/>
  <c r="L1570" i="2"/>
  <c r="L1576" i="2"/>
  <c r="N942" i="2"/>
  <c r="O949" i="2"/>
  <c r="O956" i="2"/>
  <c r="O963" i="2"/>
  <c r="O970" i="2"/>
  <c r="L974" i="2"/>
  <c r="O977" i="2"/>
  <c r="L981" i="2"/>
  <c r="O984" i="2"/>
  <c r="L988" i="2"/>
  <c r="O991" i="2"/>
  <c r="L995" i="2"/>
  <c r="L1002" i="2"/>
  <c r="L1009" i="2"/>
  <c r="L1016" i="2"/>
  <c r="M1023" i="2"/>
  <c r="M1030" i="2"/>
  <c r="M1037" i="2"/>
  <c r="N1044" i="2"/>
  <c r="M1055" i="2"/>
  <c r="N1062" i="2"/>
  <c r="L1066" i="2"/>
  <c r="M1073" i="2"/>
  <c r="N1080" i="2"/>
  <c r="L1084" i="2"/>
  <c r="O1087" i="2"/>
  <c r="M1091" i="2"/>
  <c r="N1098" i="2"/>
  <c r="L1102" i="2"/>
  <c r="O1105" i="2"/>
  <c r="M1109" i="2"/>
  <c r="N1116" i="2"/>
  <c r="M1127" i="2"/>
  <c r="N1134" i="2"/>
  <c r="L1138" i="2"/>
  <c r="M1145" i="2"/>
  <c r="O1152" i="2"/>
  <c r="M1156" i="2"/>
  <c r="O1163" i="2"/>
  <c r="M1167" i="2"/>
  <c r="O1178" i="2"/>
  <c r="O1189" i="2"/>
  <c r="M1193" i="2"/>
  <c r="L1197" i="2"/>
  <c r="O1204" i="2"/>
  <c r="M1208" i="2"/>
  <c r="O1223" i="2"/>
  <c r="N1227" i="2"/>
  <c r="L1231" i="2"/>
  <c r="N1242" i="2"/>
  <c r="M1246" i="2"/>
  <c r="O1261" i="2"/>
  <c r="N1265" i="2"/>
  <c r="N1269" i="2"/>
  <c r="L1273" i="2"/>
  <c r="L1277" i="2"/>
  <c r="M1281" i="2"/>
  <c r="L1285" i="2"/>
  <c r="L1294" i="2"/>
  <c r="O1298" i="2"/>
  <c r="M1307" i="2"/>
  <c r="N1328" i="2"/>
  <c r="M1342" i="2"/>
  <c r="M1356" i="2"/>
  <c r="N1360" i="2"/>
  <c r="L1370" i="2"/>
  <c r="O1381" i="2"/>
  <c r="M1387" i="2"/>
  <c r="N1411" i="2"/>
  <c r="L1439" i="2"/>
  <c r="F172" i="1"/>
  <c r="H40" i="3"/>
  <c r="H217" i="3"/>
  <c r="M1552" i="2"/>
  <c r="M1558" i="2"/>
  <c r="M1564" i="2"/>
  <c r="M1570" i="2"/>
  <c r="M1576" i="2"/>
  <c r="N1342" i="2"/>
  <c r="L1347" i="2"/>
  <c r="N1356" i="2"/>
  <c r="O1360" i="2"/>
  <c r="M1370" i="2"/>
  <c r="M1432" i="2"/>
  <c r="N1439" i="2"/>
  <c r="I40" i="3"/>
  <c r="I217" i="3"/>
  <c r="N1552" i="2"/>
  <c r="N1558" i="2"/>
  <c r="N1564" i="2"/>
  <c r="N1570" i="2"/>
  <c r="N1576" i="2"/>
  <c r="O1030" i="2"/>
  <c r="O1037" i="2"/>
  <c r="N1048" i="2"/>
  <c r="L1052" i="2"/>
  <c r="O1055" i="2"/>
  <c r="M1059" i="2"/>
  <c r="N1066" i="2"/>
  <c r="O1073" i="2"/>
  <c r="M1077" i="2"/>
  <c r="N1084" i="2"/>
  <c r="O1091" i="2"/>
  <c r="L1095" i="2"/>
  <c r="N1102" i="2"/>
  <c r="O1109" i="2"/>
  <c r="N1120" i="2"/>
  <c r="L1124" i="2"/>
  <c r="O1127" i="2"/>
  <c r="M1131" i="2"/>
  <c r="N1138" i="2"/>
  <c r="O1145" i="2"/>
  <c r="M1149" i="2"/>
  <c r="O1156" i="2"/>
  <c r="L1160" i="2"/>
  <c r="O1167" i="2"/>
  <c r="M1171" i="2"/>
  <c r="N1182" i="2"/>
  <c r="L1186" i="2"/>
  <c r="O1193" i="2"/>
  <c r="N1197" i="2"/>
  <c r="O1208" i="2"/>
  <c r="M1212" i="2"/>
  <c r="M1216" i="2"/>
  <c r="M1220" i="2"/>
  <c r="N1231" i="2"/>
  <c r="L1235" i="2"/>
  <c r="O1246" i="2"/>
  <c r="O1250" i="2"/>
  <c r="L1254" i="2"/>
  <c r="O1273" i="2"/>
  <c r="N1277" i="2"/>
  <c r="O1281" i="2"/>
  <c r="M1290" i="2"/>
  <c r="N1294" i="2"/>
  <c r="L1316" i="2"/>
  <c r="L1320" i="2"/>
  <c r="N1324" i="2"/>
  <c r="O1342" i="2"/>
  <c r="M1347" i="2"/>
  <c r="O1352" i="2"/>
  <c r="O1356" i="2"/>
  <c r="N1370" i="2"/>
  <c r="L1405" i="2"/>
  <c r="O1432" i="2"/>
  <c r="G47" i="3"/>
  <c r="F218" i="3"/>
  <c r="O1552" i="2"/>
  <c r="O1558" i="2"/>
  <c r="O1564" i="2"/>
  <c r="O1570" i="2"/>
  <c r="O1576" i="2"/>
  <c r="F115" i="1"/>
  <c r="F147" i="1"/>
  <c r="E172" i="1"/>
  <c r="F92" i="1"/>
  <c r="E113" i="1"/>
  <c r="F113" i="1"/>
  <c r="E147" i="1"/>
  <c r="I51" i="3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<sst xmlns="http://schemas.openxmlformats.org/spreadsheetml/2006/main" count="2584" uniqueCount="317">
  <si>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</si>
  <si>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</si>
  <si>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</si>
  <si>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</si>
  <si>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</si>
  <si>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</si>
  <si>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</si>
  <si>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</si>
  <si>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</si>
  <si>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</si>
  <si>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</si>
  <si>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</si>
  <si>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</si>
  <si>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</si>
  <si>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</si>
  <si>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</si>
  <si>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</si>
  <si>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</si>
  <si>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</si>
  <si>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</si>
  <si>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</si>
  <si>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</si>
  <si>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</si>
  <si>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</si>
  <si>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</si>
  <si>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</si>
  <si>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</si>
  <si>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</si>
  <si>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</si>
  <si>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</si>
  <si>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</si>
  <si>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</si>
  <si>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</si>
  <si>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</si>
  <si>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</si>
  <si>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</si>
  <si>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</si>
  <si>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</si>
  <si>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</si>
  <si>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</si>
  <si>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</si>
  <si>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</si>
  <si>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</si>
  <si>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</si>
  <si>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</si>
  <si>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</si>
  <si>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</si>
  <si>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</si>
  <si>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</si>
  <si>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</si>
  <si>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</si>
  <si>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</si>
  <si>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</si>
  <si>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</si>
  <si>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</si>
  <si>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</si>
  <si>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</si>
  <si>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</si>
  <si>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</si>
  <si>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</si>
  <si>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</si>
  <si>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</si>
  <si>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</si>
  <si>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</si>
  <si>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</si>
  <si>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</si>
  <si>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</si>
  <si>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</si>
  <si>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</si>
  <si>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</si>
  <si>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</si>
  <si>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</si>
  <si>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</si>
  <si>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</si>
  <si>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</si>
  <si>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</si>
  <si>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</si>
  <si>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</si>
  <si>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</si>
  <si>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</si>
  <si>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</si>
  <si>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</si>
  <si>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</si>
  <si>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</si>
  <si>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</si>
  <si>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</si>
  <si>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</si>
  <si>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</si>
  <si>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</si>
  <si>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</si>
  <si>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</si>
  <si>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</si>
  <si>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</si>
  <si>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</si>
  <si>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</si>
  <si>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</si>
  <si>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</si>
  <si>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</si>
  <si>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</si>
  <si>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</si>
  <si>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</si>
  <si>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</si>
  <si>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</si>
  <si>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</si>
  <si>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</si>
  <si>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</si>
  <si>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</si>
  <si>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</si>
  <si>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</si>
  <si>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</si>
  <si>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</si>
  <si>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</si>
  <si>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</si>
  <si>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</si>
  <si>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</si>
  <si>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</si>
  <si>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</si>
  <si>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</si>
  <si>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</si>
  <si>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</si>
  <si>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</si>
  <si>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</si>
  <si>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</si>
  <si>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</si>
  <si>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</si>
  <si>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</si>
  <si>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</si>
  <si>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</si>
  <si>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</si>
  <si>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</si>
  <si>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</si>
  <si>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</si>
  <si>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</si>
  <si>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</si>
  <si>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</si>
  <si>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</si>
  <si>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</si>
  <si>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</si>
  <si>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</si>
  <si>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</si>
  <si>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</si>
  <si>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</si>
  <si>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</si>
  <si>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</si>
  <si>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</si>
  <si>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</si>
  <si>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</si>
  <si>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</si>
  <si>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</si>
  <si>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</si>
  <si>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</si>
  <si>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</si>
  <si>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</si>
  <si>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</si>
  <si>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</si>
  <si>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</si>
  <si>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</si>
  <si>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</si>
  <si>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</si>
  <si>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</si>
  <si>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</si>
  <si>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</si>
  <si>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</si>
  <si>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</si>
  <si>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</si>
  <si>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</si>
  <si>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</si>
  <si>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</si>
  <si>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</si>
  <si>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</si>
  <si>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</si>
  <si>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</si>
  <si>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</si>
  <si>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</si>
  <si>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</si>
  <si>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</si>
  <si>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</si>
  <si>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</si>
  <si>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</si>
  <si>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</si>
  <si>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</si>
  <si>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</si>
  <si>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</si>
  <si>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</si>
  <si>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</si>
  <si>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</si>
  <si>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</si>
  <si>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</si>
  <si>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</si>
  <si>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</si>
  <si>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</si>
  <si>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</si>
  <si>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</si>
  <si>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</si>
  <si>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</si>
  <si>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</si>
  <si>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</si>
  <si>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</si>
  <si>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</si>
  <si>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</si>
  <si>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</si>
  <si>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</si>
  <si>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</si>
  <si>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</si>
  <si>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</si>
  <si>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</si>
  <si>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</si>
  <si>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</si>
  <si>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</si>
  <si>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</si>
  <si>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</si>
  <si>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</si>
  <si>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</si>
  <si>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</si>
  <si>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</si>
  <si>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</si>
  <si>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</si>
  <si>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</si>
  <si>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</si>
  <si>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</si>
  <si>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</si>
  <si>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</si>
  <si>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</si>
  <si>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</si>
  <si>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</si>
  <si>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</si>
  <si>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</si>
  <si>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</si>
  <si>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</si>
  <si>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</si>
  <si>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</si>
  <si>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</si>
  <si>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</si>
  <si>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</si>
  <si>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</si>
  <si>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</si>
  <si>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</si>
  <si>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</si>
  <si>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</si>
  <si>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</si>
  <si>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</si>
  <si>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</si>
  <si>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</si>
  <si>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</si>
  <si>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</si>
  <si>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</si>
  <si>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</si>
  <si>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</si>
  <si>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</si>
  <si>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</si>
  <si>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</si>
  <si>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</si>
  <si>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</si>
  <si>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</si>
  <si>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</si>
  <si>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</si>
  <si>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</si>
  <si>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</si>
  <si>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</si>
  <si>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</si>
  <si>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</si>
  <si>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</si>
  <si>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</si>
  <si>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</si>
  <si>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</si>
  <si>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</si>
  <si>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</si>
  <si>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</si>
  <si>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</si>
  <si>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</si>
  <si>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</si>
  <si>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</si>
  <si>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</si>
  <si>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</si>
  <si>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</si>
  <si>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</si>
  <si>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</si>
  <si>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</si>
  <si>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</si>
  <si>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</si>
  <si>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</si>
  <si>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</si>
  <si>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</si>
  <si>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</si>
  <si>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</si>
  <si>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</si>
  <si>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</si>
  <si>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</si>
  <si>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</si>
  <si>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</si>
  <si>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Арут (Расул +1)</t>
  </si>
  <si>
    <t>https://disk.yandex.ru/i/uxfud_eu6phAyA</t>
  </si>
  <si>
    <t>Служебный Роман</t>
  </si>
  <si>
    <t>Отдать голевой пас Роме</t>
  </si>
  <si>
    <t>Даня (Нурик +1)</t>
  </si>
  <si>
    <t>Гоша (АК+1)</t>
  </si>
  <si>
    <t>Денис (Вова +1)</t>
  </si>
  <si>
    <t>Макс Куртин</t>
  </si>
  <si>
    <t>achievement_pic/21.png</t>
  </si>
  <si>
    <t>Кирпичная стена</t>
  </si>
  <si>
    <t>Достижение получает вратарь не пропустивший за игровой день ни одного гола.</t>
  </si>
  <si>
    <t>achievement_pic/22.png</t>
  </si>
  <si>
    <t>https://greyusek.github.io/football_stats/</t>
  </si>
  <si>
    <t>https://disk.yandex.ru/i/bXx_SMJi7Z406w</t>
  </si>
  <si>
    <t>Супер Стар</t>
  </si>
  <si>
    <t>Лучший игрок которого выбрали голосованием по результатм игрового дня.</t>
  </si>
  <si>
    <t>achievement_pic/23.png</t>
  </si>
  <si>
    <t>https://disk.yandex.ru/i/2wO4YWJ1OXiFXQ</t>
  </si>
  <si>
    <t>Вася (1900)</t>
  </si>
  <si>
    <t>Александр</t>
  </si>
  <si>
    <t>Владислав</t>
  </si>
  <si>
    <t>https://disk.yandex.ru/i/fvP-auBpj4R6Uw</t>
  </si>
  <si>
    <t>Данила (Руб+1)</t>
  </si>
  <si>
    <t>Гагик (Атай+1)</t>
  </si>
  <si>
    <t>Рашид</t>
  </si>
  <si>
    <t>Эльбек</t>
  </si>
  <si>
    <t>Даня (кипер)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</si>
</sst>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2"/>
      <color theme="1"/>
      <name val="Calibri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FFFFFF"/>
      <name val="Calibri"/>
      <family val="2"/>
      <charset val="204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4" fontId="0" fillId="0" borderId="13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left"/>
    </xf>
    <xf numFmtId="0" fontId="1" fillId="0" borderId="14" xfId="0" applyFont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left" vertical="center" wrapText="1"/>
    </xf>
    <xf numFmtId="0" fontId="1" fillId="0" borderId="13" xfId="0" applyNumberFormat="1" applyFont="1" applyFill="1" applyBorder="1" applyAlignment="1">
      <alignment horizontal="left" vertical="center" wrapText="1"/>
    </xf>
    <xf numFmtId="0" fontId="1" fillId="0" borderId="14" xfId="0" applyNumberFormat="1" applyFont="1" applyFill="1" applyBorder="1" applyAlignment="1">
      <alignment horizontal="center" vertical="center" wrapText="1"/>
    </xf>
    <xf numFmtId="165" fontId="1" fillId="0" borderId="14" xfId="0" applyNumberFormat="1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/>
    </xf>
    <xf numFmtId="0" fontId="1" fillId="0" borderId="8" xfId="0" applyNumberFormat="1" applyFont="1" applyFill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195" headerRowDxfId="25" totalsRowDxfId="22" headerRowBorderDxfId="24" tableBorderDxfId="23">
  <autoFilter ref="A1:G195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633">
  <autoFilter ref="A1:O1633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26">
  <autoFilter ref="A1:I226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9">
  <autoFilter ref="A1:K9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4" totalsRowShown="0" headerRowDxfId="14" dataDxfId="13">
  <autoFilter ref="A1:D24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216" totalsRowShown="0" headerRowDxfId="8" dataDxfId="6" headerRowBorderDxfId="7" tableBorderDxfId="5" totalsRowBorderDxfId="4">
  <autoFilter ref="A1:D216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hyperlink" Target="https://disk.yandex.ru/i/P7FmDCZ548qHag" TargetMode="External"/><Relationship Id="rId7" Type="http://schemas.openxmlformats.org/officeDocument/2006/relationships/hyperlink" Target="https://disk.yandex.ru/i/fvP-auBpj4R6Uw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6" Type="http://schemas.openxmlformats.org/officeDocument/2006/relationships/hyperlink" Target="https://disk.yandex.ru/i/2wO4YWJ1OXiFXQ" TargetMode="External"/><Relationship Id="rId5" Type="http://schemas.openxmlformats.org/officeDocument/2006/relationships/hyperlink" Target="https://mitino.streamlit.app/" TargetMode="External"/><Relationship Id="rId4" Type="http://schemas.openxmlformats.org/officeDocument/2006/relationships/hyperlink" Target="https://disk.yandex.ru/i/woYWD66OJCtQEw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195"/>
  <sheetViews>
    <sheetView topLeftCell="A160" workbookViewId="0">
      <selection activeCell="C195" sqref="C195:G195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78</v>
      </c>
      <c r="D3" s="11">
        <f>SUMIFS(_stats[assists_on_date],_stats[player_id],_players[[#This Row],[player_id]])</f>
        <v>49</v>
      </c>
      <c r="E3" s="11">
        <f>SUMIFS(_stats[wins_on_date],_stats[player_id],_players[[#This Row],[player_id]])</f>
        <v>207</v>
      </c>
      <c r="F3" s="11">
        <f>SUMIFS(_stats[draws_on_date],_stats[player_id],_players[[#This Row],[player_id]])</f>
        <v>50</v>
      </c>
      <c r="G3" s="12">
        <f>SUMIFS(_stats[foul_on_date],_stats[player_id],_players[[#This Row],[player_id]])</f>
        <v>3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38</v>
      </c>
      <c r="D6" s="16">
        <f>SUMIFS(_stats[assists_on_date],_stats[player_id],_players[[#This Row],[player_id]])</f>
        <v>22</v>
      </c>
      <c r="E6" s="16">
        <f>SUMIFS(_stats[wins_on_date],_stats[player_id],_players[[#This Row],[player_id]])</f>
        <v>221</v>
      </c>
      <c r="F6" s="16">
        <f>SUMIFS(_stats[draws_on_date],_stats[player_id],_players[[#This Row],[player_id]])</f>
        <v>61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66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113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54</v>
      </c>
      <c r="D8" s="11">
        <f>SUMIFS(_stats[assists_on_date],_stats[player_id],_players[[#This Row],[player_id]])</f>
        <v>29</v>
      </c>
      <c r="E8" s="11">
        <f>SUMIFS(_stats[wins_on_date],_stats[player_id],_players[[#This Row],[player_id]])</f>
        <v>178</v>
      </c>
      <c r="F8" s="11">
        <f>SUMIFS(_stats[draws_on_date],_stats[player_id],_players[[#This Row],[player_id]])</f>
        <v>56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4</v>
      </c>
      <c r="D10" s="16">
        <f>SUMIFS(_stats[assists_on_date],_stats[player_id],_players[[#This Row],[player_id]])</f>
        <v>5</v>
      </c>
      <c r="E10" s="16">
        <f>SUMIFS(_stats[wins_on_date],_stats[player_id],_players[[#This Row],[player_id]])</f>
        <v>77</v>
      </c>
      <c r="F10" s="16">
        <f>SUMIFS(_stats[draws_on_date],_stats[player_id],_players[[#This Row],[player_id]])</f>
        <v>20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83</v>
      </c>
      <c r="D12" s="16">
        <f>SUMIFS(_stats[assists_on_date],_stats[player_id],_players[[#This Row],[player_id]])</f>
        <v>91</v>
      </c>
      <c r="E12" s="16">
        <f>SUMIFS(_stats[wins_on_date],_stats[player_id],_players[[#This Row],[player_id]])</f>
        <v>169</v>
      </c>
      <c r="F12" s="16">
        <f>SUMIFS(_stats[draws_on_date],_stats[player_id],_players[[#This Row],[player_id]])</f>
        <v>55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13</v>
      </c>
      <c r="D14" s="11">
        <f>SUMIFS(_stats[assists_on_date],_stats[player_id],_players[[#This Row],[player_id]])</f>
        <v>12</v>
      </c>
      <c r="E14" s="11">
        <f>SUMIFS(_stats[wins_on_date],_stats[player_id],_players[[#This Row],[player_id]])</f>
        <v>187</v>
      </c>
      <c r="F14" s="11">
        <f>SUMIFS(_stats[draws_on_date],_stats[player_id],_players[[#This Row],[player_id]])</f>
        <v>54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21</v>
      </c>
      <c r="D16" s="11">
        <f>SUMIFS(_stats[assists_on_date],_stats[player_id],_players[[#This Row],[player_id]])</f>
        <v>36</v>
      </c>
      <c r="E16" s="11">
        <f>SUMIFS(_stats[wins_on_date],_stats[player_id],_players[[#This Row],[player_id]])</f>
        <v>72</v>
      </c>
      <c r="F16" s="11">
        <f>SUMIFS(_stats[draws_on_date],_stats[player_id],_players[[#This Row],[player_id]])</f>
        <v>11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26</v>
      </c>
      <c r="E17" s="11">
        <f>SUMIFS(_stats[wins_on_date],_stats[player_id],_players[[#This Row],[player_id]])</f>
        <v>75</v>
      </c>
      <c r="F17" s="11">
        <f>SUMIFS(_stats[draws_on_date],_stats[player_id],_players[[#This Row],[player_id]])</f>
        <v>22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44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113</v>
      </c>
      <c r="F18" s="11">
        <f>SUMIFS(_stats[draws_on_date],_stats[player_id],_players[[#This Row],[player_id]])</f>
        <v>20</v>
      </c>
      <c r="G18" s="12">
        <f>SUMIFS(_stats[foul_on_date],_stats[player_id],_players[[#This Row],[player_id]])</f>
        <v>1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24</v>
      </c>
      <c r="D20" s="11">
        <f>SUMIFS(_stats[assists_on_date],_stats[player_id],_players[[#This Row],[player_id]])</f>
        <v>23</v>
      </c>
      <c r="E20" s="11">
        <f>SUMIFS(_stats[wins_on_date],_stats[player_id],_players[[#This Row],[player_id]])</f>
        <v>134</v>
      </c>
      <c r="F20" s="11">
        <f>SUMIFS(_stats[draws_on_date],_stats[player_id],_players[[#This Row],[player_id]])</f>
        <v>35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45</v>
      </c>
      <c r="D21" s="11">
        <f>SUMIFS(_stats[assists_on_date],_stats[player_id],_players[[#This Row],[player_id]])</f>
        <v>57</v>
      </c>
      <c r="E21" s="11">
        <f>SUMIFS(_stats[wins_on_date],_stats[player_id],_players[[#This Row],[player_id]])</f>
        <v>152</v>
      </c>
      <c r="F21" s="11">
        <f>SUMIFS(_stats[draws_on_date],_stats[player_id],_players[[#This Row],[player_id]])</f>
        <v>43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4</v>
      </c>
      <c r="D22" s="16">
        <f>SUMIFS(_stats[assists_on_date],_stats[player_id],_players[[#This Row],[player_id]])</f>
        <v>7</v>
      </c>
      <c r="E22" s="16">
        <f>SUMIFS(_stats[wins_on_date],_stats[player_id],_players[[#This Row],[player_id]])</f>
        <v>133</v>
      </c>
      <c r="F22" s="16">
        <f>SUMIFS(_stats[draws_on_date],_stats[player_id],_players[[#This Row],[player_id]])</f>
        <v>29</v>
      </c>
      <c r="G22" s="17">
        <f>SUMIFS(_stats[foul_on_date],_stats[player_id],_players[[#This Row],[player_id]])</f>
        <v>0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38</v>
      </c>
      <c r="D23" s="11">
        <f>SUMIFS(_stats[assists_on_date],_stats[player_id],_players[[#This Row],[player_id]])</f>
        <v>38</v>
      </c>
      <c r="E23" s="11">
        <f>SUMIFS(_stats[wins_on_date],_stats[player_id],_players[[#This Row],[player_id]])</f>
        <v>130</v>
      </c>
      <c r="F23" s="11">
        <f>SUMIFS(_stats[draws_on_date],_stats[player_id],_players[[#This Row],[player_id]])</f>
        <v>30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17</v>
      </c>
      <c r="D25" s="11">
        <f>SUMIFS(_stats[assists_on_date],_stats[player_id],_players[[#This Row],[player_id]])</f>
        <v>26</v>
      </c>
      <c r="E25" s="11">
        <f>SUMIFS(_stats[wins_on_date],_stats[player_id],_players[[#This Row],[player_id]])</f>
        <v>123</v>
      </c>
      <c r="F25" s="11">
        <f>SUMIFS(_stats[draws_on_date],_stats[player_id],_players[[#This Row],[player_id]])</f>
        <v>38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9</v>
      </c>
      <c r="E26" s="16">
        <f>SUMIFS(_stats[wins_on_date],_stats[player_id],_players[[#This Row],[player_id]])</f>
        <v>54</v>
      </c>
      <c r="F26" s="16">
        <f>SUMIFS(_stats[draws_on_date],_stats[player_id],_players[[#This Row],[player_id]])</f>
        <v>16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18</v>
      </c>
      <c r="D27" s="11">
        <f>SUMIFS(_stats[assists_on_date],_stats[player_id],_players[[#This Row],[player_id]])</f>
        <v>25</v>
      </c>
      <c r="E27" s="11">
        <f>SUMIFS(_stats[wins_on_date],_stats[player_id],_players[[#This Row],[player_id]])</f>
        <v>108</v>
      </c>
      <c r="F27" s="11">
        <f>SUMIFS(_stats[draws_on_date],_stats[player_id],_players[[#This Row],[player_id]])</f>
        <v>26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71</v>
      </c>
      <c r="F28" s="11">
        <f>SUMIFS(_stats[draws_on_date],_stats[player_id],_players[[#This Row],[player_id]])</f>
        <v>27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12</v>
      </c>
      <c r="D30" s="16">
        <f>SUMIFS(_stats[assists_on_date],_stats[player_id],_players[[#This Row],[player_id]])</f>
        <v>6</v>
      </c>
      <c r="E30" s="16">
        <f>SUMIFS(_stats[wins_on_date],_stats[player_id],_players[[#This Row],[player_id]])</f>
        <v>57</v>
      </c>
      <c r="F30" s="16">
        <f>SUMIFS(_stats[draws_on_date],_stats[player_id],_players[[#This Row],[player_id]])</f>
        <v>16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11</v>
      </c>
      <c r="E32" s="11">
        <f>SUMIFS(_stats[wins_on_date],_stats[player_id],_players[[#This Row],[player_id]])</f>
        <v>42</v>
      </c>
      <c r="F32" s="11">
        <f>SUMIFS(_stats[draws_on_date],_stats[player_id],_players[[#This Row],[player_id]])</f>
        <v>16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9</v>
      </c>
      <c r="D33" s="11">
        <f>SUMIFS(_stats[assists_on_date],_stats[player_id],_players[[#This Row],[player_id]])</f>
        <v>7</v>
      </c>
      <c r="E33" s="11">
        <f>SUMIFS(_stats[wins_on_date],_stats[player_id],_players[[#This Row],[player_id]])</f>
        <v>33</v>
      </c>
      <c r="F33" s="11">
        <f>SUMIFS(_stats[draws_on_date],_stats[player_id],_players[[#This Row],[player_id]])</f>
        <v>17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18</v>
      </c>
      <c r="D38" s="11">
        <f>SUMIFS(_stats[assists_on_date],_stats[player_id],_players[[#This Row],[player_id]])</f>
        <v>24</v>
      </c>
      <c r="E38" s="11">
        <f>SUMIFS(_stats[wins_on_date],_stats[player_id],_players[[#This Row],[player_id]])</f>
        <v>85</v>
      </c>
      <c r="F38" s="11">
        <f>SUMIFS(_stats[draws_on_date],_stats[player_id],_players[[#This Row],[player_id]])</f>
        <v>34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4</v>
      </c>
      <c r="E39" s="11">
        <f>SUMIFS(_stats[wins_on_date],_stats[player_id],_players[[#This Row],[player_id]])</f>
        <v>188</v>
      </c>
      <c r="F39" s="11">
        <f>SUMIFS(_stats[draws_on_date],_stats[player_id],_players[[#This Row],[player_id]])</f>
        <v>72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31</v>
      </c>
      <c r="D41" s="11">
        <f>SUMIFS(_stats[assists_on_date],_stats[player_id],_players[[#This Row],[player_id]])</f>
        <v>13</v>
      </c>
      <c r="E41" s="11">
        <f>SUMIFS(_stats[wins_on_date],_stats[player_id],_players[[#This Row],[player_id]])</f>
        <v>96</v>
      </c>
      <c r="F41" s="11">
        <f>SUMIFS(_stats[draws_on_date],_stats[player_id],_players[[#This Row],[player_id]])</f>
        <v>33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11</v>
      </c>
      <c r="D43" s="11">
        <f>SUMIFS(_stats[assists_on_date],_stats[player_id],_players[[#This Row],[player_id]])</f>
        <v>13</v>
      </c>
      <c r="E43" s="11">
        <f>SUMIFS(_stats[wins_on_date],_stats[player_id],_players[[#This Row],[player_id]])</f>
        <v>68</v>
      </c>
      <c r="F43" s="11">
        <f>SUMIFS(_stats[draws_on_date],_stats[player_id],_players[[#This Row],[player_id]])</f>
        <v>28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1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72</v>
      </c>
      <c r="F48" s="16">
        <f>SUMIFS(_stats[draws_on_date],_stats[player_id],_players[[#This Row],[player_id]])</f>
        <v>19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55</v>
      </c>
      <c r="F50" s="11">
        <f>SUMIFS(_stats[draws_on_date],_stats[player_id],_players[[#This Row],[player_id]])</f>
        <v>20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6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17</v>
      </c>
      <c r="F55" s="11">
        <f>SUMIFS(_stats[draws_on_date],_stats[player_id],_players[[#This Row],[player_id]])</f>
        <v>10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24</v>
      </c>
      <c r="D59" s="16">
        <f>SUMIFS(_stats[assists_on_date],_stats[player_id],_players[[#This Row],[player_id]])</f>
        <v>11</v>
      </c>
      <c r="E59" s="16">
        <f>SUMIFS(_stats[wins_on_date],_stats[player_id],_players[[#This Row],[player_id]])</f>
        <v>58</v>
      </c>
      <c r="F59" s="16">
        <f>SUMIFS(_stats[draws_on_date],_stats[player_id],_players[[#This Row],[player_id]])</f>
        <v>21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11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22</v>
      </c>
      <c r="F60" s="16">
        <f>SUMIFS(_stats[draws_on_date],_stats[player_id],_players[[#This Row],[player_id]])</f>
        <v>9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20</v>
      </c>
      <c r="D64" s="16">
        <f>SUMIFS(_stats[assists_on_date],_stats[player_id],_players[[#This Row],[player_id]])</f>
        <v>17</v>
      </c>
      <c r="E64" s="16">
        <f>SUMIFS(_stats[wins_on_date],_stats[player_id],_players[[#This Row],[player_id]])</f>
        <v>129</v>
      </c>
      <c r="F64" s="16">
        <f>SUMIFS(_stats[draws_on_date],_stats[player_id],_players[[#This Row],[player_id]])</f>
        <v>42</v>
      </c>
      <c r="G64" s="17">
        <f>SUMIFS(_stats[foul_on_date],_stats[player_id],_players[[#This Row],[player_id]])</f>
        <v>2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43</v>
      </c>
      <c r="D76" s="16">
        <f>SUMIFS(_stats[assists_on_date],_stats[player_id],_players[[#This Row],[player_id]])</f>
        <v>21</v>
      </c>
      <c r="E76" s="16">
        <f>SUMIFS(_stats[wins_on_date],_stats[player_id],_players[[#This Row],[player_id]])</f>
        <v>45</v>
      </c>
      <c r="F76" s="16">
        <f>SUMIFS(_stats[draws_on_date],_stats[player_id],_players[[#This Row],[player_id]])</f>
        <v>14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49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78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24</v>
      </c>
      <c r="D87" s="16">
        <f>SUMIFS(_stats[assists_on_date],_stats[player_id],_players[[#This Row],[player_id]])</f>
        <v>11</v>
      </c>
      <c r="E87" s="16">
        <f>SUMIFS(_stats[wins_on_date],_stats[player_id],_players[[#This Row],[player_id]])</f>
        <v>43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19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1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0</v>
      </c>
      <c r="D92" s="16">
        <f>SUMIFS(_stats[assists_on_date],_stats[player_id],_players[[#This Row],[player_id]])</f>
        <v>0</v>
      </c>
      <c r="E92" s="16">
        <f>SUMIFS(_stats[wins_on_date],_stats[player_id],_players[[#This Row],[player_id]])</f>
        <v>6</v>
      </c>
      <c r="F92" s="16">
        <f>SUMIFS(_stats[draws_on_date],_stats[player_id],_players[[#This Row],[player_id]])</f>
        <v>2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8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23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5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22</v>
      </c>
      <c r="F96" s="16">
        <f>SUMIFS(_stats[draws_on_date],_stats[player_id],_players[[#This Row],[player_id]])</f>
        <v>8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7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10</v>
      </c>
      <c r="F106" s="16">
        <f>SUMIFS(_stats[draws_on_date],_stats[player_id],_players[[#This Row],[player_id]])</f>
        <v>11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1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1</v>
      </c>
      <c r="F108" s="16">
        <f>SUMIFS(_stats[draws_on_date],_stats[player_id],_players[[#This Row],[player_id]])</f>
        <v>2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20</v>
      </c>
      <c r="D120" s="16">
        <f>SUMIFS(_stats[assists_on_date],_stats[player_id],_players[[#This Row],[player_id]])</f>
        <v>11</v>
      </c>
      <c r="E120" s="16">
        <f>SUMIFS(_stats[wins_on_date],_stats[player_id],_players[[#This Row],[player_id]])</f>
        <v>58</v>
      </c>
      <c r="F120" s="16">
        <f>SUMIFS(_stats[draws_on_date],_stats[player_id],_players[[#This Row],[player_id]])</f>
        <v>28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17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78</v>
      </c>
      <c r="F121" s="16">
        <f>SUMIFS(_stats[draws_on_date],_stats[player_id],_players[[#This Row],[player_id]])</f>
        <v>30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14</v>
      </c>
      <c r="D126" s="16">
        <f>SUMIFS(_stats[assists_on_date],_stats[player_id],_players[[#This Row],[player_id]])</f>
        <v>6</v>
      </c>
      <c r="E126" s="16">
        <f>SUMIFS(_stats[wins_on_date],_stats[player_id],_players[[#This Row],[player_id]])</f>
        <v>33</v>
      </c>
      <c r="F126" s="16">
        <f>SUMIFS(_stats[draws_on_date],_stats[player_id],_players[[#This Row],[player_id]])</f>
        <v>19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1</v>
      </c>
      <c r="D130" s="16">
        <f>SUMIFS(_stats[assists_on_date],_stats[player_id],_players[[#This Row],[player_id]])</f>
        <v>0</v>
      </c>
      <c r="E130" s="16">
        <f>SUMIFS(_stats[wins_on_date],_stats[player_id],_players[[#This Row],[player_id]])</f>
        <v>12</v>
      </c>
      <c r="F130" s="16">
        <f>SUMIFS(_stats[draws_on_date],_stats[player_id],_players[[#This Row],[player_id]])</f>
        <v>10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4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10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15</v>
      </c>
      <c r="F134" s="16">
        <f>SUMIFS(_stats[draws_on_date],_stats[player_id],_players[[#This Row],[player_id]])</f>
        <v>9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4</v>
      </c>
      <c r="D137" s="16">
        <f>SUMIFS(_stats[assists_on_date],_stats[player_id],_players[[#This Row],[player_id]])</f>
        <v>3</v>
      </c>
      <c r="E137" s="16">
        <f>SUMIFS(_stats[wins_on_date],_stats[player_id],_players[[#This Row],[player_id]])</f>
        <v>29</v>
      </c>
      <c r="F137" s="16">
        <f>SUMIFS(_stats[draws_on_date],_stats[player_id],_players[[#This Row],[player_id]])</f>
        <v>11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0</v>
      </c>
      <c r="D148" s="16">
        <f>SUMIFS(_stats[assists_on_date],_stats[player_id],_players[[#This Row],[player_id]])</f>
        <v>0</v>
      </c>
      <c r="E148" s="16">
        <f>SUMIFS(_stats[wins_on_date],_stats[player_id],_players[[#This Row],[player_id]])</f>
        <v>18</v>
      </c>
      <c r="F148" s="16">
        <f>SUMIFS(_stats[draws_on_date],_stats[player_id],_players[[#This Row],[player_id]])</f>
        <v>14</v>
      </c>
      <c r="G148" s="17">
        <f>SUMIFS(_stats[foul_on_date],_stats[player_id],_players[[#This Row],[player_id]])</f>
        <v>2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4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7</v>
      </c>
      <c r="F149" s="16">
        <f>SUMIFS(_stats[draws_on_date],_stats[player_id],_players[[#This Row],[player_id]])</f>
        <v>4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11</v>
      </c>
      <c r="D152" s="16">
        <f>SUMIFS(_stats[assists_on_date],_stats[player_id],_players[[#This Row],[player_id]])</f>
        <v>3</v>
      </c>
      <c r="E152" s="16">
        <f>SUMIFS(_stats[wins_on_date],_stats[player_id],_players[[#This Row],[player_id]])</f>
        <v>28</v>
      </c>
      <c r="F152" s="16">
        <f>SUMIFS(_stats[draws_on_date],_stats[player_id],_players[[#This Row],[player_id]])</f>
        <v>9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7</v>
      </c>
      <c r="F164" s="16">
        <f>SUMIFS(_stats[draws_on_date],_stats[player_id],_players[[#This Row],[player_id]])</f>
        <v>3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3</v>
      </c>
      <c r="D180" s="16">
        <f>SUMIFS(_stats[assists_on_date],_stats[player_id],_players[[#This Row],[player_id]])</f>
        <v>1</v>
      </c>
      <c r="E180" s="16">
        <f>SUMIFS(_stats[wins_on_date],_stats[player_id],_players[[#This Row],[player_id]])</f>
        <v>12</v>
      </c>
      <c r="F180" s="16">
        <f>SUMIFS(_stats[draws_on_date],_stats[player_id],_players[[#This Row],[player_id]])</f>
        <v>6</v>
      </c>
      <c r="G180" s="17">
        <f>SUMIFS(_stats[foul_on_date],_stats[player_id],_players[[#This Row],[player_id]])</f>
        <v>1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290</v>
      </c>
      <c r="B183" s="92" t="s">
        <v>290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  <row r="184" spans="1:7" x14ac:dyDescent="0.25">
      <c r="A184" s="103" t="s">
        <v>294</v>
      </c>
      <c r="B184" s="103" t="s">
        <v>294</v>
      </c>
      <c r="C184" s="73">
        <f>SUMIFS(_stats[goals_on_date],_stats[player_id],_players[[#This Row],[player_id]])</f>
        <v>0</v>
      </c>
      <c r="D184" s="73">
        <f>SUMIFS(_stats[assists_on_date],_stats[player_id],_players[[#This Row],[player_id]])</f>
        <v>1</v>
      </c>
      <c r="E184" s="73">
        <f>SUMIFS(_stats[wins_on_date],_stats[player_id],_players[[#This Row],[player_id]])</f>
        <v>4</v>
      </c>
      <c r="F184" s="73">
        <f>SUMIFS(_stats[draws_on_date],_stats[player_id],_players[[#This Row],[player_id]])</f>
        <v>0</v>
      </c>
      <c r="G184" s="93">
        <f>SUMIFS(_stats[foul_on_date],_stats[player_id],_players[[#This Row],[player_id]])</f>
        <v>0</v>
      </c>
    </row>
    <row r="185" spans="1:7" x14ac:dyDescent="0.25">
      <c r="A185" s="103" t="s">
        <v>295</v>
      </c>
      <c r="B185" s="103" t="s">
        <v>295</v>
      </c>
      <c r="C185" s="73">
        <f>SUMIFS(_stats[goals_on_date],_stats[player_id],_players[[#This Row],[player_id]])</f>
        <v>0</v>
      </c>
      <c r="D185" s="73">
        <f>SUMIFS(_stats[assists_on_date],_stats[player_id],_players[[#This Row],[player_id]])</f>
        <v>0</v>
      </c>
      <c r="E185" s="73">
        <f>SUMIFS(_stats[wins_on_date],_stats[player_id],_players[[#This Row],[player_id]])</f>
        <v>4</v>
      </c>
      <c r="F185" s="73">
        <f>SUMIFS(_stats[draws_on_date],_stats[player_id],_players[[#This Row],[player_id]])</f>
        <v>2</v>
      </c>
      <c r="G185" s="93">
        <f>SUMIFS(_stats[foul_on_date],_stats[player_id],_players[[#This Row],[player_id]])</f>
        <v>0</v>
      </c>
    </row>
    <row r="186" spans="1:7" x14ac:dyDescent="0.25">
      <c r="A186" s="103" t="s">
        <v>296</v>
      </c>
      <c r="B186" s="103" t="s">
        <v>296</v>
      </c>
      <c r="C186" s="73">
        <f>SUMIFS(_stats[goals_on_date],_stats[player_id],_players[[#This Row],[player_id]])</f>
        <v>0</v>
      </c>
      <c r="D186" s="73">
        <f>SUMIFS(_stats[assists_on_date],_stats[player_id],_players[[#This Row],[player_id]])</f>
        <v>0</v>
      </c>
      <c r="E186" s="73">
        <f>SUMIFS(_stats[wins_on_date],_stats[player_id],_players[[#This Row],[player_id]])</f>
        <v>5</v>
      </c>
      <c r="F186" s="73">
        <f>SUMIFS(_stats[draws_on_date],_stats[player_id],_players[[#This Row],[player_id]])</f>
        <v>3</v>
      </c>
      <c r="G186" s="93">
        <f>SUMIFS(_stats[foul_on_date],_stats[player_id],_players[[#This Row],[player_id]])</f>
        <v>0</v>
      </c>
    </row>
    <row r="187" spans="1:7" x14ac:dyDescent="0.25">
      <c r="A187" s="103" t="s">
        <v>297</v>
      </c>
      <c r="B187" s="103" t="s">
        <v>297</v>
      </c>
      <c r="C187" s="73">
        <f>SUMIFS(_stats[goals_on_date],_stats[player_id],_players[[#This Row],[player_id]])</f>
        <v>3</v>
      </c>
      <c r="D187" s="73">
        <f>SUMIFS(_stats[assists_on_date],_stats[player_id],_players[[#This Row],[player_id]])</f>
        <v>0</v>
      </c>
      <c r="E187" s="73">
        <f>SUMIFS(_stats[wins_on_date],_stats[player_id],_players[[#This Row],[player_id]])</f>
        <v>3</v>
      </c>
      <c r="F187" s="73">
        <f>SUMIFS(_stats[draws_on_date],_stats[player_id],_players[[#This Row],[player_id]])</f>
        <v>1</v>
      </c>
      <c r="G187" s="93">
        <f>SUMIFS(_stats[foul_on_date],_stats[player_id],_players[[#This Row],[player_id]])</f>
        <v>0</v>
      </c>
    </row>
    <row r="188" spans="1:7" x14ac:dyDescent="0.25">
      <c r="A188" s="111" t="s">
        <v>308</v>
      </c>
      <c r="B188" s="111" t="s">
        <v>308</v>
      </c>
      <c r="C188" s="73">
        <f>SUMIFS(_stats[goals_on_date],_stats[player_id],_players[[#This Row],[player_id]])</f>
        <v>2</v>
      </c>
      <c r="D188" s="73">
        <f>SUMIFS(_stats[assists_on_date],_stats[player_id],_players[[#This Row],[player_id]])</f>
        <v>0</v>
      </c>
      <c r="E188" s="73">
        <f>SUMIFS(_stats[wins_on_date],_stats[player_id],_players[[#This Row],[player_id]])</f>
        <v>2</v>
      </c>
      <c r="F188" s="73">
        <f>SUMIFS(_stats[draws_on_date],_stats[player_id],_players[[#This Row],[player_id]])</f>
        <v>2</v>
      </c>
      <c r="G188" s="93">
        <f>SUMIFS(_stats[foul_on_date],_stats[player_id],_players[[#This Row],[player_id]])</f>
        <v>0</v>
      </c>
    </row>
    <row r="189" spans="1:7" x14ac:dyDescent="0.25">
      <c r="A189" s="111" t="s">
        <v>309</v>
      </c>
      <c r="B189" s="112" t="s">
        <v>309</v>
      </c>
      <c r="C189" s="73">
        <f>SUMIFS(_stats[goals_on_date],_stats[player_id],_players[[#This Row],[player_id]])</f>
        <v>0</v>
      </c>
      <c r="D189" s="73">
        <f>SUMIFS(_stats[assists_on_date],_stats[player_id],_players[[#This Row],[player_id]])</f>
        <v>1</v>
      </c>
      <c r="E189" s="73">
        <f>SUMIFS(_stats[wins_on_date],_stats[player_id],_players[[#This Row],[player_id]])</f>
        <v>5</v>
      </c>
      <c r="F189" s="73">
        <f>SUMIFS(_stats[draws_on_date],_stats[player_id],_players[[#This Row],[player_id]])</f>
        <v>2</v>
      </c>
      <c r="G189" s="93">
        <f>SUMIFS(_stats[foul_on_date],_stats[player_id],_players[[#This Row],[player_id]])</f>
        <v>0</v>
      </c>
    </row>
    <row r="190" spans="1:7" x14ac:dyDescent="0.25">
      <c r="A190" s="111" t="s">
        <v>310</v>
      </c>
      <c r="B190" s="111" t="s">
        <v>310</v>
      </c>
      <c r="C190" s="73">
        <f>SUMIFS(_stats[goals_on_date],_stats[player_id],_players[[#This Row],[player_id]])</f>
        <v>0</v>
      </c>
      <c r="D190" s="73">
        <f>SUMIFS(_stats[assists_on_date],_stats[player_id],_players[[#This Row],[player_id]])</f>
        <v>1</v>
      </c>
      <c r="E190" s="73">
        <f>SUMIFS(_stats[wins_on_date],_stats[player_id],_players[[#This Row],[player_id]])</f>
        <v>2</v>
      </c>
      <c r="F190" s="73">
        <f>SUMIFS(_stats[draws_on_date],_stats[player_id],_players[[#This Row],[player_id]])</f>
        <v>2</v>
      </c>
      <c r="G190" s="93">
        <f>SUMIFS(_stats[foul_on_date],_stats[player_id],_players[[#This Row],[player_id]])</f>
        <v>0</v>
      </c>
    </row>
    <row r="191" spans="1:7" x14ac:dyDescent="0.25">
      <c r="A191" s="111" t="s">
        <v>312</v>
      </c>
      <c r="B191" s="112" t="s">
        <v>312</v>
      </c>
      <c r="C191" s="73">
        <f>SUMIFS(_stats[goals_on_date],_stats[player_id],_players[[#This Row],[player_id]])</f>
        <v>0</v>
      </c>
      <c r="D191" s="73">
        <f>SUMIFS(_stats[assists_on_date],_stats[player_id],_players[[#This Row],[player_id]])</f>
        <v>0</v>
      </c>
      <c r="E191" s="73">
        <f>SUMIFS(_stats[wins_on_date],_stats[player_id],_players[[#This Row],[player_id]])</f>
        <v>2</v>
      </c>
      <c r="F191" s="73">
        <f>SUMIFS(_stats[draws_on_date],_stats[player_id],_players[[#This Row],[player_id]])</f>
        <v>2</v>
      </c>
      <c r="G191" s="93">
        <f>SUMIFS(_stats[foul_on_date],_stats[player_id],_players[[#This Row],[player_id]])</f>
        <v>0</v>
      </c>
    </row>
    <row r="192" spans="1:7" x14ac:dyDescent="0.25">
      <c r="A192" s="111" t="s">
        <v>313</v>
      </c>
      <c r="B192" s="112" t="s">
        <v>313</v>
      </c>
      <c r="C192" s="73">
        <f>SUMIFS(_stats[goals_on_date],_stats[player_id],_players[[#This Row],[player_id]])</f>
        <v>0</v>
      </c>
      <c r="D192" s="73">
        <f>SUMIFS(_stats[assists_on_date],_stats[player_id],_players[[#This Row],[player_id]])</f>
        <v>0</v>
      </c>
      <c r="E192" s="73">
        <f>SUMIFS(_stats[wins_on_date],_stats[player_id],_players[[#This Row],[player_id]])</f>
        <v>0</v>
      </c>
      <c r="F192" s="73">
        <f>SUMIFS(_stats[draws_on_date],_stats[player_id],_players[[#This Row],[player_id]])</f>
        <v>3</v>
      </c>
      <c r="G192" s="93">
        <f>SUMIFS(_stats[foul_on_date],_stats[player_id],_players[[#This Row],[player_id]])</f>
        <v>0</v>
      </c>
    </row>
    <row r="193" spans="1:7" x14ac:dyDescent="0.25">
      <c r="A193" s="111" t="s">
        <v>314</v>
      </c>
      <c r="B193" s="112" t="s">
        <v>314</v>
      </c>
      <c r="C193" s="73">
        <f>SUMIFS(_stats[goals_on_date],_stats[player_id],_players[[#This Row],[player_id]])</f>
        <v>0</v>
      </c>
      <c r="D193" s="73">
        <f>SUMIFS(_stats[assists_on_date],_stats[player_id],_players[[#This Row],[player_id]])</f>
        <v>0</v>
      </c>
      <c r="E193" s="73">
        <f>SUMIFS(_stats[wins_on_date],_stats[player_id],_players[[#This Row],[player_id]])</f>
        <v>0</v>
      </c>
      <c r="F193" s="73">
        <f>SUMIFS(_stats[draws_on_date],_stats[player_id],_players[[#This Row],[player_id]])</f>
        <v>3</v>
      </c>
      <c r="G193" s="93">
        <f>SUMIFS(_stats[foul_on_date],_stats[player_id],_players[[#This Row],[player_id]])</f>
        <v>0</v>
      </c>
    </row>
    <row r="194" spans="1:7" x14ac:dyDescent="0.25">
      <c r="A194" s="111" t="s">
        <v>315</v>
      </c>
      <c r="B194" s="112" t="s">
        <v>315</v>
      </c>
      <c r="C194" s="73">
        <f>SUMIFS(_stats[goals_on_date],_stats[player_id],_players[[#This Row],[player_id]])</f>
        <v>0</v>
      </c>
      <c r="D194" s="73">
        <f>SUMIFS(_stats[assists_on_date],_stats[player_id],_players[[#This Row],[player_id]])</f>
        <v>0</v>
      </c>
      <c r="E194" s="73">
        <f>SUMIFS(_stats[wins_on_date],_stats[player_id],_players[[#This Row],[player_id]])</f>
        <v>0</v>
      </c>
      <c r="F194" s="73">
        <f>SUMIFS(_stats[draws_on_date],_stats[player_id],_players[[#This Row],[player_id]])</f>
        <v>3</v>
      </c>
      <c r="G194" s="93">
        <f>SUMIFS(_stats[foul_on_date],_stats[player_id],_players[[#This Row],[player_id]])</f>
        <v>0</v>
      </c>
    </row>
    <row r="195" spans="1:7" x14ac:dyDescent="0.25">
      <c r="A195" s="111" t="s">
        <v>316</v>
      </c>
      <c r="B195" s="112" t="s">
        <v>316</v>
      </c>
      <c r="C195" s="73">
        <f>SUMIFS(_stats[goals_on_date],_stats[player_id],_players[[#This Row],[player_id]])</f>
        <v>0</v>
      </c>
      <c r="D195" s="73">
        <f>SUMIFS(_stats[assists_on_date],_stats[player_id],_players[[#This Row],[player_id]])</f>
        <v>0</v>
      </c>
      <c r="E195" s="73">
        <f>SUMIFS(_stats[wins_on_date],_stats[player_id],_players[[#This Row],[player_id]])</f>
        <v>2</v>
      </c>
      <c r="F195" s="73">
        <f>SUMIFS(_stats[draws_on_date],_stats[player_id],_players[[#This Row],[player_id]])</f>
        <v>2</v>
      </c>
      <c r="G195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633"/>
  <sheetViews>
    <sheetView topLeftCell="A1594" workbookViewId="0">
      <selection activeCell="A1633" sqref="A1633"/>
    </sheetView>
  </sheetViews>
  <sheetFormatPr defaultRowHeight="15" x14ac:dyDescent="0.25"/>
  <cols>
    <col min="1" max="1" width="10.140625" bestFit="1" customWidth="1"/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290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  <row r="1551" spans="1:15" x14ac:dyDescent="0.25">
      <c r="A1551" s="6">
        <v>46229</v>
      </c>
      <c r="B1551" s="72">
        <v>4</v>
      </c>
      <c r="C1551" s="104" t="s">
        <v>27</v>
      </c>
      <c r="D1551" s="10" t="str">
        <f>IFERROR(VLOOKUP(_stats[[#This Row],[player_id]],_players[[player_id]:[player_name]],2,0),"")</f>
        <v>Толя Шлаев</v>
      </c>
      <c r="E1551" s="72">
        <v>0</v>
      </c>
      <c r="F1551" s="102">
        <v>0</v>
      </c>
      <c r="G1551" s="10">
        <f>SUMIFS(_teams[wins_on_date],_teams[date],_stats[[#This Row],[date]],_teams[team_number],_stats[[#This Row],[team_number]])</f>
        <v>4</v>
      </c>
      <c r="H1551" s="10">
        <f>SUMIFS(_teams[draws_on_date],_teams[date],_stats[[#This Row],[date]],_teams[team_number],_stats[[#This Row],[team_number]])</f>
        <v>0</v>
      </c>
      <c r="I1551" s="72">
        <v>0</v>
      </c>
      <c r="J1551" s="72">
        <v>0</v>
      </c>
      <c r="K1551" s="72">
        <v>7</v>
      </c>
      <c r="L1551" s="53" t="str">
        <f>VLOOKUP(_stats[[#This Row],[tournament]],tournaments_n_rules[],2,0)</f>
        <v>УПК</v>
      </c>
      <c r="M1551" s="53" t="str">
        <f>VLOOKUP(_stats[[#This Row],[tournament]],tournaments_n_rules[],3,0)</f>
        <v>Лето 2026</v>
      </c>
      <c r="N1551" s="54">
        <f>VLOOKUP(_stats[[#This Row],[tournament]],tournaments_n_rules[],4,0)</f>
        <v>46194</v>
      </c>
      <c r="O1551" s="54">
        <f>VLOOKUP(_stats[[#This Row],[tournament]],tournaments_n_rules[],5,0)</f>
        <v>46265</v>
      </c>
    </row>
    <row r="1552" spans="1:15" x14ac:dyDescent="0.25">
      <c r="A1552" s="6">
        <v>46229</v>
      </c>
      <c r="B1552" s="72">
        <v>3</v>
      </c>
      <c r="C1552" s="104" t="s">
        <v>157</v>
      </c>
      <c r="D1552" s="10" t="str">
        <f>IFERROR(VLOOKUP(_stats[[#This Row],[player_id]],_players[[player_id]:[player_name]],2,0),"")</f>
        <v>Никита (Сурэн+1)</v>
      </c>
      <c r="E1552" s="72">
        <v>1</v>
      </c>
      <c r="F1552" s="102">
        <v>0</v>
      </c>
      <c r="G1552" s="10">
        <f>SUMIFS(_teams[wins_on_date],_teams[date],_stats[[#This Row],[date]],_teams[team_number],_stats[[#This Row],[team_number]])</f>
        <v>3</v>
      </c>
      <c r="H1552" s="10">
        <f>SUMIFS(_teams[draws_on_date],_teams[date],_stats[[#This Row],[date]],_teams[team_number],_stats[[#This Row],[team_number]])</f>
        <v>1</v>
      </c>
      <c r="I1552" s="72">
        <v>0</v>
      </c>
      <c r="J1552" s="72">
        <v>0</v>
      </c>
      <c r="K1552" s="72">
        <v>7</v>
      </c>
      <c r="L1552" s="53" t="str">
        <f>VLOOKUP(_stats[[#This Row],[tournament]],tournaments_n_rules[],2,0)</f>
        <v>УПК</v>
      </c>
      <c r="M1552" s="53" t="str">
        <f>VLOOKUP(_stats[[#This Row],[tournament]],tournaments_n_rules[],3,0)</f>
        <v>Лето 2026</v>
      </c>
      <c r="N1552" s="54">
        <f>VLOOKUP(_stats[[#This Row],[tournament]],tournaments_n_rules[],4,0)</f>
        <v>46194</v>
      </c>
      <c r="O1552" s="54">
        <f>VLOOKUP(_stats[[#This Row],[tournament]],tournaments_n_rules[],5,0)</f>
        <v>46265</v>
      </c>
    </row>
    <row r="1553" spans="1:15" x14ac:dyDescent="0.25">
      <c r="A1553" s="6">
        <v>46229</v>
      </c>
      <c r="B1553" s="72">
        <v>2</v>
      </c>
      <c r="C1553" s="104" t="s">
        <v>25</v>
      </c>
      <c r="D1553" s="10" t="str">
        <f>IFERROR(VLOOKUP(_stats[[#This Row],[player_id]],_players[[player_id]:[player_name]],2,0),"")</f>
        <v>Атай</v>
      </c>
      <c r="E1553" s="72">
        <v>1</v>
      </c>
      <c r="F1553" s="102">
        <v>1</v>
      </c>
      <c r="G1553" s="10">
        <f>SUMIFS(_teams[wins_on_date],_teams[date],_stats[[#This Row],[date]],_teams[team_number],_stats[[#This Row],[team_number]])</f>
        <v>2</v>
      </c>
      <c r="H1553" s="10">
        <f>SUMIFS(_teams[draws_on_date],_teams[date],_stats[[#This Row],[date]],_teams[team_number],_stats[[#This Row],[team_number]])</f>
        <v>0</v>
      </c>
      <c r="I1553" s="72">
        <v>0</v>
      </c>
      <c r="J1553" s="72">
        <v>0</v>
      </c>
      <c r="K1553" s="72">
        <v>7</v>
      </c>
      <c r="L1553" s="53" t="str">
        <f>VLOOKUP(_stats[[#This Row],[tournament]],tournaments_n_rules[],2,0)</f>
        <v>УПК</v>
      </c>
      <c r="M1553" s="53" t="str">
        <f>VLOOKUP(_stats[[#This Row],[tournament]],tournaments_n_rules[],3,0)</f>
        <v>Лето 2026</v>
      </c>
      <c r="N1553" s="54">
        <f>VLOOKUP(_stats[[#This Row],[tournament]],tournaments_n_rules[],4,0)</f>
        <v>46194</v>
      </c>
      <c r="O1553" s="54">
        <f>VLOOKUP(_stats[[#This Row],[tournament]],tournaments_n_rules[],5,0)</f>
        <v>46265</v>
      </c>
    </row>
    <row r="1554" spans="1:15" x14ac:dyDescent="0.25">
      <c r="A1554" s="6">
        <v>46229</v>
      </c>
      <c r="B1554" s="72">
        <v>2</v>
      </c>
      <c r="C1554" s="104" t="s">
        <v>84</v>
      </c>
      <c r="D1554" s="10" t="str">
        <f>IFERROR(VLOOKUP(_stats[[#This Row],[player_id]],_players[[player_id]:[player_name]],2,0),"")</f>
        <v>Антон Копач</v>
      </c>
      <c r="E1554" s="72">
        <v>1</v>
      </c>
      <c r="F1554" s="102">
        <v>0</v>
      </c>
      <c r="G1554" s="10">
        <f>SUMIFS(_teams[wins_on_date],_teams[date],_stats[[#This Row],[date]],_teams[team_number],_stats[[#This Row],[team_number]])</f>
        <v>2</v>
      </c>
      <c r="H1554" s="10">
        <f>SUMIFS(_teams[draws_on_date],_teams[date],_stats[[#This Row],[date]],_teams[team_number],_stats[[#This Row],[team_number]])</f>
        <v>0</v>
      </c>
      <c r="I1554" s="72">
        <v>0</v>
      </c>
      <c r="J1554" s="72">
        <v>0</v>
      </c>
      <c r="K1554" s="72">
        <v>7</v>
      </c>
      <c r="L1554" s="53" t="str">
        <f>VLOOKUP(_stats[[#This Row],[tournament]],tournaments_n_rules[],2,0)</f>
        <v>УПК</v>
      </c>
      <c r="M1554" s="53" t="str">
        <f>VLOOKUP(_stats[[#This Row],[tournament]],tournaments_n_rules[],3,0)</f>
        <v>Лето 2026</v>
      </c>
      <c r="N1554" s="54">
        <f>VLOOKUP(_stats[[#This Row],[tournament]],tournaments_n_rules[],4,0)</f>
        <v>46194</v>
      </c>
      <c r="O1554" s="54">
        <f>VLOOKUP(_stats[[#This Row],[tournament]],tournaments_n_rules[],5,0)</f>
        <v>46265</v>
      </c>
    </row>
    <row r="1555" spans="1:15" x14ac:dyDescent="0.25">
      <c r="A1555" s="6">
        <v>46229</v>
      </c>
      <c r="B1555" s="72">
        <v>3</v>
      </c>
      <c r="C1555" s="104" t="s">
        <v>185</v>
      </c>
      <c r="D1555" s="10" t="str">
        <f>IFERROR(VLOOKUP(_stats[[#This Row],[player_id]],_players[[player_id]:[player_name]],2,0),"")</f>
        <v>Саша (Коля +1)</v>
      </c>
      <c r="E1555" s="72">
        <v>1</v>
      </c>
      <c r="F1555" s="102">
        <v>1</v>
      </c>
      <c r="G1555" s="10">
        <f>SUMIFS(_teams[wins_on_date],_teams[date],_stats[[#This Row],[date]],_teams[team_number],_stats[[#This Row],[team_number]])</f>
        <v>3</v>
      </c>
      <c r="H1555" s="10">
        <f>SUMIFS(_teams[draws_on_date],_teams[date],_stats[[#This Row],[date]],_teams[team_number],_stats[[#This Row],[team_number]])</f>
        <v>1</v>
      </c>
      <c r="I1555" s="72">
        <v>0</v>
      </c>
      <c r="J1555" s="72">
        <v>1</v>
      </c>
      <c r="K1555" s="72">
        <v>7</v>
      </c>
      <c r="L1555" s="53" t="str">
        <f>VLOOKUP(_stats[[#This Row],[tournament]],tournaments_n_rules[],2,0)</f>
        <v>УПК</v>
      </c>
      <c r="M1555" s="53" t="str">
        <f>VLOOKUP(_stats[[#This Row],[tournament]],tournaments_n_rules[],3,0)</f>
        <v>Лето 2026</v>
      </c>
      <c r="N1555" s="54">
        <f>VLOOKUP(_stats[[#This Row],[tournament]],tournaments_n_rules[],4,0)</f>
        <v>46194</v>
      </c>
      <c r="O1555" s="54">
        <f>VLOOKUP(_stats[[#This Row],[tournament]],tournaments_n_rules[],5,0)</f>
        <v>46265</v>
      </c>
    </row>
    <row r="1556" spans="1:15" x14ac:dyDescent="0.25">
      <c r="A1556" s="6">
        <v>46229</v>
      </c>
      <c r="B1556" s="72">
        <v>4</v>
      </c>
      <c r="C1556" s="104" t="s">
        <v>13</v>
      </c>
      <c r="D1556" s="10" t="str">
        <f>IFERROR(VLOOKUP(_stats[[#This Row],[player_id]],_players[[player_id]:[player_name]],2,0),"")</f>
        <v>Нурик</v>
      </c>
      <c r="E1556" s="72">
        <v>4</v>
      </c>
      <c r="F1556" s="102">
        <v>0</v>
      </c>
      <c r="G1556" s="10">
        <f>SUMIFS(_teams[wins_on_date],_teams[date],_stats[[#This Row],[date]],_teams[team_number],_stats[[#This Row],[team_number]])</f>
        <v>4</v>
      </c>
      <c r="H1556" s="10">
        <f>SUMIFS(_teams[draws_on_date],_teams[date],_stats[[#This Row],[date]],_teams[team_number],_stats[[#This Row],[team_number]])</f>
        <v>0</v>
      </c>
      <c r="I1556" s="72">
        <v>0</v>
      </c>
      <c r="J1556" s="72">
        <v>0</v>
      </c>
      <c r="K1556" s="72">
        <v>7</v>
      </c>
      <c r="L1556" s="53" t="str">
        <f>VLOOKUP(_stats[[#This Row],[tournament]],tournaments_n_rules[],2,0)</f>
        <v>УПК</v>
      </c>
      <c r="M1556" s="53" t="str">
        <f>VLOOKUP(_stats[[#This Row],[tournament]],tournaments_n_rules[],3,0)</f>
        <v>Лето 2026</v>
      </c>
      <c r="N1556" s="54">
        <f>VLOOKUP(_stats[[#This Row],[tournament]],tournaments_n_rules[],4,0)</f>
        <v>46194</v>
      </c>
      <c r="O1556" s="54">
        <f>VLOOKUP(_stats[[#This Row],[tournament]],tournaments_n_rules[],5,0)</f>
        <v>46265</v>
      </c>
    </row>
    <row r="1557" spans="1:15" x14ac:dyDescent="0.25">
      <c r="A1557" s="6">
        <v>46229</v>
      </c>
      <c r="B1557" s="72">
        <v>1</v>
      </c>
      <c r="C1557" s="104" t="s">
        <v>55</v>
      </c>
      <c r="D1557" s="10" t="str">
        <f>IFERROR(VLOOKUP(_stats[[#This Row],[player_id]],_players[[player_id]:[player_name]],2,0),"")</f>
        <v>Кирилл (АК+1)</v>
      </c>
      <c r="E1557" s="72">
        <v>0</v>
      </c>
      <c r="F1557" s="102">
        <v>0</v>
      </c>
      <c r="G1557" s="10">
        <f>SUMIFS(_teams[wins_on_date],_teams[date],_stats[[#This Row],[date]],_teams[team_number],_stats[[#This Row],[team_number]])</f>
        <v>3</v>
      </c>
      <c r="H1557" s="10">
        <f>SUMIFS(_teams[draws_on_date],_teams[date],_stats[[#This Row],[date]],_teams[team_number],_stats[[#This Row],[team_number]])</f>
        <v>1</v>
      </c>
      <c r="I1557" s="72">
        <v>0</v>
      </c>
      <c r="J1557" s="72">
        <v>0</v>
      </c>
      <c r="K1557" s="72">
        <v>7</v>
      </c>
      <c r="L1557" s="53" t="str">
        <f>VLOOKUP(_stats[[#This Row],[tournament]],tournaments_n_rules[],2,0)</f>
        <v>УПК</v>
      </c>
      <c r="M1557" s="53" t="str">
        <f>VLOOKUP(_stats[[#This Row],[tournament]],tournaments_n_rules[],3,0)</f>
        <v>Лето 2026</v>
      </c>
      <c r="N1557" s="54">
        <f>VLOOKUP(_stats[[#This Row],[tournament]],tournaments_n_rules[],4,0)</f>
        <v>46194</v>
      </c>
      <c r="O1557" s="54">
        <f>VLOOKUP(_stats[[#This Row],[tournament]],tournaments_n_rules[],5,0)</f>
        <v>46265</v>
      </c>
    </row>
    <row r="1558" spans="1:15" x14ac:dyDescent="0.25">
      <c r="A1558" s="6">
        <v>46229</v>
      </c>
      <c r="B1558" s="72">
        <v>2</v>
      </c>
      <c r="C1558" s="104" t="s">
        <v>32</v>
      </c>
      <c r="D1558" s="10" t="str">
        <f>IFERROR(VLOOKUP(_stats[[#This Row],[player_id]],_players[[player_id]:[player_name]],2,0),"")</f>
        <v>Миша</v>
      </c>
      <c r="E1558" s="72">
        <v>0</v>
      </c>
      <c r="F1558" s="102">
        <v>0</v>
      </c>
      <c r="G1558" s="10">
        <f>SUMIFS(_teams[wins_on_date],_teams[date],_stats[[#This Row],[date]],_teams[team_number],_stats[[#This Row],[team_number]])</f>
        <v>2</v>
      </c>
      <c r="H1558" s="10">
        <f>SUMIFS(_teams[draws_on_date],_teams[date],_stats[[#This Row],[date]],_teams[team_number],_stats[[#This Row],[team_number]])</f>
        <v>0</v>
      </c>
      <c r="I1558" s="72">
        <v>0</v>
      </c>
      <c r="J1558" s="72">
        <v>0</v>
      </c>
      <c r="K1558" s="72">
        <v>7</v>
      </c>
      <c r="L1558" s="53" t="str">
        <f>VLOOKUP(_stats[[#This Row],[tournament]],tournaments_n_rules[],2,0)</f>
        <v>УПК</v>
      </c>
      <c r="M1558" s="53" t="str">
        <f>VLOOKUP(_stats[[#This Row],[tournament]],tournaments_n_rules[],3,0)</f>
        <v>Лето 2026</v>
      </c>
      <c r="N1558" s="54">
        <f>VLOOKUP(_stats[[#This Row],[tournament]],tournaments_n_rules[],4,0)</f>
        <v>46194</v>
      </c>
      <c r="O1558" s="54">
        <f>VLOOKUP(_stats[[#This Row],[tournament]],tournaments_n_rules[],5,0)</f>
        <v>46265</v>
      </c>
    </row>
    <row r="1559" spans="1:15" x14ac:dyDescent="0.25">
      <c r="A1559" s="6">
        <v>46229</v>
      </c>
      <c r="B1559" s="72">
        <v>1</v>
      </c>
      <c r="C1559" s="104" t="s">
        <v>17</v>
      </c>
      <c r="D1559" s="10" t="str">
        <f>IFERROR(VLOOKUP(_stats[[#This Row],[player_id]],_players[[player_id]:[player_name]],2,0),"")</f>
        <v>Юра Пименов</v>
      </c>
      <c r="E1559" s="72">
        <v>0</v>
      </c>
      <c r="F1559" s="102">
        <v>3</v>
      </c>
      <c r="G1559" s="10">
        <f>SUMIFS(_teams[wins_on_date],_teams[date],_stats[[#This Row],[date]],_teams[team_number],_stats[[#This Row],[team_number]])</f>
        <v>3</v>
      </c>
      <c r="H1559" s="10">
        <f>SUMIFS(_teams[draws_on_date],_teams[date],_stats[[#This Row],[date]],_teams[team_number],_stats[[#This Row],[team_number]])</f>
        <v>1</v>
      </c>
      <c r="I1559" s="72">
        <v>0</v>
      </c>
      <c r="J1559" s="72">
        <v>0</v>
      </c>
      <c r="K1559" s="72">
        <v>7</v>
      </c>
      <c r="L1559" s="53" t="str">
        <f>VLOOKUP(_stats[[#This Row],[tournament]],tournaments_n_rules[],2,0)</f>
        <v>УПК</v>
      </c>
      <c r="M1559" s="53" t="str">
        <f>VLOOKUP(_stats[[#This Row],[tournament]],tournaments_n_rules[],3,0)</f>
        <v>Лето 2026</v>
      </c>
      <c r="N1559" s="54">
        <f>VLOOKUP(_stats[[#This Row],[tournament]],tournaments_n_rules[],4,0)</f>
        <v>46194</v>
      </c>
      <c r="O1559" s="54">
        <f>VLOOKUP(_stats[[#This Row],[tournament]],tournaments_n_rules[],5,0)</f>
        <v>46265</v>
      </c>
    </row>
    <row r="1560" spans="1:15" x14ac:dyDescent="0.25">
      <c r="A1560" s="6">
        <v>46229</v>
      </c>
      <c r="B1560" s="72">
        <v>1</v>
      </c>
      <c r="C1560" s="104" t="s">
        <v>125</v>
      </c>
      <c r="D1560" s="10" t="str">
        <f>IFERROR(VLOOKUP(_stats[[#This Row],[player_id]],_players[[player_id]:[player_name]],2,0),"")</f>
        <v>Арги</v>
      </c>
      <c r="E1560" s="72">
        <v>2</v>
      </c>
      <c r="F1560" s="102">
        <v>0</v>
      </c>
      <c r="G1560" s="10">
        <f>SUMIFS(_teams[wins_on_date],_teams[date],_stats[[#This Row],[date]],_teams[team_number],_stats[[#This Row],[team_number]])</f>
        <v>3</v>
      </c>
      <c r="H1560" s="10">
        <f>SUMIFS(_teams[draws_on_date],_teams[date],_stats[[#This Row],[date]],_teams[team_number],_stats[[#This Row],[team_number]])</f>
        <v>1</v>
      </c>
      <c r="I1560" s="72">
        <v>0</v>
      </c>
      <c r="J1560" s="72">
        <v>0</v>
      </c>
      <c r="K1560" s="72">
        <v>7</v>
      </c>
      <c r="L1560" s="53" t="str">
        <f>VLOOKUP(_stats[[#This Row],[tournament]],tournaments_n_rules[],2,0)</f>
        <v>УПК</v>
      </c>
      <c r="M1560" s="53" t="str">
        <f>VLOOKUP(_stats[[#This Row],[tournament]],tournaments_n_rules[],3,0)</f>
        <v>Лето 2026</v>
      </c>
      <c r="N1560" s="54">
        <f>VLOOKUP(_stats[[#This Row],[tournament]],tournaments_n_rules[],4,0)</f>
        <v>46194</v>
      </c>
      <c r="O1560" s="54">
        <f>VLOOKUP(_stats[[#This Row],[tournament]],tournaments_n_rules[],5,0)</f>
        <v>46265</v>
      </c>
    </row>
    <row r="1561" spans="1:15" x14ac:dyDescent="0.25">
      <c r="A1561" s="6">
        <v>46229</v>
      </c>
      <c r="B1561" s="72">
        <v>4</v>
      </c>
      <c r="C1561" s="104" t="s">
        <v>8</v>
      </c>
      <c r="D1561" s="10" t="str">
        <f>IFERROR(VLOOKUP(_stats[[#This Row],[player_id]],_players[[player_id]:[player_name]],2,0),"")</f>
        <v>Костя</v>
      </c>
      <c r="E1561" s="72">
        <v>0</v>
      </c>
      <c r="F1561" s="102">
        <v>0</v>
      </c>
      <c r="G1561" s="10">
        <f>SUMIFS(_teams[wins_on_date],_teams[date],_stats[[#This Row],[date]],_teams[team_number],_stats[[#This Row],[team_number]])</f>
        <v>4</v>
      </c>
      <c r="H1561" s="10">
        <f>SUMIFS(_teams[draws_on_date],_teams[date],_stats[[#This Row],[date]],_teams[team_number],_stats[[#This Row],[team_number]])</f>
        <v>0</v>
      </c>
      <c r="I1561" s="72">
        <v>0</v>
      </c>
      <c r="J1561" s="72">
        <v>0</v>
      </c>
      <c r="K1561" s="72">
        <v>7</v>
      </c>
      <c r="L1561" s="53" t="str">
        <f>VLOOKUP(_stats[[#This Row],[tournament]],tournaments_n_rules[],2,0)</f>
        <v>УПК</v>
      </c>
      <c r="M1561" s="53" t="str">
        <f>VLOOKUP(_stats[[#This Row],[tournament]],tournaments_n_rules[],3,0)</f>
        <v>Лето 2026</v>
      </c>
      <c r="N1561" s="54">
        <f>VLOOKUP(_stats[[#This Row],[tournament]],tournaments_n_rules[],4,0)</f>
        <v>46194</v>
      </c>
      <c r="O1561" s="54">
        <f>VLOOKUP(_stats[[#This Row],[tournament]],tournaments_n_rules[],5,0)</f>
        <v>46265</v>
      </c>
    </row>
    <row r="1562" spans="1:15" x14ac:dyDescent="0.25">
      <c r="A1562" s="6">
        <v>46229</v>
      </c>
      <c r="B1562" s="72">
        <v>1</v>
      </c>
      <c r="C1562" s="104" t="s">
        <v>69</v>
      </c>
      <c r="D1562" s="10" t="str">
        <f>IFERROR(VLOOKUP(_stats[[#This Row],[player_id]],_players[[player_id]:[player_name]],2,0),"")</f>
        <v>Анашкин</v>
      </c>
      <c r="E1562" s="72">
        <v>0</v>
      </c>
      <c r="F1562" s="102">
        <v>0</v>
      </c>
      <c r="G1562" s="10">
        <f>SUMIFS(_teams[wins_on_date],_teams[date],_stats[[#This Row],[date]],_teams[team_number],_stats[[#This Row],[team_number]])</f>
        <v>3</v>
      </c>
      <c r="H1562" s="10">
        <f>SUMIFS(_teams[draws_on_date],_teams[date],_stats[[#This Row],[date]],_teams[team_number],_stats[[#This Row],[team_number]])</f>
        <v>1</v>
      </c>
      <c r="I1562" s="72">
        <v>1</v>
      </c>
      <c r="J1562" s="72">
        <v>0</v>
      </c>
      <c r="K1562" s="72">
        <v>7</v>
      </c>
      <c r="L1562" s="53" t="str">
        <f>VLOOKUP(_stats[[#This Row],[tournament]],tournaments_n_rules[],2,0)</f>
        <v>УПК</v>
      </c>
      <c r="M1562" s="53" t="str">
        <f>VLOOKUP(_stats[[#This Row],[tournament]],tournaments_n_rules[],3,0)</f>
        <v>Лето 2026</v>
      </c>
      <c r="N1562" s="54">
        <f>VLOOKUP(_stats[[#This Row],[tournament]],tournaments_n_rules[],4,0)</f>
        <v>46194</v>
      </c>
      <c r="O1562" s="54">
        <f>VLOOKUP(_stats[[#This Row],[tournament]],tournaments_n_rules[],5,0)</f>
        <v>46265</v>
      </c>
    </row>
    <row r="1563" spans="1:15" x14ac:dyDescent="0.25">
      <c r="A1563" s="6">
        <v>46229</v>
      </c>
      <c r="B1563" s="72">
        <v>3</v>
      </c>
      <c r="C1563" s="104" t="s">
        <v>43</v>
      </c>
      <c r="D1563" s="10" t="str">
        <f>IFERROR(VLOOKUP(_stats[[#This Row],[player_id]],_players[[player_id]:[player_name]],2,0),"")</f>
        <v>Никита</v>
      </c>
      <c r="E1563" s="72">
        <v>1</v>
      </c>
      <c r="F1563" s="102">
        <v>1</v>
      </c>
      <c r="G1563" s="10">
        <f>SUMIFS(_teams[wins_on_date],_teams[date],_stats[[#This Row],[date]],_teams[team_number],_stats[[#This Row],[team_number]])</f>
        <v>3</v>
      </c>
      <c r="H1563" s="10">
        <f>SUMIFS(_teams[draws_on_date],_teams[date],_stats[[#This Row],[date]],_teams[team_number],_stats[[#This Row],[team_number]])</f>
        <v>1</v>
      </c>
      <c r="I1563" s="72">
        <v>0</v>
      </c>
      <c r="J1563" s="72">
        <v>0</v>
      </c>
      <c r="K1563" s="72">
        <v>7</v>
      </c>
      <c r="L1563" s="53" t="str">
        <f>VLOOKUP(_stats[[#This Row],[tournament]],tournaments_n_rules[],2,0)</f>
        <v>УПК</v>
      </c>
      <c r="M1563" s="53" t="str">
        <f>VLOOKUP(_stats[[#This Row],[tournament]],tournaments_n_rules[],3,0)</f>
        <v>Лето 2026</v>
      </c>
      <c r="N1563" s="54">
        <f>VLOOKUP(_stats[[#This Row],[tournament]],tournaments_n_rules[],4,0)</f>
        <v>46194</v>
      </c>
      <c r="O1563" s="54">
        <f>VLOOKUP(_stats[[#This Row],[tournament]],tournaments_n_rules[],5,0)</f>
        <v>46265</v>
      </c>
    </row>
    <row r="1564" spans="1:15" x14ac:dyDescent="0.25">
      <c r="A1564" s="6">
        <v>46229</v>
      </c>
      <c r="B1564" s="72">
        <v>1</v>
      </c>
      <c r="C1564" s="104" t="s">
        <v>48</v>
      </c>
      <c r="D1564" s="10" t="str">
        <f>IFERROR(VLOOKUP(_stats[[#This Row],[player_id]],_players[[player_id]:[player_name]],2,0),"")</f>
        <v>Андрей (АК+1)</v>
      </c>
      <c r="E1564" s="72">
        <v>2</v>
      </c>
      <c r="F1564" s="102">
        <v>1</v>
      </c>
      <c r="G1564" s="10">
        <f>SUMIFS(_teams[wins_on_date],_teams[date],_stats[[#This Row],[date]],_teams[team_number],_stats[[#This Row],[team_number]])</f>
        <v>3</v>
      </c>
      <c r="H1564" s="10">
        <f>SUMIFS(_teams[draws_on_date],_teams[date],_stats[[#This Row],[date]],_teams[team_number],_stats[[#This Row],[team_number]])</f>
        <v>1</v>
      </c>
      <c r="I1564" s="72">
        <v>0</v>
      </c>
      <c r="J1564" s="72">
        <v>0</v>
      </c>
      <c r="K1564" s="72">
        <v>7</v>
      </c>
      <c r="L1564" s="53" t="str">
        <f>VLOOKUP(_stats[[#This Row],[tournament]],tournaments_n_rules[],2,0)</f>
        <v>УПК</v>
      </c>
      <c r="M1564" s="53" t="str">
        <f>VLOOKUP(_stats[[#This Row],[tournament]],tournaments_n_rules[],3,0)</f>
        <v>Лето 2026</v>
      </c>
      <c r="N1564" s="54">
        <f>VLOOKUP(_stats[[#This Row],[tournament]],tournaments_n_rules[],4,0)</f>
        <v>46194</v>
      </c>
      <c r="O1564" s="54">
        <f>VLOOKUP(_stats[[#This Row],[tournament]],tournaments_n_rules[],5,0)</f>
        <v>46265</v>
      </c>
    </row>
    <row r="1565" spans="1:15" x14ac:dyDescent="0.25">
      <c r="A1565" s="6">
        <v>46229</v>
      </c>
      <c r="B1565" s="72">
        <v>2</v>
      </c>
      <c r="C1565" s="104" t="s">
        <v>11</v>
      </c>
      <c r="D1565" s="10" t="str">
        <f>IFERROR(VLOOKUP(_stats[[#This Row],[player_id]],_players[[player_id]:[player_name]],2,0),"")</f>
        <v>Сергей Крюков</v>
      </c>
      <c r="E1565" s="72">
        <v>0</v>
      </c>
      <c r="F1565" s="102">
        <v>1</v>
      </c>
      <c r="G1565" s="10">
        <f>SUMIFS(_teams[wins_on_date],_teams[date],_stats[[#This Row],[date]],_teams[team_number],_stats[[#This Row],[team_number]])</f>
        <v>2</v>
      </c>
      <c r="H1565" s="10">
        <f>SUMIFS(_teams[draws_on_date],_teams[date],_stats[[#This Row],[date]],_teams[team_number],_stats[[#This Row],[team_number]])</f>
        <v>0</v>
      </c>
      <c r="I1565" s="72">
        <v>0</v>
      </c>
      <c r="J1565" s="72">
        <v>0</v>
      </c>
      <c r="K1565" s="72">
        <v>7</v>
      </c>
      <c r="L1565" s="53" t="str">
        <f>VLOOKUP(_stats[[#This Row],[tournament]],tournaments_n_rules[],2,0)</f>
        <v>УПК</v>
      </c>
      <c r="M1565" s="53" t="str">
        <f>VLOOKUP(_stats[[#This Row],[tournament]],tournaments_n_rules[],3,0)</f>
        <v>Лето 2026</v>
      </c>
      <c r="N1565" s="54">
        <f>VLOOKUP(_stats[[#This Row],[tournament]],tournaments_n_rules[],4,0)</f>
        <v>46194</v>
      </c>
      <c r="O1565" s="54">
        <f>VLOOKUP(_stats[[#This Row],[tournament]],tournaments_n_rules[],5,0)</f>
        <v>46265</v>
      </c>
    </row>
    <row r="1566" spans="1:15" x14ac:dyDescent="0.25">
      <c r="A1566" s="6">
        <v>46229</v>
      </c>
      <c r="B1566" s="72">
        <v>4</v>
      </c>
      <c r="C1566" s="104" t="s">
        <v>44</v>
      </c>
      <c r="D1566" s="10" t="str">
        <f>IFERROR(VLOOKUP(_stats[[#This Row],[player_id]],_players[[player_id]:[player_name]],2,0),"")</f>
        <v>Женя (кипер)</v>
      </c>
      <c r="E1566" s="72">
        <v>0</v>
      </c>
      <c r="F1566" s="102">
        <v>0</v>
      </c>
      <c r="G1566" s="10">
        <f>SUMIFS(_teams[wins_on_date],_teams[date],_stats[[#This Row],[date]],_teams[team_number],_stats[[#This Row],[team_number]])</f>
        <v>4</v>
      </c>
      <c r="H1566" s="10">
        <f>SUMIFS(_teams[draws_on_date],_teams[date],_stats[[#This Row],[date]],_teams[team_number],_stats[[#This Row],[team_number]])</f>
        <v>0</v>
      </c>
      <c r="I1566" s="72">
        <v>3</v>
      </c>
      <c r="J1566" s="72">
        <v>0</v>
      </c>
      <c r="K1566" s="72">
        <v>7</v>
      </c>
      <c r="L1566" s="53" t="str">
        <f>VLOOKUP(_stats[[#This Row],[tournament]],tournaments_n_rules[],2,0)</f>
        <v>УПК</v>
      </c>
      <c r="M1566" s="53" t="str">
        <f>VLOOKUP(_stats[[#This Row],[tournament]],tournaments_n_rules[],3,0)</f>
        <v>Лето 2026</v>
      </c>
      <c r="N1566" s="54">
        <f>VLOOKUP(_stats[[#This Row],[tournament]],tournaments_n_rules[],4,0)</f>
        <v>46194</v>
      </c>
      <c r="O1566" s="54">
        <f>VLOOKUP(_stats[[#This Row],[tournament]],tournaments_n_rules[],5,0)</f>
        <v>46265</v>
      </c>
    </row>
    <row r="1567" spans="1:15" x14ac:dyDescent="0.25">
      <c r="A1567" s="6">
        <v>46229</v>
      </c>
      <c r="B1567" s="72">
        <v>1</v>
      </c>
      <c r="C1567" s="104" t="s">
        <v>26</v>
      </c>
      <c r="D1567" s="10" t="str">
        <f>IFERROR(VLOOKUP(_stats[[#This Row],[player_id]],_players[[player_id]:[player_name]],2,0),"")</f>
        <v>Игорь Фомичев</v>
      </c>
      <c r="E1567" s="72">
        <v>0</v>
      </c>
      <c r="F1567" s="102">
        <v>0</v>
      </c>
      <c r="G1567" s="10">
        <f>SUMIFS(_teams[wins_on_date],_teams[date],_stats[[#This Row],[date]],_teams[team_number],_stats[[#This Row],[team_number]])</f>
        <v>3</v>
      </c>
      <c r="H1567" s="10">
        <f>SUMIFS(_teams[draws_on_date],_teams[date],_stats[[#This Row],[date]],_teams[team_number],_stats[[#This Row],[team_number]])</f>
        <v>1</v>
      </c>
      <c r="I1567" s="72">
        <v>0</v>
      </c>
      <c r="J1567" s="72">
        <v>0</v>
      </c>
      <c r="K1567" s="72">
        <v>7</v>
      </c>
      <c r="L1567" s="53" t="str">
        <f>VLOOKUP(_stats[[#This Row],[tournament]],tournaments_n_rules[],2,0)</f>
        <v>УПК</v>
      </c>
      <c r="M1567" s="53" t="str">
        <f>VLOOKUP(_stats[[#This Row],[tournament]],tournaments_n_rules[],3,0)</f>
        <v>Лето 2026</v>
      </c>
      <c r="N1567" s="54">
        <f>VLOOKUP(_stats[[#This Row],[tournament]],tournaments_n_rules[],4,0)</f>
        <v>46194</v>
      </c>
      <c r="O1567" s="54">
        <f>VLOOKUP(_stats[[#This Row],[tournament]],tournaments_n_rules[],5,0)</f>
        <v>46265</v>
      </c>
    </row>
    <row r="1568" spans="1:15" x14ac:dyDescent="0.25">
      <c r="A1568" s="6">
        <v>46229</v>
      </c>
      <c r="B1568" s="72">
        <v>4</v>
      </c>
      <c r="C1568" s="104" t="s">
        <v>294</v>
      </c>
      <c r="D1568" s="10" t="str">
        <f>IFERROR(VLOOKUP(_stats[[#This Row],[player_id]],_players[[player_id]:[player_name]],2,0),"")</f>
        <v>Даня (Нурик +1)</v>
      </c>
      <c r="E1568" s="72">
        <v>0</v>
      </c>
      <c r="F1568" s="102">
        <v>1</v>
      </c>
      <c r="G1568" s="10">
        <f>SUMIFS(_teams[wins_on_date],_teams[date],_stats[[#This Row],[date]],_teams[team_number],_stats[[#This Row],[team_number]])</f>
        <v>4</v>
      </c>
      <c r="H1568" s="10">
        <f>SUMIFS(_teams[draws_on_date],_teams[date],_stats[[#This Row],[date]],_teams[team_number],_stats[[#This Row],[team_number]])</f>
        <v>0</v>
      </c>
      <c r="I1568" s="72">
        <v>0</v>
      </c>
      <c r="J1568" s="72">
        <v>0</v>
      </c>
      <c r="K1568" s="72">
        <v>7</v>
      </c>
      <c r="L1568" s="53" t="str">
        <f>VLOOKUP(_stats[[#This Row],[tournament]],tournaments_n_rules[],2,0)</f>
        <v>УПК</v>
      </c>
      <c r="M1568" s="53" t="str">
        <f>VLOOKUP(_stats[[#This Row],[tournament]],tournaments_n_rules[],3,0)</f>
        <v>Лето 2026</v>
      </c>
      <c r="N1568" s="54">
        <f>VLOOKUP(_stats[[#This Row],[tournament]],tournaments_n_rules[],4,0)</f>
        <v>46194</v>
      </c>
      <c r="O1568" s="54">
        <f>VLOOKUP(_stats[[#This Row],[tournament]],tournaments_n_rules[],5,0)</f>
        <v>46265</v>
      </c>
    </row>
    <row r="1569" spans="1:15" x14ac:dyDescent="0.25">
      <c r="A1569" s="6">
        <v>46229</v>
      </c>
      <c r="B1569" s="72">
        <v>2</v>
      </c>
      <c r="C1569" s="104" t="s">
        <v>295</v>
      </c>
      <c r="D1569" s="10" t="str">
        <f>IFERROR(VLOOKUP(_stats[[#This Row],[player_id]],_players[[player_id]:[player_name]],2,0),"")</f>
        <v>Гоша (АК+1)</v>
      </c>
      <c r="E1569" s="72">
        <v>0</v>
      </c>
      <c r="F1569" s="102">
        <v>0</v>
      </c>
      <c r="G1569" s="10">
        <f>SUMIFS(_teams[wins_on_date],_teams[date],_stats[[#This Row],[date]],_teams[team_number],_stats[[#This Row],[team_number]])</f>
        <v>2</v>
      </c>
      <c r="H1569" s="10">
        <f>SUMIFS(_teams[draws_on_date],_teams[date],_stats[[#This Row],[date]],_teams[team_number],_stats[[#This Row],[team_number]])</f>
        <v>0</v>
      </c>
      <c r="I1569" s="72">
        <v>0</v>
      </c>
      <c r="J1569" s="72">
        <v>0</v>
      </c>
      <c r="K1569" s="72">
        <v>7</v>
      </c>
      <c r="L1569" s="53" t="str">
        <f>VLOOKUP(_stats[[#This Row],[tournament]],tournaments_n_rules[],2,0)</f>
        <v>УПК</v>
      </c>
      <c r="M1569" s="53" t="str">
        <f>VLOOKUP(_stats[[#This Row],[tournament]],tournaments_n_rules[],3,0)</f>
        <v>Лето 2026</v>
      </c>
      <c r="N1569" s="54">
        <f>VLOOKUP(_stats[[#This Row],[tournament]],tournaments_n_rules[],4,0)</f>
        <v>46194</v>
      </c>
      <c r="O1569" s="54">
        <f>VLOOKUP(_stats[[#This Row],[tournament]],tournaments_n_rules[],5,0)</f>
        <v>46265</v>
      </c>
    </row>
    <row r="1570" spans="1:15" x14ac:dyDescent="0.25">
      <c r="A1570" s="6">
        <v>46229</v>
      </c>
      <c r="B1570" s="72">
        <v>3</v>
      </c>
      <c r="C1570" s="104" t="s">
        <v>296</v>
      </c>
      <c r="D1570" s="10" t="str">
        <f>IFERROR(VLOOKUP(_stats[[#This Row],[player_id]],_players[[player_id]:[player_name]],2,0),"")</f>
        <v>Денис (Вова +1)</v>
      </c>
      <c r="E1570" s="72">
        <v>0</v>
      </c>
      <c r="F1570" s="102">
        <v>0</v>
      </c>
      <c r="G1570" s="10">
        <f>SUMIFS(_teams[wins_on_date],_teams[date],_stats[[#This Row],[date]],_teams[team_number],_stats[[#This Row],[team_number]])</f>
        <v>3</v>
      </c>
      <c r="H1570" s="10">
        <f>SUMIFS(_teams[draws_on_date],_teams[date],_stats[[#This Row],[date]],_teams[team_number],_stats[[#This Row],[team_number]])</f>
        <v>1</v>
      </c>
      <c r="I1570" s="72">
        <v>0</v>
      </c>
      <c r="J1570" s="72">
        <v>0</v>
      </c>
      <c r="K1570" s="72">
        <v>7</v>
      </c>
      <c r="L1570" s="53" t="str">
        <f>VLOOKUP(_stats[[#This Row],[tournament]],tournaments_n_rules[],2,0)</f>
        <v>УПК</v>
      </c>
      <c r="M1570" s="53" t="str">
        <f>VLOOKUP(_stats[[#This Row],[tournament]],tournaments_n_rules[],3,0)</f>
        <v>Лето 2026</v>
      </c>
      <c r="N1570" s="54">
        <f>VLOOKUP(_stats[[#This Row],[tournament]],tournaments_n_rules[],4,0)</f>
        <v>46194</v>
      </c>
      <c r="O1570" s="54">
        <f>VLOOKUP(_stats[[#This Row],[tournament]],tournaments_n_rules[],5,0)</f>
        <v>46265</v>
      </c>
    </row>
    <row r="1571" spans="1:15" x14ac:dyDescent="0.25">
      <c r="A1571" s="6">
        <v>46229</v>
      </c>
      <c r="B1571" s="72">
        <v>2</v>
      </c>
      <c r="C1571" s="104" t="s">
        <v>65</v>
      </c>
      <c r="D1571" s="10" t="str">
        <f>IFERROR(VLOOKUP(_stats[[#This Row],[player_id]],_players[[player_id]:[player_name]],2,0),"")</f>
        <v>Марат (Атай+1)</v>
      </c>
      <c r="E1571" s="72">
        <v>0</v>
      </c>
      <c r="F1571" s="102">
        <v>0</v>
      </c>
      <c r="G1571" s="10">
        <f>SUMIFS(_teams[wins_on_date],_teams[date],_stats[[#This Row],[date]],_teams[team_number],_stats[[#This Row],[team_number]])</f>
        <v>2</v>
      </c>
      <c r="H1571" s="10">
        <f>SUMIFS(_teams[draws_on_date],_teams[date],_stats[[#This Row],[date]],_teams[team_number],_stats[[#This Row],[team_number]])</f>
        <v>0</v>
      </c>
      <c r="I1571" s="72">
        <v>0</v>
      </c>
      <c r="J1571" s="72">
        <v>0</v>
      </c>
      <c r="K1571" s="72">
        <v>7</v>
      </c>
      <c r="L1571" s="53" t="str">
        <f>VLOOKUP(_stats[[#This Row],[tournament]],tournaments_n_rules[],2,0)</f>
        <v>УПК</v>
      </c>
      <c r="M1571" s="53" t="str">
        <f>VLOOKUP(_stats[[#This Row],[tournament]],tournaments_n_rules[],3,0)</f>
        <v>Лето 2026</v>
      </c>
      <c r="N1571" s="54">
        <f>VLOOKUP(_stats[[#This Row],[tournament]],tournaments_n_rules[],4,0)</f>
        <v>46194</v>
      </c>
      <c r="O1571" s="54">
        <f>VLOOKUP(_stats[[#This Row],[tournament]],tournaments_n_rules[],5,0)</f>
        <v>46265</v>
      </c>
    </row>
    <row r="1572" spans="1:15" x14ac:dyDescent="0.25">
      <c r="A1572" s="6">
        <v>46229</v>
      </c>
      <c r="B1572" s="72">
        <v>3</v>
      </c>
      <c r="C1572" s="104" t="s">
        <v>37</v>
      </c>
      <c r="D1572" s="10" t="str">
        <f>IFERROR(VLOOKUP(_stats[[#This Row],[player_id]],_players[[player_id]:[player_name]],2,0),"")</f>
        <v>Женя Одушкин</v>
      </c>
      <c r="E1572" s="72">
        <v>0</v>
      </c>
      <c r="F1572" s="102">
        <v>0</v>
      </c>
      <c r="G1572" s="10">
        <f>SUMIFS(_teams[wins_on_date],_teams[date],_stats[[#This Row],[date]],_teams[team_number],_stats[[#This Row],[team_number]])</f>
        <v>3</v>
      </c>
      <c r="H1572" s="10">
        <f>SUMIFS(_teams[draws_on_date],_teams[date],_stats[[#This Row],[date]],_teams[team_number],_stats[[#This Row],[team_number]])</f>
        <v>1</v>
      </c>
      <c r="I1572" s="72">
        <v>0</v>
      </c>
      <c r="J1572" s="72">
        <v>0</v>
      </c>
      <c r="K1572" s="72">
        <v>7</v>
      </c>
      <c r="L1572" s="53" t="str">
        <f>VLOOKUP(_stats[[#This Row],[tournament]],tournaments_n_rules[],2,0)</f>
        <v>УПК</v>
      </c>
      <c r="M1572" s="53" t="str">
        <f>VLOOKUP(_stats[[#This Row],[tournament]],tournaments_n_rules[],3,0)</f>
        <v>Лето 2026</v>
      </c>
      <c r="N1572" s="54">
        <f>VLOOKUP(_stats[[#This Row],[tournament]],tournaments_n_rules[],4,0)</f>
        <v>46194</v>
      </c>
      <c r="O1572" s="54">
        <f>VLOOKUP(_stats[[#This Row],[tournament]],tournaments_n_rules[],5,0)</f>
        <v>46265</v>
      </c>
    </row>
    <row r="1573" spans="1:15" x14ac:dyDescent="0.25">
      <c r="A1573" s="6">
        <v>46229</v>
      </c>
      <c r="B1573" s="72">
        <v>4</v>
      </c>
      <c r="C1573" s="104" t="s">
        <v>46</v>
      </c>
      <c r="D1573" s="10" t="str">
        <f>IFERROR(VLOOKUP(_stats[[#This Row],[player_id]],_players[[player_id]:[player_name]],2,0),"")</f>
        <v>Рома Сурнин</v>
      </c>
      <c r="E1573" s="72">
        <v>2</v>
      </c>
      <c r="F1573" s="102">
        <v>0</v>
      </c>
      <c r="G1573" s="10">
        <f>SUMIFS(_teams[wins_on_date],_teams[date],_stats[[#This Row],[date]],_teams[team_number],_stats[[#This Row],[team_number]])</f>
        <v>4</v>
      </c>
      <c r="H1573" s="10">
        <f>SUMIFS(_teams[draws_on_date],_teams[date],_stats[[#This Row],[date]],_teams[team_number],_stats[[#This Row],[team_number]])</f>
        <v>0</v>
      </c>
      <c r="I1573" s="72">
        <v>0</v>
      </c>
      <c r="J1573" s="72">
        <v>0</v>
      </c>
      <c r="K1573" s="72">
        <v>7</v>
      </c>
      <c r="L1573" s="53" t="str">
        <f>VLOOKUP(_stats[[#This Row],[tournament]],tournaments_n_rules[],2,0)</f>
        <v>УПК</v>
      </c>
      <c r="M1573" s="53" t="str">
        <f>VLOOKUP(_stats[[#This Row],[tournament]],tournaments_n_rules[],3,0)</f>
        <v>Лето 2026</v>
      </c>
      <c r="N1573" s="54">
        <f>VLOOKUP(_stats[[#This Row],[tournament]],tournaments_n_rules[],4,0)</f>
        <v>46194</v>
      </c>
      <c r="O1573" s="54">
        <f>VLOOKUP(_stats[[#This Row],[tournament]],tournaments_n_rules[],5,0)</f>
        <v>46265</v>
      </c>
    </row>
    <row r="1574" spans="1:15" x14ac:dyDescent="0.25">
      <c r="A1574" s="6">
        <v>46229</v>
      </c>
      <c r="B1574" s="72">
        <v>3</v>
      </c>
      <c r="C1574" s="104" t="s">
        <v>23</v>
      </c>
      <c r="D1574" s="10" t="str">
        <f>IFERROR(VLOOKUP(_stats[[#This Row],[player_id]],_players[[player_id]:[player_name]],2,0),"")</f>
        <v>Вова</v>
      </c>
      <c r="E1574" s="72">
        <v>1</v>
      </c>
      <c r="F1574" s="102">
        <v>0</v>
      </c>
      <c r="G1574" s="10">
        <f>SUMIFS(_teams[wins_on_date],_teams[date],_stats[[#This Row],[date]],_teams[team_number],_stats[[#This Row],[team_number]])</f>
        <v>3</v>
      </c>
      <c r="H1574" s="10">
        <f>SUMIFS(_teams[draws_on_date],_teams[date],_stats[[#This Row],[date]],_teams[team_number],_stats[[#This Row],[team_number]])</f>
        <v>1</v>
      </c>
      <c r="I1574" s="72">
        <v>1</v>
      </c>
      <c r="J1574" s="72">
        <v>1</v>
      </c>
      <c r="K1574" s="72">
        <v>7</v>
      </c>
      <c r="L1574" s="53" t="str">
        <f>VLOOKUP(_stats[[#This Row],[tournament]],tournaments_n_rules[],2,0)</f>
        <v>УПК</v>
      </c>
      <c r="M1574" s="53" t="str">
        <f>VLOOKUP(_stats[[#This Row],[tournament]],tournaments_n_rules[],3,0)</f>
        <v>Лето 2026</v>
      </c>
      <c r="N1574" s="54">
        <f>VLOOKUP(_stats[[#This Row],[tournament]],tournaments_n_rules[],4,0)</f>
        <v>46194</v>
      </c>
      <c r="O1574" s="54">
        <f>VLOOKUP(_stats[[#This Row],[tournament]],tournaments_n_rules[],5,0)</f>
        <v>46265</v>
      </c>
    </row>
    <row r="1575" spans="1:15" x14ac:dyDescent="0.25">
      <c r="A1575" s="6">
        <v>46229</v>
      </c>
      <c r="B1575" s="72">
        <v>1</v>
      </c>
      <c r="C1575" s="104" t="s">
        <v>154</v>
      </c>
      <c r="D1575" s="10" t="str">
        <f>IFERROR(VLOOKUP(_stats[[#This Row],[player_id]],_players[[player_id]:[player_name]],2,0),"")</f>
        <v>Анар</v>
      </c>
      <c r="E1575" s="72">
        <v>1</v>
      </c>
      <c r="F1575" s="102">
        <v>0</v>
      </c>
      <c r="G1575" s="10">
        <f>SUMIFS(_teams[wins_on_date],_teams[date],_stats[[#This Row],[date]],_teams[team_number],_stats[[#This Row],[team_number]])</f>
        <v>3</v>
      </c>
      <c r="H1575" s="10">
        <f>SUMIFS(_teams[draws_on_date],_teams[date],_stats[[#This Row],[date]],_teams[team_number],_stats[[#This Row],[team_number]])</f>
        <v>1</v>
      </c>
      <c r="I1575" s="72">
        <v>0</v>
      </c>
      <c r="J1575" s="72">
        <v>0</v>
      </c>
      <c r="K1575" s="72">
        <v>7</v>
      </c>
      <c r="L1575" s="53" t="str">
        <f>VLOOKUP(_stats[[#This Row],[tournament]],tournaments_n_rules[],2,0)</f>
        <v>УПК</v>
      </c>
      <c r="M1575" s="53" t="str">
        <f>VLOOKUP(_stats[[#This Row],[tournament]],tournaments_n_rules[],3,0)</f>
        <v>Лето 2026</v>
      </c>
      <c r="N1575" s="54">
        <f>VLOOKUP(_stats[[#This Row],[tournament]],tournaments_n_rules[],4,0)</f>
        <v>46194</v>
      </c>
      <c r="O1575" s="54">
        <f>VLOOKUP(_stats[[#This Row],[tournament]],tournaments_n_rules[],5,0)</f>
        <v>46265</v>
      </c>
    </row>
    <row r="1576" spans="1:15" x14ac:dyDescent="0.25">
      <c r="A1576" s="6">
        <v>46229</v>
      </c>
      <c r="B1576" s="72">
        <v>3</v>
      </c>
      <c r="C1576" s="104" t="s">
        <v>297</v>
      </c>
      <c r="D1576" s="10" t="str">
        <f>IFERROR(VLOOKUP(_stats[[#This Row],[player_id]],_players[[player_id]:[player_name]],2,0),"")</f>
        <v>Макс Куртин</v>
      </c>
      <c r="E1576" s="72">
        <v>3</v>
      </c>
      <c r="F1576" s="102">
        <v>0</v>
      </c>
      <c r="G1576" s="10">
        <f>SUMIFS(_teams[wins_on_date],_teams[date],_stats[[#This Row],[date]],_teams[team_number],_stats[[#This Row],[team_number]])</f>
        <v>3</v>
      </c>
      <c r="H1576" s="10">
        <f>SUMIFS(_teams[draws_on_date],_teams[date],_stats[[#This Row],[date]],_teams[team_number],_stats[[#This Row],[team_number]])</f>
        <v>1</v>
      </c>
      <c r="I1576" s="72">
        <v>0</v>
      </c>
      <c r="J1576" s="72">
        <v>0</v>
      </c>
      <c r="K1576" s="72">
        <v>7</v>
      </c>
      <c r="L1576" s="53" t="str">
        <f>VLOOKUP(_stats[[#This Row],[tournament]],tournaments_n_rules[],2,0)</f>
        <v>УПК</v>
      </c>
      <c r="M1576" s="53" t="str">
        <f>VLOOKUP(_stats[[#This Row],[tournament]],tournaments_n_rules[],3,0)</f>
        <v>Лето 2026</v>
      </c>
      <c r="N1576" s="54">
        <f>VLOOKUP(_stats[[#This Row],[tournament]],tournaments_n_rules[],4,0)</f>
        <v>46194</v>
      </c>
      <c r="O1576" s="54">
        <f>VLOOKUP(_stats[[#This Row],[tournament]],tournaments_n_rules[],5,0)</f>
        <v>46265</v>
      </c>
    </row>
    <row r="1577" spans="1:15" x14ac:dyDescent="0.25">
      <c r="A1577" s="6">
        <v>46229</v>
      </c>
      <c r="B1577" s="72">
        <v>2</v>
      </c>
      <c r="C1577" s="104" t="s">
        <v>98</v>
      </c>
      <c r="D1577" s="10" t="str">
        <f>IFERROR(VLOOKUP(_stats[[#This Row],[player_id]],_players[[player_id]:[player_name]],2,0),"")</f>
        <v>Саша (Витя+1)</v>
      </c>
      <c r="E1577" s="72">
        <v>1</v>
      </c>
      <c r="F1577" s="102">
        <v>0</v>
      </c>
      <c r="G1577" s="10">
        <f>SUMIFS(_teams[wins_on_date],_teams[date],_stats[[#This Row],[date]],_teams[team_number],_stats[[#This Row],[team_number]])</f>
        <v>2</v>
      </c>
      <c r="H1577" s="10">
        <f>SUMIFS(_teams[draws_on_date],_teams[date],_stats[[#This Row],[date]],_teams[team_number],_stats[[#This Row],[team_number]])</f>
        <v>0</v>
      </c>
      <c r="I1577" s="72">
        <v>0</v>
      </c>
      <c r="J1577" s="72">
        <v>0</v>
      </c>
      <c r="K1577" s="72">
        <v>7</v>
      </c>
      <c r="L1577" s="53" t="str">
        <f>VLOOKUP(_stats[[#This Row],[tournament]],tournaments_n_rules[],2,0)</f>
        <v>УПК</v>
      </c>
      <c r="M1577" s="53" t="str">
        <f>VLOOKUP(_stats[[#This Row],[tournament]],tournaments_n_rules[],3,0)</f>
        <v>Лето 2026</v>
      </c>
      <c r="N1577" s="54">
        <f>VLOOKUP(_stats[[#This Row],[tournament]],tournaments_n_rules[],4,0)</f>
        <v>46194</v>
      </c>
      <c r="O1577" s="54">
        <f>VLOOKUP(_stats[[#This Row],[tournament]],tournaments_n_rules[],5,0)</f>
        <v>46265</v>
      </c>
    </row>
    <row r="1578" spans="1:15" x14ac:dyDescent="0.25">
      <c r="A1578" s="6">
        <v>46229</v>
      </c>
      <c r="B1578" s="72">
        <v>4</v>
      </c>
      <c r="C1578" s="104" t="s">
        <v>93</v>
      </c>
      <c r="D1578" s="10" t="str">
        <f>IFERROR(VLOOKUP(_stats[[#This Row],[player_id]],_players[[player_id]:[player_name]],2,0),"")</f>
        <v>Руслан Байшев</v>
      </c>
      <c r="E1578" s="72">
        <v>0</v>
      </c>
      <c r="F1578" s="102">
        <v>0</v>
      </c>
      <c r="G1578" s="10">
        <f>SUMIFS(_teams[wins_on_date],_teams[date],_stats[[#This Row],[date]],_teams[team_number],_stats[[#This Row],[team_number]])</f>
        <v>4</v>
      </c>
      <c r="H1578" s="10">
        <f>SUMIFS(_teams[draws_on_date],_teams[date],_stats[[#This Row],[date]],_teams[team_number],_stats[[#This Row],[team_number]])</f>
        <v>0</v>
      </c>
      <c r="I1578" s="72">
        <v>0</v>
      </c>
      <c r="J1578" s="72">
        <v>1</v>
      </c>
      <c r="K1578" s="72">
        <v>7</v>
      </c>
      <c r="L1578" s="53" t="str">
        <f>VLOOKUP(_stats[[#This Row],[tournament]],tournaments_n_rules[],2,0)</f>
        <v>УПК</v>
      </c>
      <c r="M1578" s="53" t="str">
        <f>VLOOKUP(_stats[[#This Row],[tournament]],tournaments_n_rules[],3,0)</f>
        <v>Лето 2026</v>
      </c>
      <c r="N1578" s="54">
        <f>VLOOKUP(_stats[[#This Row],[tournament]],tournaments_n_rules[],4,0)</f>
        <v>46194</v>
      </c>
      <c r="O1578" s="54">
        <f>VLOOKUP(_stats[[#This Row],[tournament]],tournaments_n_rules[],5,0)</f>
        <v>46265</v>
      </c>
    </row>
    <row r="1579" spans="1:15" x14ac:dyDescent="0.25">
      <c r="A1579" s="6">
        <v>46229</v>
      </c>
      <c r="B1579" s="72">
        <v>4</v>
      </c>
      <c r="C1579" s="104" t="s">
        <v>92</v>
      </c>
      <c r="D1579" s="10" t="str">
        <f>IFERROR(VLOOKUP(_stats[[#This Row],[player_id]],_players[[player_id]:[player_name]],2,0),"")</f>
        <v>Энтони Тепеев</v>
      </c>
      <c r="E1579" s="72">
        <v>2</v>
      </c>
      <c r="F1579" s="102">
        <v>1</v>
      </c>
      <c r="G1579" s="10">
        <f>SUMIFS(_teams[wins_on_date],_teams[date],_stats[[#This Row],[date]],_teams[team_number],_stats[[#This Row],[team_number]])</f>
        <v>4</v>
      </c>
      <c r="H1579" s="10">
        <f>SUMIFS(_teams[draws_on_date],_teams[date],_stats[[#This Row],[date]],_teams[team_number],_stats[[#This Row],[team_number]])</f>
        <v>0</v>
      </c>
      <c r="I1579" s="72">
        <v>0</v>
      </c>
      <c r="J1579" s="72">
        <v>0</v>
      </c>
      <c r="K1579" s="72">
        <v>7</v>
      </c>
      <c r="L1579" s="53" t="str">
        <f>VLOOKUP(_stats[[#This Row],[tournament]],tournaments_n_rules[],2,0)</f>
        <v>УПК</v>
      </c>
      <c r="M1579" s="53" t="str">
        <f>VLOOKUP(_stats[[#This Row],[tournament]],tournaments_n_rules[],3,0)</f>
        <v>Лето 2026</v>
      </c>
      <c r="N1579" s="54">
        <f>VLOOKUP(_stats[[#This Row],[tournament]],tournaments_n_rules[],4,0)</f>
        <v>46194</v>
      </c>
      <c r="O1579" s="54">
        <f>VLOOKUP(_stats[[#This Row],[tournament]],tournaments_n_rules[],5,0)</f>
        <v>46265</v>
      </c>
    </row>
    <row r="1580" spans="1:15" x14ac:dyDescent="0.25">
      <c r="A1580" s="6">
        <v>46236</v>
      </c>
      <c r="B1580" s="72">
        <v>1</v>
      </c>
      <c r="C1580" s="104" t="s">
        <v>8</v>
      </c>
      <c r="D1580" s="10" t="str">
        <f>IFERROR(VLOOKUP(_stats[[#This Row],[player_id]],_players[[player_id]:[player_name]],2,0),"")</f>
        <v>Костя</v>
      </c>
      <c r="E1580" s="72">
        <v>5</v>
      </c>
      <c r="F1580" s="102">
        <v>2</v>
      </c>
      <c r="G1580" s="10">
        <f>SUMIFS(_teams[wins_on_date],_teams[date],_stats[[#This Row],[date]],_teams[team_number],_stats[[#This Row],[team_number]])</f>
        <v>5</v>
      </c>
      <c r="H1580" s="10">
        <f>SUMIFS(_teams[draws_on_date],_teams[date],_stats[[#This Row],[date]],_teams[team_number],_stats[[#This Row],[team_number]])</f>
        <v>2</v>
      </c>
      <c r="I1580" s="72">
        <v>0</v>
      </c>
      <c r="J1580" s="104">
        <v>0</v>
      </c>
      <c r="K1580" s="72">
        <v>7</v>
      </c>
      <c r="L1580" s="53" t="str">
        <f>VLOOKUP(_stats[[#This Row],[tournament]],tournaments_n_rules[],2,0)</f>
        <v>УПК</v>
      </c>
      <c r="M1580" s="53" t="str">
        <f>VLOOKUP(_stats[[#This Row],[tournament]],tournaments_n_rules[],3,0)</f>
        <v>Лето 2026</v>
      </c>
      <c r="N1580" s="54">
        <f>VLOOKUP(_stats[[#This Row],[tournament]],tournaments_n_rules[],4,0)</f>
        <v>46194</v>
      </c>
      <c r="O1580" s="54">
        <f>VLOOKUP(_stats[[#This Row],[tournament]],tournaments_n_rules[],5,0)</f>
        <v>46265</v>
      </c>
    </row>
    <row r="1581" spans="1:15" x14ac:dyDescent="0.25">
      <c r="A1581" s="6">
        <v>46236</v>
      </c>
      <c r="B1581" s="72">
        <v>1</v>
      </c>
      <c r="C1581" s="104" t="s">
        <v>126</v>
      </c>
      <c r="D1581" s="10" t="str">
        <f>IFERROR(VLOOKUP(_stats[[#This Row],[player_id]],_players[[player_id]:[player_name]],2,0),"")</f>
        <v>Макс Логинов</v>
      </c>
      <c r="E1581" s="72">
        <v>0</v>
      </c>
      <c r="F1581" s="102">
        <v>0</v>
      </c>
      <c r="G1581" s="10">
        <f>SUMIFS(_teams[wins_on_date],_teams[date],_stats[[#This Row],[date]],_teams[team_number],_stats[[#This Row],[team_number]])</f>
        <v>5</v>
      </c>
      <c r="H1581" s="10">
        <f>SUMIFS(_teams[draws_on_date],_teams[date],_stats[[#This Row],[date]],_teams[team_number],_stats[[#This Row],[team_number]])</f>
        <v>2</v>
      </c>
      <c r="I1581" s="72">
        <v>0</v>
      </c>
      <c r="J1581" s="104">
        <v>0</v>
      </c>
      <c r="K1581" s="72">
        <v>7</v>
      </c>
      <c r="L1581" s="53" t="str">
        <f>VLOOKUP(_stats[[#This Row],[tournament]],tournaments_n_rules[],2,0)</f>
        <v>УПК</v>
      </c>
      <c r="M1581" s="53" t="str">
        <f>VLOOKUP(_stats[[#This Row],[tournament]],tournaments_n_rules[],3,0)</f>
        <v>Лето 2026</v>
      </c>
      <c r="N1581" s="54">
        <f>VLOOKUP(_stats[[#This Row],[tournament]],tournaments_n_rules[],4,0)</f>
        <v>46194</v>
      </c>
      <c r="O1581" s="54">
        <f>VLOOKUP(_stats[[#This Row],[tournament]],tournaments_n_rules[],5,0)</f>
        <v>46265</v>
      </c>
    </row>
    <row r="1582" spans="1:15" x14ac:dyDescent="0.25">
      <c r="A1582" s="6">
        <v>46236</v>
      </c>
      <c r="B1582" s="72">
        <v>1</v>
      </c>
      <c r="C1582" s="104" t="s">
        <v>13</v>
      </c>
      <c r="D1582" s="10" t="str">
        <f>IFERROR(VLOOKUP(_stats[[#This Row],[player_id]],_players[[player_id]:[player_name]],2,0),"")</f>
        <v>Нурик</v>
      </c>
      <c r="E1582" s="72">
        <v>2</v>
      </c>
      <c r="F1582" s="102">
        <v>1</v>
      </c>
      <c r="G1582" s="10">
        <f>SUMIFS(_teams[wins_on_date],_teams[date],_stats[[#This Row],[date]],_teams[team_number],_stats[[#This Row],[team_number]])</f>
        <v>5</v>
      </c>
      <c r="H1582" s="10">
        <f>SUMIFS(_teams[draws_on_date],_teams[date],_stats[[#This Row],[date]],_teams[team_number],_stats[[#This Row],[team_number]])</f>
        <v>2</v>
      </c>
      <c r="I1582" s="72">
        <v>0</v>
      </c>
      <c r="J1582" s="104">
        <v>0</v>
      </c>
      <c r="K1582" s="72">
        <v>7</v>
      </c>
      <c r="L1582" s="53" t="str">
        <f>VLOOKUP(_stats[[#This Row],[tournament]],tournaments_n_rules[],2,0)</f>
        <v>УПК</v>
      </c>
      <c r="M1582" s="53" t="str">
        <f>VLOOKUP(_stats[[#This Row],[tournament]],tournaments_n_rules[],3,0)</f>
        <v>Лето 2026</v>
      </c>
      <c r="N1582" s="54">
        <f>VLOOKUP(_stats[[#This Row],[tournament]],tournaments_n_rules[],4,0)</f>
        <v>46194</v>
      </c>
      <c r="O1582" s="54">
        <f>VLOOKUP(_stats[[#This Row],[tournament]],tournaments_n_rules[],5,0)</f>
        <v>46265</v>
      </c>
    </row>
    <row r="1583" spans="1:15" x14ac:dyDescent="0.25">
      <c r="A1583" s="6">
        <v>46236</v>
      </c>
      <c r="B1583" s="72">
        <v>1</v>
      </c>
      <c r="C1583" s="104" t="s">
        <v>44</v>
      </c>
      <c r="D1583" s="10" t="str">
        <f>IFERROR(VLOOKUP(_stats[[#This Row],[player_id]],_players[[player_id]:[player_name]],2,0),"")</f>
        <v>Женя (кипер)</v>
      </c>
      <c r="E1583" s="72">
        <v>0</v>
      </c>
      <c r="F1583" s="102">
        <v>0</v>
      </c>
      <c r="G1583" s="10">
        <f>SUMIFS(_teams[wins_on_date],_teams[date],_stats[[#This Row],[date]],_teams[team_number],_stats[[#This Row],[team_number]])</f>
        <v>5</v>
      </c>
      <c r="H1583" s="10">
        <f>SUMIFS(_teams[draws_on_date],_teams[date],_stats[[#This Row],[date]],_teams[team_number],_stats[[#This Row],[team_number]])</f>
        <v>2</v>
      </c>
      <c r="I1583" s="72">
        <v>4</v>
      </c>
      <c r="J1583" s="104">
        <v>0</v>
      </c>
      <c r="K1583" s="72">
        <v>7</v>
      </c>
      <c r="L1583" s="53" t="str">
        <f>VLOOKUP(_stats[[#This Row],[tournament]],tournaments_n_rules[],2,0)</f>
        <v>УПК</v>
      </c>
      <c r="M1583" s="53" t="str">
        <f>VLOOKUP(_stats[[#This Row],[tournament]],tournaments_n_rules[],3,0)</f>
        <v>Лето 2026</v>
      </c>
      <c r="N1583" s="54">
        <f>VLOOKUP(_stats[[#This Row],[tournament]],tournaments_n_rules[],4,0)</f>
        <v>46194</v>
      </c>
      <c r="O1583" s="54">
        <f>VLOOKUP(_stats[[#This Row],[tournament]],tournaments_n_rules[],5,0)</f>
        <v>46265</v>
      </c>
    </row>
    <row r="1584" spans="1:15" x14ac:dyDescent="0.25">
      <c r="A1584" s="6">
        <v>46236</v>
      </c>
      <c r="B1584" s="72">
        <v>1</v>
      </c>
      <c r="C1584" s="104" t="s">
        <v>25</v>
      </c>
      <c r="D1584" s="10" t="str">
        <f>IFERROR(VLOOKUP(_stats[[#This Row],[player_id]],_players[[player_id]:[player_name]],2,0),"")</f>
        <v>Атай</v>
      </c>
      <c r="E1584" s="72">
        <v>0</v>
      </c>
      <c r="F1584" s="102">
        <v>1</v>
      </c>
      <c r="G1584" s="10">
        <f>SUMIFS(_teams[wins_on_date],_teams[date],_stats[[#This Row],[date]],_teams[team_number],_stats[[#This Row],[team_number]])</f>
        <v>5</v>
      </c>
      <c r="H1584" s="10">
        <f>SUMIFS(_teams[draws_on_date],_teams[date],_stats[[#This Row],[date]],_teams[team_number],_stats[[#This Row],[team_number]])</f>
        <v>2</v>
      </c>
      <c r="I1584" s="72">
        <v>0</v>
      </c>
      <c r="J1584" s="104">
        <v>0</v>
      </c>
      <c r="K1584" s="72">
        <v>7</v>
      </c>
      <c r="L1584" s="53" t="str">
        <f>VLOOKUP(_stats[[#This Row],[tournament]],tournaments_n_rules[],2,0)</f>
        <v>УПК</v>
      </c>
      <c r="M1584" s="53" t="str">
        <f>VLOOKUP(_stats[[#This Row],[tournament]],tournaments_n_rules[],3,0)</f>
        <v>Лето 2026</v>
      </c>
      <c r="N1584" s="54">
        <f>VLOOKUP(_stats[[#This Row],[tournament]],tournaments_n_rules[],4,0)</f>
        <v>46194</v>
      </c>
      <c r="O1584" s="54">
        <f>VLOOKUP(_stats[[#This Row],[tournament]],tournaments_n_rules[],5,0)</f>
        <v>46265</v>
      </c>
    </row>
    <row r="1585" spans="1:15" x14ac:dyDescent="0.25">
      <c r="A1585" s="6">
        <v>46236</v>
      </c>
      <c r="B1585" s="72">
        <v>1</v>
      </c>
      <c r="C1585" s="104" t="s">
        <v>19</v>
      </c>
      <c r="D1585" s="10" t="str">
        <f>IFERROR(VLOOKUP(_stats[[#This Row],[player_id]],_players[[player_id]:[player_name]],2,0),"")</f>
        <v>Олег Шишкин</v>
      </c>
      <c r="E1585" s="72">
        <v>2</v>
      </c>
      <c r="F1585" s="102">
        <v>1</v>
      </c>
      <c r="G1585" s="10">
        <f>SUMIFS(_teams[wins_on_date],_teams[date],_stats[[#This Row],[date]],_teams[team_number],_stats[[#This Row],[team_number]])</f>
        <v>5</v>
      </c>
      <c r="H1585" s="10">
        <f>SUMIFS(_teams[draws_on_date],_teams[date],_stats[[#This Row],[date]],_teams[team_number],_stats[[#This Row],[team_number]])</f>
        <v>2</v>
      </c>
      <c r="I1585" s="72">
        <v>0</v>
      </c>
      <c r="J1585" s="104">
        <v>0</v>
      </c>
      <c r="K1585" s="72">
        <v>7</v>
      </c>
      <c r="L1585" s="53" t="str">
        <f>VLOOKUP(_stats[[#This Row],[tournament]],tournaments_n_rules[],2,0)</f>
        <v>УПК</v>
      </c>
      <c r="M1585" s="53" t="str">
        <f>VLOOKUP(_stats[[#This Row],[tournament]],tournaments_n_rules[],3,0)</f>
        <v>Лето 2026</v>
      </c>
      <c r="N1585" s="54">
        <f>VLOOKUP(_stats[[#This Row],[tournament]],tournaments_n_rules[],4,0)</f>
        <v>46194</v>
      </c>
      <c r="O1585" s="54">
        <f>VLOOKUP(_stats[[#This Row],[tournament]],tournaments_n_rules[],5,0)</f>
        <v>46265</v>
      </c>
    </row>
    <row r="1586" spans="1:15" x14ac:dyDescent="0.25">
      <c r="A1586" s="6">
        <v>46236</v>
      </c>
      <c r="B1586" s="72">
        <v>1</v>
      </c>
      <c r="C1586" s="104" t="s">
        <v>309</v>
      </c>
      <c r="D1586" s="10" t="str">
        <f>IFERROR(VLOOKUP(_stats[[#This Row],[player_id]],_players[[player_id]:[player_name]],2,0),"")</f>
        <v>Александр</v>
      </c>
      <c r="E1586" s="72">
        <v>0</v>
      </c>
      <c r="F1586" s="102">
        <v>1</v>
      </c>
      <c r="G1586" s="10">
        <f>SUMIFS(_teams[wins_on_date],_teams[date],_stats[[#This Row],[date]],_teams[team_number],_stats[[#This Row],[team_number]])</f>
        <v>5</v>
      </c>
      <c r="H1586" s="10">
        <f>SUMIFS(_teams[draws_on_date],_teams[date],_stats[[#This Row],[date]],_teams[team_number],_stats[[#This Row],[team_number]])</f>
        <v>2</v>
      </c>
      <c r="I1586" s="72">
        <v>0</v>
      </c>
      <c r="J1586" s="104">
        <v>0</v>
      </c>
      <c r="K1586" s="72">
        <v>7</v>
      </c>
      <c r="L1586" s="53" t="str">
        <f>VLOOKUP(_stats[[#This Row],[tournament]],tournaments_n_rules[],2,0)</f>
        <v>УПК</v>
      </c>
      <c r="M1586" s="53" t="str">
        <f>VLOOKUP(_stats[[#This Row],[tournament]],tournaments_n_rules[],3,0)</f>
        <v>Лето 2026</v>
      </c>
      <c r="N1586" s="54">
        <f>VLOOKUP(_stats[[#This Row],[tournament]],tournaments_n_rules[],4,0)</f>
        <v>46194</v>
      </c>
      <c r="O1586" s="54">
        <f>VLOOKUP(_stats[[#This Row],[tournament]],tournaments_n_rules[],5,0)</f>
        <v>46265</v>
      </c>
    </row>
    <row r="1587" spans="1:15" x14ac:dyDescent="0.25">
      <c r="A1587" s="6">
        <v>46236</v>
      </c>
      <c r="B1587" s="72">
        <v>3</v>
      </c>
      <c r="C1587" s="104" t="s">
        <v>55</v>
      </c>
      <c r="D1587" s="10" t="str">
        <f>IFERROR(VLOOKUP(_stats[[#This Row],[player_id]],_players[[player_id]:[player_name]],2,0),"")</f>
        <v>Кирилл (АК+1)</v>
      </c>
      <c r="E1587" s="72">
        <v>0</v>
      </c>
      <c r="F1587" s="102">
        <v>0</v>
      </c>
      <c r="G1587" s="10">
        <f>SUMIFS(_teams[wins_on_date],_teams[date],_stats[[#This Row],[date]],_teams[team_number],_stats[[#This Row],[team_number]])</f>
        <v>2</v>
      </c>
      <c r="H1587" s="10">
        <f>SUMIFS(_teams[draws_on_date],_teams[date],_stats[[#This Row],[date]],_teams[team_number],_stats[[#This Row],[team_number]])</f>
        <v>2</v>
      </c>
      <c r="I1587" s="72">
        <v>0</v>
      </c>
      <c r="J1587" s="104">
        <v>0</v>
      </c>
      <c r="K1587" s="72">
        <v>7</v>
      </c>
      <c r="L1587" s="53" t="str">
        <f>VLOOKUP(_stats[[#This Row],[tournament]],tournaments_n_rules[],2,0)</f>
        <v>УПК</v>
      </c>
      <c r="M1587" s="53" t="str">
        <f>VLOOKUP(_stats[[#This Row],[tournament]],tournaments_n_rules[],3,0)</f>
        <v>Лето 2026</v>
      </c>
      <c r="N1587" s="54">
        <f>VLOOKUP(_stats[[#This Row],[tournament]],tournaments_n_rules[],4,0)</f>
        <v>46194</v>
      </c>
      <c r="O1587" s="54">
        <f>VLOOKUP(_stats[[#This Row],[tournament]],tournaments_n_rules[],5,0)</f>
        <v>46265</v>
      </c>
    </row>
    <row r="1588" spans="1:15" x14ac:dyDescent="0.25">
      <c r="A1588" s="6">
        <v>46236</v>
      </c>
      <c r="B1588" s="72">
        <v>3</v>
      </c>
      <c r="C1588" s="104" t="s">
        <v>131</v>
      </c>
      <c r="D1588" s="10" t="str">
        <f>IFERROR(VLOOKUP(_stats[[#This Row],[player_id]],_players[[player_id]:[player_name]],2,0),"")</f>
        <v>Коля (АК+1)</v>
      </c>
      <c r="E1588" s="72">
        <v>1</v>
      </c>
      <c r="F1588" s="102">
        <v>0</v>
      </c>
      <c r="G1588" s="10">
        <f>SUMIFS(_teams[wins_on_date],_teams[date],_stats[[#This Row],[date]],_teams[team_number],_stats[[#This Row],[team_number]])</f>
        <v>2</v>
      </c>
      <c r="H1588" s="10">
        <f>SUMIFS(_teams[draws_on_date],_teams[date],_stats[[#This Row],[date]],_teams[team_number],_stats[[#This Row],[team_number]])</f>
        <v>2</v>
      </c>
      <c r="I1588" s="72">
        <v>0</v>
      </c>
      <c r="J1588" s="104">
        <v>0</v>
      </c>
      <c r="K1588" s="72">
        <v>7</v>
      </c>
      <c r="L1588" s="53" t="str">
        <f>VLOOKUP(_stats[[#This Row],[tournament]],tournaments_n_rules[],2,0)</f>
        <v>УПК</v>
      </c>
      <c r="M1588" s="53" t="str">
        <f>VLOOKUP(_stats[[#This Row],[tournament]],tournaments_n_rules[],3,0)</f>
        <v>Лето 2026</v>
      </c>
      <c r="N1588" s="54">
        <f>VLOOKUP(_stats[[#This Row],[tournament]],tournaments_n_rules[],4,0)</f>
        <v>46194</v>
      </c>
      <c r="O1588" s="54">
        <f>VLOOKUP(_stats[[#This Row],[tournament]],tournaments_n_rules[],5,0)</f>
        <v>46265</v>
      </c>
    </row>
    <row r="1589" spans="1:15" x14ac:dyDescent="0.25">
      <c r="A1589" s="6">
        <v>46236</v>
      </c>
      <c r="B1589" s="72">
        <v>1</v>
      </c>
      <c r="C1589" s="104" t="s">
        <v>48</v>
      </c>
      <c r="D1589" s="10" t="str">
        <f>IFERROR(VLOOKUP(_stats[[#This Row],[player_id]],_players[[player_id]:[player_name]],2,0),"")</f>
        <v>Андрей (АК+1)</v>
      </c>
      <c r="E1589" s="72">
        <v>0</v>
      </c>
      <c r="F1589" s="102">
        <v>0</v>
      </c>
      <c r="G1589" s="10">
        <f>SUMIFS(_teams[wins_on_date],_teams[date],_stats[[#This Row],[date]],_teams[team_number],_stats[[#This Row],[team_number]])</f>
        <v>5</v>
      </c>
      <c r="H1589" s="10">
        <f>SUMIFS(_teams[draws_on_date],_teams[date],_stats[[#This Row],[date]],_teams[team_number],_stats[[#This Row],[team_number]])</f>
        <v>2</v>
      </c>
      <c r="I1589" s="72">
        <v>0</v>
      </c>
      <c r="J1589" s="104">
        <v>0</v>
      </c>
      <c r="K1589" s="72">
        <v>7</v>
      </c>
      <c r="L1589" s="53" t="str">
        <f>VLOOKUP(_stats[[#This Row],[tournament]],tournaments_n_rules[],2,0)</f>
        <v>УПК</v>
      </c>
      <c r="M1589" s="53" t="str">
        <f>VLOOKUP(_stats[[#This Row],[tournament]],tournaments_n_rules[],3,0)</f>
        <v>Лето 2026</v>
      </c>
      <c r="N1589" s="54">
        <f>VLOOKUP(_stats[[#This Row],[tournament]],tournaments_n_rules[],4,0)</f>
        <v>46194</v>
      </c>
      <c r="O1589" s="54">
        <f>VLOOKUP(_stats[[#This Row],[tournament]],tournaments_n_rules[],5,0)</f>
        <v>46265</v>
      </c>
    </row>
    <row r="1590" spans="1:15" x14ac:dyDescent="0.25">
      <c r="A1590" s="6">
        <v>46236</v>
      </c>
      <c r="B1590" s="72">
        <v>2</v>
      </c>
      <c r="C1590" s="104" t="s">
        <v>310</v>
      </c>
      <c r="D1590" s="10" t="str">
        <f>IFERROR(VLOOKUP(_stats[[#This Row],[player_id]],_players[[player_id]:[player_name]],2,0),"")</f>
        <v>Владислав</v>
      </c>
      <c r="E1590" s="72">
        <v>0</v>
      </c>
      <c r="F1590" s="102">
        <v>1</v>
      </c>
      <c r="G1590" s="10">
        <f>SUMIFS(_teams[wins_on_date],_teams[date],_stats[[#This Row],[date]],_teams[team_number],_stats[[#This Row],[team_number]])</f>
        <v>2</v>
      </c>
      <c r="H1590" s="10">
        <f>SUMIFS(_teams[draws_on_date],_teams[date],_stats[[#This Row],[date]],_teams[team_number],_stats[[#This Row],[team_number]])</f>
        <v>2</v>
      </c>
      <c r="I1590" s="72">
        <v>1</v>
      </c>
      <c r="J1590" s="104">
        <v>0</v>
      </c>
      <c r="K1590" s="72">
        <v>7</v>
      </c>
      <c r="L1590" s="53" t="str">
        <f>VLOOKUP(_stats[[#This Row],[tournament]],tournaments_n_rules[],2,0)</f>
        <v>УПК</v>
      </c>
      <c r="M1590" s="53" t="str">
        <f>VLOOKUP(_stats[[#This Row],[tournament]],tournaments_n_rules[],3,0)</f>
        <v>Лето 2026</v>
      </c>
      <c r="N1590" s="54">
        <f>VLOOKUP(_stats[[#This Row],[tournament]],tournaments_n_rules[],4,0)</f>
        <v>46194</v>
      </c>
      <c r="O1590" s="54">
        <f>VLOOKUP(_stats[[#This Row],[tournament]],tournaments_n_rules[],5,0)</f>
        <v>46265</v>
      </c>
    </row>
    <row r="1591" spans="1:15" x14ac:dyDescent="0.25">
      <c r="A1591" s="6">
        <v>46236</v>
      </c>
      <c r="B1591" s="72">
        <v>2</v>
      </c>
      <c r="C1591" s="104" t="s">
        <v>43</v>
      </c>
      <c r="D1591" s="10" t="str">
        <f>IFERROR(VLOOKUP(_stats[[#This Row],[player_id]],_players[[player_id]:[player_name]],2,0),"")</f>
        <v>Никита</v>
      </c>
      <c r="E1591" s="72">
        <v>0</v>
      </c>
      <c r="F1591" s="102">
        <v>1</v>
      </c>
      <c r="G1591" s="10">
        <f>SUMIFS(_teams[wins_on_date],_teams[date],_stats[[#This Row],[date]],_teams[team_number],_stats[[#This Row],[team_number]])</f>
        <v>2</v>
      </c>
      <c r="H1591" s="10">
        <f>SUMIFS(_teams[draws_on_date],_teams[date],_stats[[#This Row],[date]],_teams[team_number],_stats[[#This Row],[team_number]])</f>
        <v>2</v>
      </c>
      <c r="I1591" s="72">
        <v>0</v>
      </c>
      <c r="J1591" s="104">
        <v>0</v>
      </c>
      <c r="K1591" s="72">
        <v>7</v>
      </c>
      <c r="L1591" s="53" t="str">
        <f>VLOOKUP(_stats[[#This Row],[tournament]],tournaments_n_rules[],2,0)</f>
        <v>УПК</v>
      </c>
      <c r="M1591" s="53" t="str">
        <f>VLOOKUP(_stats[[#This Row],[tournament]],tournaments_n_rules[],3,0)</f>
        <v>Лето 2026</v>
      </c>
      <c r="N1591" s="54">
        <f>VLOOKUP(_stats[[#This Row],[tournament]],tournaments_n_rules[],4,0)</f>
        <v>46194</v>
      </c>
      <c r="O1591" s="54">
        <f>VLOOKUP(_stats[[#This Row],[tournament]],tournaments_n_rules[],5,0)</f>
        <v>46265</v>
      </c>
    </row>
    <row r="1592" spans="1:15" x14ac:dyDescent="0.25">
      <c r="A1592" s="6">
        <v>46236</v>
      </c>
      <c r="B1592" s="72">
        <v>3</v>
      </c>
      <c r="C1592" s="104" t="s">
        <v>11</v>
      </c>
      <c r="D1592" s="10" t="str">
        <f>IFERROR(VLOOKUP(_stats[[#This Row],[player_id]],_players[[player_id]:[player_name]],2,0),"")</f>
        <v>Сергей Крюков</v>
      </c>
      <c r="E1592" s="72">
        <v>0</v>
      </c>
      <c r="F1592" s="102">
        <v>0</v>
      </c>
      <c r="G1592" s="10">
        <f>SUMIFS(_teams[wins_on_date],_teams[date],_stats[[#This Row],[date]],_teams[team_number],_stats[[#This Row],[team_number]])</f>
        <v>2</v>
      </c>
      <c r="H1592" s="10">
        <f>SUMIFS(_teams[draws_on_date],_teams[date],_stats[[#This Row],[date]],_teams[team_number],_stats[[#This Row],[team_number]])</f>
        <v>2</v>
      </c>
      <c r="I1592" s="72">
        <v>1</v>
      </c>
      <c r="J1592" s="104">
        <v>0</v>
      </c>
      <c r="K1592" s="72">
        <v>7</v>
      </c>
      <c r="L1592" s="53" t="str">
        <f>VLOOKUP(_stats[[#This Row],[tournament]],tournaments_n_rules[],2,0)</f>
        <v>УПК</v>
      </c>
      <c r="M1592" s="53" t="str">
        <f>VLOOKUP(_stats[[#This Row],[tournament]],tournaments_n_rules[],3,0)</f>
        <v>Лето 2026</v>
      </c>
      <c r="N1592" s="54">
        <f>VLOOKUP(_stats[[#This Row],[tournament]],tournaments_n_rules[],4,0)</f>
        <v>46194</v>
      </c>
      <c r="O1592" s="54">
        <f>VLOOKUP(_stats[[#This Row],[tournament]],tournaments_n_rules[],5,0)</f>
        <v>46265</v>
      </c>
    </row>
    <row r="1593" spans="1:15" x14ac:dyDescent="0.25">
      <c r="A1593" s="6">
        <v>46236</v>
      </c>
      <c r="B1593" s="72">
        <v>2</v>
      </c>
      <c r="C1593" s="104" t="s">
        <v>125</v>
      </c>
      <c r="D1593" s="10" t="str">
        <f>IFERROR(VLOOKUP(_stats[[#This Row],[player_id]],_players[[player_id]:[player_name]],2,0),"")</f>
        <v>Арги</v>
      </c>
      <c r="E1593" s="72">
        <v>1</v>
      </c>
      <c r="F1593" s="102">
        <v>1</v>
      </c>
      <c r="G1593" s="10">
        <f>SUMIFS(_teams[wins_on_date],_teams[date],_stats[[#This Row],[date]],_teams[team_number],_stats[[#This Row],[team_number]])</f>
        <v>2</v>
      </c>
      <c r="H1593" s="10">
        <f>SUMIFS(_teams[draws_on_date],_teams[date],_stats[[#This Row],[date]],_teams[team_number],_stats[[#This Row],[team_number]])</f>
        <v>2</v>
      </c>
      <c r="I1593" s="72">
        <v>0</v>
      </c>
      <c r="J1593" s="104">
        <v>0</v>
      </c>
      <c r="K1593" s="72">
        <v>7</v>
      </c>
      <c r="L1593" s="53" t="str">
        <f>VLOOKUP(_stats[[#This Row],[tournament]],tournaments_n_rules[],2,0)</f>
        <v>УПК</v>
      </c>
      <c r="M1593" s="53" t="str">
        <f>VLOOKUP(_stats[[#This Row],[tournament]],tournaments_n_rules[],3,0)</f>
        <v>Лето 2026</v>
      </c>
      <c r="N1593" s="54">
        <f>VLOOKUP(_stats[[#This Row],[tournament]],tournaments_n_rules[],4,0)</f>
        <v>46194</v>
      </c>
      <c r="O1593" s="54">
        <f>VLOOKUP(_stats[[#This Row],[tournament]],tournaments_n_rules[],5,0)</f>
        <v>46265</v>
      </c>
    </row>
    <row r="1594" spans="1:15" x14ac:dyDescent="0.25">
      <c r="A1594" s="6">
        <v>46236</v>
      </c>
      <c r="B1594" s="72">
        <v>2</v>
      </c>
      <c r="C1594" s="104" t="s">
        <v>139</v>
      </c>
      <c r="D1594" s="10" t="str">
        <f>IFERROR(VLOOKUP(_stats[[#This Row],[player_id]],_players[[player_id]:[player_name]],2,0),"")</f>
        <v>Мухамед (Руб+1)</v>
      </c>
      <c r="E1594" s="72">
        <v>0</v>
      </c>
      <c r="F1594" s="102">
        <v>0</v>
      </c>
      <c r="G1594" s="10">
        <f>SUMIFS(_teams[wins_on_date],_teams[date],_stats[[#This Row],[date]],_teams[team_number],_stats[[#This Row],[team_number]])</f>
        <v>2</v>
      </c>
      <c r="H1594" s="10">
        <f>SUMIFS(_teams[draws_on_date],_teams[date],_stats[[#This Row],[date]],_teams[team_number],_stats[[#This Row],[team_number]])</f>
        <v>2</v>
      </c>
      <c r="I1594" s="72">
        <v>0</v>
      </c>
      <c r="J1594" s="104">
        <v>0</v>
      </c>
      <c r="K1594" s="72">
        <v>7</v>
      </c>
      <c r="L1594" s="53" t="str">
        <f>VLOOKUP(_stats[[#This Row],[tournament]],tournaments_n_rules[],2,0)</f>
        <v>УПК</v>
      </c>
      <c r="M1594" s="53" t="str">
        <f>VLOOKUP(_stats[[#This Row],[tournament]],tournaments_n_rules[],3,0)</f>
        <v>Лето 2026</v>
      </c>
      <c r="N1594" s="54">
        <f>VLOOKUP(_stats[[#This Row],[tournament]],tournaments_n_rules[],4,0)</f>
        <v>46194</v>
      </c>
      <c r="O1594" s="54">
        <f>VLOOKUP(_stats[[#This Row],[tournament]],tournaments_n_rules[],5,0)</f>
        <v>46265</v>
      </c>
    </row>
    <row r="1595" spans="1:15" x14ac:dyDescent="0.25">
      <c r="A1595" s="6">
        <v>46236</v>
      </c>
      <c r="B1595" s="72">
        <v>3</v>
      </c>
      <c r="C1595" s="104" t="s">
        <v>65</v>
      </c>
      <c r="D1595" s="10" t="str">
        <f>IFERROR(VLOOKUP(_stats[[#This Row],[player_id]],_players[[player_id]:[player_name]],2,0),"")</f>
        <v>Марат (Атай+1)</v>
      </c>
      <c r="E1595" s="72">
        <v>2</v>
      </c>
      <c r="F1595" s="102">
        <v>0</v>
      </c>
      <c r="G1595" s="10">
        <f>SUMIFS(_teams[wins_on_date],_teams[date],_stats[[#This Row],[date]],_teams[team_number],_stats[[#This Row],[team_number]])</f>
        <v>2</v>
      </c>
      <c r="H1595" s="10">
        <f>SUMIFS(_teams[draws_on_date],_teams[date],_stats[[#This Row],[date]],_teams[team_number],_stats[[#This Row],[team_number]])</f>
        <v>2</v>
      </c>
      <c r="I1595" s="72">
        <v>1</v>
      </c>
      <c r="J1595" s="104">
        <v>0</v>
      </c>
      <c r="K1595" s="72">
        <v>7</v>
      </c>
      <c r="L1595" s="53" t="str">
        <f>VLOOKUP(_stats[[#This Row],[tournament]],tournaments_n_rules[],2,0)</f>
        <v>УПК</v>
      </c>
      <c r="M1595" s="53" t="str">
        <f>VLOOKUP(_stats[[#This Row],[tournament]],tournaments_n_rules[],3,0)</f>
        <v>Лето 2026</v>
      </c>
      <c r="N1595" s="54">
        <f>VLOOKUP(_stats[[#This Row],[tournament]],tournaments_n_rules[],4,0)</f>
        <v>46194</v>
      </c>
      <c r="O1595" s="54">
        <f>VLOOKUP(_stats[[#This Row],[tournament]],tournaments_n_rules[],5,0)</f>
        <v>46265</v>
      </c>
    </row>
    <row r="1596" spans="1:15" x14ac:dyDescent="0.25">
      <c r="A1596" s="6">
        <v>46236</v>
      </c>
      <c r="B1596" s="72">
        <v>2</v>
      </c>
      <c r="C1596" s="104" t="s">
        <v>296</v>
      </c>
      <c r="D1596" s="10" t="str">
        <f>IFERROR(VLOOKUP(_stats[[#This Row],[player_id]],_players[[player_id]:[player_name]],2,0),"")</f>
        <v>Денис (Вова +1)</v>
      </c>
      <c r="E1596" s="72">
        <v>0</v>
      </c>
      <c r="F1596" s="102">
        <v>0</v>
      </c>
      <c r="G1596" s="10">
        <f>SUMIFS(_teams[wins_on_date],_teams[date],_stats[[#This Row],[date]],_teams[team_number],_stats[[#This Row],[team_number]])</f>
        <v>2</v>
      </c>
      <c r="H1596" s="10">
        <f>SUMIFS(_teams[draws_on_date],_teams[date],_stats[[#This Row],[date]],_teams[team_number],_stats[[#This Row],[team_number]])</f>
        <v>2</v>
      </c>
      <c r="I1596" s="72">
        <v>0</v>
      </c>
      <c r="J1596" s="104">
        <v>0</v>
      </c>
      <c r="K1596" s="72">
        <v>7</v>
      </c>
      <c r="L1596" s="53" t="str">
        <f>VLOOKUP(_stats[[#This Row],[tournament]],tournaments_n_rules[],2,0)</f>
        <v>УПК</v>
      </c>
      <c r="M1596" s="53" t="str">
        <f>VLOOKUP(_stats[[#This Row],[tournament]],tournaments_n_rules[],3,0)</f>
        <v>Лето 2026</v>
      </c>
      <c r="N1596" s="54">
        <f>VLOOKUP(_stats[[#This Row],[tournament]],tournaments_n_rules[],4,0)</f>
        <v>46194</v>
      </c>
      <c r="O1596" s="54">
        <f>VLOOKUP(_stats[[#This Row],[tournament]],tournaments_n_rules[],5,0)</f>
        <v>46265</v>
      </c>
    </row>
    <row r="1597" spans="1:15" x14ac:dyDescent="0.25">
      <c r="A1597" s="6">
        <v>46236</v>
      </c>
      <c r="B1597" s="72">
        <v>2</v>
      </c>
      <c r="C1597" s="104" t="s">
        <v>169</v>
      </c>
      <c r="D1597" s="10" t="str">
        <f>IFERROR(VLOOKUP(_stats[[#This Row],[player_id]],_players[[player_id]:[player_name]],2,0),"")</f>
        <v>Вадим (1747)</v>
      </c>
      <c r="E1597" s="72">
        <v>0</v>
      </c>
      <c r="F1597" s="102">
        <v>0</v>
      </c>
      <c r="G1597" s="10">
        <f>SUMIFS(_teams[wins_on_date],_teams[date],_stats[[#This Row],[date]],_teams[team_number],_stats[[#This Row],[team_number]])</f>
        <v>2</v>
      </c>
      <c r="H1597" s="10">
        <f>SUMIFS(_teams[draws_on_date],_teams[date],_stats[[#This Row],[date]],_teams[team_number],_stats[[#This Row],[team_number]])</f>
        <v>2</v>
      </c>
      <c r="I1597" s="72">
        <v>0</v>
      </c>
      <c r="J1597" s="104">
        <v>0</v>
      </c>
      <c r="K1597" s="72">
        <v>7</v>
      </c>
      <c r="L1597" s="53" t="str">
        <f>VLOOKUP(_stats[[#This Row],[tournament]],tournaments_n_rules[],2,0)</f>
        <v>УПК</v>
      </c>
      <c r="M1597" s="53" t="str">
        <f>VLOOKUP(_stats[[#This Row],[tournament]],tournaments_n_rules[],3,0)</f>
        <v>Лето 2026</v>
      </c>
      <c r="N1597" s="54">
        <f>VLOOKUP(_stats[[#This Row],[tournament]],tournaments_n_rules[],4,0)</f>
        <v>46194</v>
      </c>
      <c r="O1597" s="54">
        <f>VLOOKUP(_stats[[#This Row],[tournament]],tournaments_n_rules[],5,0)</f>
        <v>46265</v>
      </c>
    </row>
    <row r="1598" spans="1:15" x14ac:dyDescent="0.25">
      <c r="A1598" s="6">
        <v>46236</v>
      </c>
      <c r="B1598" s="72">
        <v>2</v>
      </c>
      <c r="C1598" s="104" t="s">
        <v>23</v>
      </c>
      <c r="D1598" s="10" t="str">
        <f>IFERROR(VLOOKUP(_stats[[#This Row],[player_id]],_players[[player_id]:[player_name]],2,0),"")</f>
        <v>Вова</v>
      </c>
      <c r="E1598" s="72">
        <v>2</v>
      </c>
      <c r="F1598" s="102">
        <v>0</v>
      </c>
      <c r="G1598" s="10">
        <f>SUMIFS(_teams[wins_on_date],_teams[date],_stats[[#This Row],[date]],_teams[team_number],_stats[[#This Row],[team_number]])</f>
        <v>2</v>
      </c>
      <c r="H1598" s="10">
        <f>SUMIFS(_teams[draws_on_date],_teams[date],_stats[[#This Row],[date]],_teams[team_number],_stats[[#This Row],[team_number]])</f>
        <v>2</v>
      </c>
      <c r="I1598" s="72">
        <v>1</v>
      </c>
      <c r="J1598" s="104">
        <v>0</v>
      </c>
      <c r="K1598" s="72">
        <v>7</v>
      </c>
      <c r="L1598" s="53" t="str">
        <f>VLOOKUP(_stats[[#This Row],[tournament]],tournaments_n_rules[],2,0)</f>
        <v>УПК</v>
      </c>
      <c r="M1598" s="53" t="str">
        <f>VLOOKUP(_stats[[#This Row],[tournament]],tournaments_n_rules[],3,0)</f>
        <v>Лето 2026</v>
      </c>
      <c r="N1598" s="54">
        <f>VLOOKUP(_stats[[#This Row],[tournament]],tournaments_n_rules[],4,0)</f>
        <v>46194</v>
      </c>
      <c r="O1598" s="54">
        <f>VLOOKUP(_stats[[#This Row],[tournament]],tournaments_n_rules[],5,0)</f>
        <v>46265</v>
      </c>
    </row>
    <row r="1599" spans="1:15" x14ac:dyDescent="0.25">
      <c r="A1599" s="6">
        <v>46236</v>
      </c>
      <c r="B1599" s="72">
        <v>3</v>
      </c>
      <c r="C1599" s="104" t="s">
        <v>38</v>
      </c>
      <c r="D1599" s="10" t="str">
        <f>IFERROR(VLOOKUP(_stats[[#This Row],[player_id]],_players[[player_id]:[player_name]],2,0),"")</f>
        <v>Рамиль (АК+1)</v>
      </c>
      <c r="E1599" s="72">
        <v>0</v>
      </c>
      <c r="F1599" s="102">
        <v>0</v>
      </c>
      <c r="G1599" s="10">
        <f>SUMIFS(_teams[wins_on_date],_teams[date],_stats[[#This Row],[date]],_teams[team_number],_stats[[#This Row],[team_number]])</f>
        <v>2</v>
      </c>
      <c r="H1599" s="10">
        <f>SUMIFS(_teams[draws_on_date],_teams[date],_stats[[#This Row],[date]],_teams[team_number],_stats[[#This Row],[team_number]])</f>
        <v>2</v>
      </c>
      <c r="I1599" s="72">
        <v>0</v>
      </c>
      <c r="J1599" s="104">
        <v>0</v>
      </c>
      <c r="K1599" s="72">
        <v>7</v>
      </c>
      <c r="L1599" s="53" t="str">
        <f>VLOOKUP(_stats[[#This Row],[tournament]],tournaments_n_rules[],2,0)</f>
        <v>УПК</v>
      </c>
      <c r="M1599" s="53" t="str">
        <f>VLOOKUP(_stats[[#This Row],[tournament]],tournaments_n_rules[],3,0)</f>
        <v>Лето 2026</v>
      </c>
      <c r="N1599" s="54">
        <f>VLOOKUP(_stats[[#This Row],[tournament]],tournaments_n_rules[],4,0)</f>
        <v>46194</v>
      </c>
      <c r="O1599" s="54">
        <f>VLOOKUP(_stats[[#This Row],[tournament]],tournaments_n_rules[],5,0)</f>
        <v>46265</v>
      </c>
    </row>
    <row r="1600" spans="1:15" x14ac:dyDescent="0.25">
      <c r="A1600" s="6">
        <v>46236</v>
      </c>
      <c r="B1600" s="72">
        <v>3</v>
      </c>
      <c r="C1600" s="104" t="s">
        <v>295</v>
      </c>
      <c r="D1600" s="10" t="str">
        <f>IFERROR(VLOOKUP(_stats[[#This Row],[player_id]],_players[[player_id]:[player_name]],2,0),"")</f>
        <v>Гоша (АК+1)</v>
      </c>
      <c r="E1600" s="72">
        <v>0</v>
      </c>
      <c r="F1600" s="102">
        <v>0</v>
      </c>
      <c r="G1600" s="10">
        <f>SUMIFS(_teams[wins_on_date],_teams[date],_stats[[#This Row],[date]],_teams[team_number],_stats[[#This Row],[team_number]])</f>
        <v>2</v>
      </c>
      <c r="H1600" s="10">
        <f>SUMIFS(_teams[draws_on_date],_teams[date],_stats[[#This Row],[date]],_teams[team_number],_stats[[#This Row],[team_number]])</f>
        <v>2</v>
      </c>
      <c r="I1600" s="72">
        <v>0</v>
      </c>
      <c r="J1600" s="104">
        <v>0</v>
      </c>
      <c r="K1600" s="72">
        <v>7</v>
      </c>
      <c r="L1600" s="53" t="str">
        <f>VLOOKUP(_stats[[#This Row],[tournament]],tournaments_n_rules[],2,0)</f>
        <v>УПК</v>
      </c>
      <c r="M1600" s="53" t="str">
        <f>VLOOKUP(_stats[[#This Row],[tournament]],tournaments_n_rules[],3,0)</f>
        <v>Лето 2026</v>
      </c>
      <c r="N1600" s="54">
        <f>VLOOKUP(_stats[[#This Row],[tournament]],tournaments_n_rules[],4,0)</f>
        <v>46194</v>
      </c>
      <c r="O1600" s="54">
        <f>VLOOKUP(_stats[[#This Row],[tournament]],tournaments_n_rules[],5,0)</f>
        <v>46265</v>
      </c>
    </row>
    <row r="1601" spans="1:15" x14ac:dyDescent="0.25">
      <c r="A1601" s="6">
        <v>46236</v>
      </c>
      <c r="B1601" s="72">
        <v>3</v>
      </c>
      <c r="C1601" s="104" t="s">
        <v>46</v>
      </c>
      <c r="D1601" s="10" t="str">
        <f>IFERROR(VLOOKUP(_stats[[#This Row],[player_id]],_players[[player_id]:[player_name]],2,0),"")</f>
        <v>Рома Сурнин</v>
      </c>
      <c r="E1601" s="72">
        <v>0</v>
      </c>
      <c r="F1601" s="102">
        <v>0</v>
      </c>
      <c r="G1601" s="10">
        <f>SUMIFS(_teams[wins_on_date],_teams[date],_stats[[#This Row],[date]],_teams[team_number],_stats[[#This Row],[team_number]])</f>
        <v>2</v>
      </c>
      <c r="H1601" s="10">
        <f>SUMIFS(_teams[draws_on_date],_teams[date],_stats[[#This Row],[date]],_teams[team_number],_stats[[#This Row],[team_number]])</f>
        <v>2</v>
      </c>
      <c r="I1601" s="72">
        <v>2</v>
      </c>
      <c r="J1601" s="104">
        <v>0</v>
      </c>
      <c r="K1601" s="72">
        <v>7</v>
      </c>
      <c r="L1601" s="53" t="str">
        <f>VLOOKUP(_stats[[#This Row],[tournament]],tournaments_n_rules[],2,0)</f>
        <v>УПК</v>
      </c>
      <c r="M1601" s="53" t="str">
        <f>VLOOKUP(_stats[[#This Row],[tournament]],tournaments_n_rules[],3,0)</f>
        <v>Лето 2026</v>
      </c>
      <c r="N1601" s="54">
        <f>VLOOKUP(_stats[[#This Row],[tournament]],tournaments_n_rules[],4,0)</f>
        <v>46194</v>
      </c>
      <c r="O1601" s="54">
        <f>VLOOKUP(_stats[[#This Row],[tournament]],tournaments_n_rules[],5,0)</f>
        <v>46265</v>
      </c>
    </row>
    <row r="1602" spans="1:15" x14ac:dyDescent="0.25">
      <c r="A1602" s="6">
        <v>46236</v>
      </c>
      <c r="B1602" s="72">
        <v>2</v>
      </c>
      <c r="C1602" s="104" t="s">
        <v>111</v>
      </c>
      <c r="D1602" s="10" t="str">
        <f>IFERROR(VLOOKUP(_stats[[#This Row],[player_id]],_players[[player_id]:[player_name]],2,0),"")</f>
        <v>Дима (Спартак)</v>
      </c>
      <c r="E1602" s="72">
        <v>1</v>
      </c>
      <c r="F1602" s="102">
        <v>0</v>
      </c>
      <c r="G1602" s="10">
        <f>SUMIFS(_teams[wins_on_date],_teams[date],_stats[[#This Row],[date]],_teams[team_number],_stats[[#This Row],[team_number]])</f>
        <v>2</v>
      </c>
      <c r="H1602" s="10">
        <f>SUMIFS(_teams[draws_on_date],_teams[date],_stats[[#This Row],[date]],_teams[team_number],_stats[[#This Row],[team_number]])</f>
        <v>2</v>
      </c>
      <c r="I1602" s="72">
        <v>0</v>
      </c>
      <c r="J1602" s="104">
        <v>0</v>
      </c>
      <c r="K1602" s="72">
        <v>7</v>
      </c>
      <c r="L1602" s="53" t="str">
        <f>VLOOKUP(_stats[[#This Row],[tournament]],tournaments_n_rules[],2,0)</f>
        <v>УПК</v>
      </c>
      <c r="M1602" s="53" t="str">
        <f>VLOOKUP(_stats[[#This Row],[tournament]],tournaments_n_rules[],3,0)</f>
        <v>Лето 2026</v>
      </c>
      <c r="N1602" s="54">
        <f>VLOOKUP(_stats[[#This Row],[tournament]],tournaments_n_rules[],4,0)</f>
        <v>46194</v>
      </c>
      <c r="O1602" s="54">
        <f>VLOOKUP(_stats[[#This Row],[tournament]],tournaments_n_rules[],5,0)</f>
        <v>46265</v>
      </c>
    </row>
    <row r="1603" spans="1:15" x14ac:dyDescent="0.25">
      <c r="A1603" s="6">
        <v>46236</v>
      </c>
      <c r="B1603" s="72">
        <v>3</v>
      </c>
      <c r="C1603" s="104" t="s">
        <v>308</v>
      </c>
      <c r="D1603" s="10" t="str">
        <f>IFERROR(VLOOKUP(_stats[[#This Row],[player_id]],_players[[player_id]:[player_name]],2,0),"")</f>
        <v>Вася (1900)</v>
      </c>
      <c r="E1603" s="72">
        <v>2</v>
      </c>
      <c r="F1603" s="102">
        <v>0</v>
      </c>
      <c r="G1603" s="10">
        <f>SUMIFS(_teams[wins_on_date],_teams[date],_stats[[#This Row],[date]],_teams[team_number],_stats[[#This Row],[team_number]])</f>
        <v>2</v>
      </c>
      <c r="H1603" s="10">
        <f>SUMIFS(_teams[draws_on_date],_teams[date],_stats[[#This Row],[date]],_teams[team_number],_stats[[#This Row],[team_number]])</f>
        <v>2</v>
      </c>
      <c r="I1603" s="72">
        <v>0</v>
      </c>
      <c r="J1603" s="104">
        <v>0</v>
      </c>
      <c r="K1603" s="72">
        <v>7</v>
      </c>
      <c r="L1603" s="53" t="str">
        <f>VLOOKUP(_stats[[#This Row],[tournament]],tournaments_n_rules[],2,0)</f>
        <v>УПК</v>
      </c>
      <c r="M1603" s="53" t="str">
        <f>VLOOKUP(_stats[[#This Row],[tournament]],tournaments_n_rules[],3,0)</f>
        <v>Лето 2026</v>
      </c>
      <c r="N1603" s="54">
        <f>VLOOKUP(_stats[[#This Row],[tournament]],tournaments_n_rules[],4,0)</f>
        <v>46194</v>
      </c>
      <c r="O1603" s="54">
        <f>VLOOKUP(_stats[[#This Row],[tournament]],tournaments_n_rules[],5,0)</f>
        <v>46265</v>
      </c>
    </row>
    <row r="1604" spans="1:15" x14ac:dyDescent="0.25">
      <c r="A1604" s="6">
        <v>46243</v>
      </c>
      <c r="B1604" s="72">
        <v>2</v>
      </c>
      <c r="C1604" s="104" t="s">
        <v>48</v>
      </c>
      <c r="D1604" s="10" t="str">
        <f>IFERROR(VLOOKUP(_stats[[#This Row],[player_id]],_players[[player_id]:[player_name]],2,0),"")</f>
        <v>Андрей (АК+1)</v>
      </c>
      <c r="E1604" s="72">
        <v>0</v>
      </c>
      <c r="F1604" s="102">
        <v>0</v>
      </c>
      <c r="G1604" s="10">
        <f>SUMIFS(_teams[wins_on_date],_teams[date],_stats[[#This Row],[date]],_teams[team_number],_stats[[#This Row],[team_number]])</f>
        <v>6</v>
      </c>
      <c r="H1604" s="10">
        <f>SUMIFS(_teams[draws_on_date],_teams[date],_stats[[#This Row],[date]],_teams[team_number],_stats[[#This Row],[team_number]])</f>
        <v>3</v>
      </c>
      <c r="I1604" s="72">
        <v>0</v>
      </c>
      <c r="J1604" s="104">
        <v>0</v>
      </c>
      <c r="K1604" s="72">
        <v>7</v>
      </c>
      <c r="L1604" s="53" t="str">
        <f>VLOOKUP(_stats[[#This Row],[tournament]],tournaments_n_rules[],2,0)</f>
        <v>УПК</v>
      </c>
      <c r="M1604" s="53" t="str">
        <f>VLOOKUP(_stats[[#This Row],[tournament]],tournaments_n_rules[],3,0)</f>
        <v>Лето 2026</v>
      </c>
      <c r="N1604" s="54">
        <f>VLOOKUP(_stats[[#This Row],[tournament]],tournaments_n_rules[],4,0)</f>
        <v>46194</v>
      </c>
      <c r="O1604" s="54">
        <f>VLOOKUP(_stats[[#This Row],[tournament]],tournaments_n_rules[],5,0)</f>
        <v>46265</v>
      </c>
    </row>
    <row r="1605" spans="1:15" x14ac:dyDescent="0.25">
      <c r="A1605" s="6">
        <v>46243</v>
      </c>
      <c r="B1605" s="72">
        <v>3</v>
      </c>
      <c r="C1605" s="104" t="s">
        <v>32</v>
      </c>
      <c r="D1605" s="10" t="str">
        <f>IFERROR(VLOOKUP(_stats[[#This Row],[player_id]],_players[[player_id]:[player_name]],2,0),"")</f>
        <v>Миша</v>
      </c>
      <c r="E1605" s="72">
        <v>2</v>
      </c>
      <c r="F1605" s="102">
        <v>1</v>
      </c>
      <c r="G1605" s="10">
        <f>SUMIFS(_teams[wins_on_date],_teams[date],_stats[[#This Row],[date]],_teams[team_number],_stats[[#This Row],[team_number]])</f>
        <v>2</v>
      </c>
      <c r="H1605" s="10">
        <f>SUMIFS(_teams[draws_on_date],_teams[date],_stats[[#This Row],[date]],_teams[team_number],_stats[[#This Row],[team_number]])</f>
        <v>2</v>
      </c>
      <c r="I1605" s="72">
        <v>0</v>
      </c>
      <c r="J1605" s="104">
        <v>0</v>
      </c>
      <c r="K1605" s="72">
        <v>7</v>
      </c>
      <c r="L1605" s="53" t="str">
        <f>VLOOKUP(_stats[[#This Row],[tournament]],tournaments_n_rules[],2,0)</f>
        <v>УПК</v>
      </c>
      <c r="M1605" s="53" t="str">
        <f>VLOOKUP(_stats[[#This Row],[tournament]],tournaments_n_rules[],3,0)</f>
        <v>Лето 2026</v>
      </c>
      <c r="N1605" s="54">
        <f>VLOOKUP(_stats[[#This Row],[tournament]],tournaments_n_rules[],4,0)</f>
        <v>46194</v>
      </c>
      <c r="O1605" s="54">
        <f>VLOOKUP(_stats[[#This Row],[tournament]],tournaments_n_rules[],5,0)</f>
        <v>46265</v>
      </c>
    </row>
    <row r="1606" spans="1:15" x14ac:dyDescent="0.25">
      <c r="A1606" s="6">
        <v>46243</v>
      </c>
      <c r="B1606" s="72">
        <v>2</v>
      </c>
      <c r="C1606" s="104" t="s">
        <v>55</v>
      </c>
      <c r="D1606" s="10" t="str">
        <f>IFERROR(VLOOKUP(_stats[[#This Row],[player_id]],_players[[player_id]:[player_name]],2,0),"")</f>
        <v>Кирилл (АК+1)</v>
      </c>
      <c r="E1606" s="72">
        <v>0</v>
      </c>
      <c r="F1606" s="102">
        <v>0</v>
      </c>
      <c r="G1606" s="10">
        <f>SUMIFS(_teams[wins_on_date],_teams[date],_stats[[#This Row],[date]],_teams[team_number],_stats[[#This Row],[team_number]])</f>
        <v>6</v>
      </c>
      <c r="H1606" s="10">
        <f>SUMIFS(_teams[draws_on_date],_teams[date],_stats[[#This Row],[date]],_teams[team_number],_stats[[#This Row],[team_number]])</f>
        <v>3</v>
      </c>
      <c r="I1606" s="72">
        <v>0</v>
      </c>
      <c r="J1606" s="104">
        <v>0</v>
      </c>
      <c r="K1606" s="72">
        <v>7</v>
      </c>
      <c r="L1606" s="53" t="str">
        <f>VLOOKUP(_stats[[#This Row],[tournament]],tournaments_n_rules[],2,0)</f>
        <v>УПК</v>
      </c>
      <c r="M1606" s="53" t="str">
        <f>VLOOKUP(_stats[[#This Row],[tournament]],tournaments_n_rules[],3,0)</f>
        <v>Лето 2026</v>
      </c>
      <c r="N1606" s="54">
        <f>VLOOKUP(_stats[[#This Row],[tournament]],tournaments_n_rules[],4,0)</f>
        <v>46194</v>
      </c>
      <c r="O1606" s="54">
        <f>VLOOKUP(_stats[[#This Row],[tournament]],tournaments_n_rules[],5,0)</f>
        <v>46265</v>
      </c>
    </row>
    <row r="1607" spans="1:15" x14ac:dyDescent="0.25">
      <c r="A1607" s="6">
        <v>46243</v>
      </c>
      <c r="B1607" s="72">
        <v>1</v>
      </c>
      <c r="C1607" s="104" t="s">
        <v>139</v>
      </c>
      <c r="D1607" s="10" t="str">
        <f>IFERROR(VLOOKUP(_stats[[#This Row],[player_id]],_players[[player_id]:[player_name]],2,0),"")</f>
        <v>Мухамед (Руб+1)</v>
      </c>
      <c r="E1607" s="72">
        <v>0</v>
      </c>
      <c r="F1607" s="102">
        <v>0</v>
      </c>
      <c r="G1607" s="10">
        <f>SUMIFS(_teams[wins_on_date],_teams[date],_stats[[#This Row],[date]],_teams[team_number],_stats[[#This Row],[team_number]])</f>
        <v>0</v>
      </c>
      <c r="H1607" s="10">
        <f>SUMIFS(_teams[draws_on_date],_teams[date],_stats[[#This Row],[date]],_teams[team_number],_stats[[#This Row],[team_number]])</f>
        <v>3</v>
      </c>
      <c r="I1607" s="72">
        <v>0</v>
      </c>
      <c r="J1607" s="104">
        <v>0</v>
      </c>
      <c r="K1607" s="72">
        <v>7</v>
      </c>
      <c r="L1607" s="53" t="str">
        <f>VLOOKUP(_stats[[#This Row],[tournament]],tournaments_n_rules[],2,0)</f>
        <v>УПК</v>
      </c>
      <c r="M1607" s="53" t="str">
        <f>VLOOKUP(_stats[[#This Row],[tournament]],tournaments_n_rules[],3,0)</f>
        <v>Лето 2026</v>
      </c>
      <c r="N1607" s="54">
        <f>VLOOKUP(_stats[[#This Row],[tournament]],tournaments_n_rules[],4,0)</f>
        <v>46194</v>
      </c>
      <c r="O1607" s="54">
        <f>VLOOKUP(_stats[[#This Row],[tournament]],tournaments_n_rules[],5,0)</f>
        <v>46265</v>
      </c>
    </row>
    <row r="1608" spans="1:15" x14ac:dyDescent="0.25">
      <c r="A1608" s="6">
        <v>46243</v>
      </c>
      <c r="B1608" s="72">
        <v>3</v>
      </c>
      <c r="C1608" s="104" t="s">
        <v>35</v>
      </c>
      <c r="D1608" s="10" t="str">
        <f>IFERROR(VLOOKUP(_stats[[#This Row],[player_id]],_players[[player_id]:[player_name]],2,0),"")</f>
        <v>Рубик</v>
      </c>
      <c r="E1608" s="72">
        <v>0</v>
      </c>
      <c r="F1608" s="102">
        <v>0</v>
      </c>
      <c r="G1608" s="10">
        <f>SUMIFS(_teams[wins_on_date],_teams[date],_stats[[#This Row],[date]],_teams[team_number],_stats[[#This Row],[team_number]])</f>
        <v>2</v>
      </c>
      <c r="H1608" s="10">
        <f>SUMIFS(_teams[draws_on_date],_teams[date],_stats[[#This Row],[date]],_teams[team_number],_stats[[#This Row],[team_number]])</f>
        <v>2</v>
      </c>
      <c r="I1608" s="72">
        <v>0</v>
      </c>
      <c r="J1608" s="104">
        <v>0</v>
      </c>
      <c r="K1608" s="72">
        <v>7</v>
      </c>
      <c r="L1608" s="53" t="str">
        <f>VLOOKUP(_stats[[#This Row],[tournament]],tournaments_n_rules[],2,0)</f>
        <v>УПК</v>
      </c>
      <c r="M1608" s="53" t="str">
        <f>VLOOKUP(_stats[[#This Row],[tournament]],tournaments_n_rules[],3,0)</f>
        <v>Лето 2026</v>
      </c>
      <c r="N1608" s="54">
        <f>VLOOKUP(_stats[[#This Row],[tournament]],tournaments_n_rules[],4,0)</f>
        <v>46194</v>
      </c>
      <c r="O1608" s="54">
        <f>VLOOKUP(_stats[[#This Row],[tournament]],tournaments_n_rules[],5,0)</f>
        <v>46265</v>
      </c>
    </row>
    <row r="1609" spans="1:15" x14ac:dyDescent="0.25">
      <c r="A1609" s="6">
        <v>46243</v>
      </c>
      <c r="B1609" s="72">
        <v>1</v>
      </c>
      <c r="C1609" s="104" t="s">
        <v>25</v>
      </c>
      <c r="D1609" s="10" t="str">
        <f>IFERROR(VLOOKUP(_stats[[#This Row],[player_id]],_players[[player_id]:[player_name]],2,0),"")</f>
        <v>Атай</v>
      </c>
      <c r="E1609" s="72">
        <v>0</v>
      </c>
      <c r="F1609" s="102">
        <v>0</v>
      </c>
      <c r="G1609" s="10">
        <f>SUMIFS(_teams[wins_on_date],_teams[date],_stats[[#This Row],[date]],_teams[team_number],_stats[[#This Row],[team_number]])</f>
        <v>0</v>
      </c>
      <c r="H1609" s="10">
        <f>SUMIFS(_teams[draws_on_date],_teams[date],_stats[[#This Row],[date]],_teams[team_number],_stats[[#This Row],[team_number]])</f>
        <v>3</v>
      </c>
      <c r="I1609" s="72">
        <v>0</v>
      </c>
      <c r="J1609" s="104">
        <v>0</v>
      </c>
      <c r="K1609" s="72">
        <v>7</v>
      </c>
      <c r="L1609" s="53" t="str">
        <f>VLOOKUP(_stats[[#This Row],[tournament]],tournaments_n_rules[],2,0)</f>
        <v>УПК</v>
      </c>
      <c r="M1609" s="53" t="str">
        <f>VLOOKUP(_stats[[#This Row],[tournament]],tournaments_n_rules[],3,0)</f>
        <v>Лето 2026</v>
      </c>
      <c r="N1609" s="54">
        <f>VLOOKUP(_stats[[#This Row],[tournament]],tournaments_n_rules[],4,0)</f>
        <v>46194</v>
      </c>
      <c r="O1609" s="54">
        <f>VLOOKUP(_stats[[#This Row],[tournament]],tournaments_n_rules[],5,0)</f>
        <v>46265</v>
      </c>
    </row>
    <row r="1610" spans="1:15" x14ac:dyDescent="0.25">
      <c r="A1610" s="6">
        <v>46243</v>
      </c>
      <c r="B1610" s="72">
        <v>2</v>
      </c>
      <c r="C1610" s="104" t="s">
        <v>17</v>
      </c>
      <c r="D1610" s="10" t="str">
        <f>IFERROR(VLOOKUP(_stats[[#This Row],[player_id]],_players[[player_id]:[player_name]],2,0),"")</f>
        <v>Юра Пименов</v>
      </c>
      <c r="E1610" s="72">
        <v>4</v>
      </c>
      <c r="F1610" s="102">
        <v>2</v>
      </c>
      <c r="G1610" s="10">
        <f>SUMIFS(_teams[wins_on_date],_teams[date],_stats[[#This Row],[date]],_teams[team_number],_stats[[#This Row],[team_number]])</f>
        <v>6</v>
      </c>
      <c r="H1610" s="10">
        <f>SUMIFS(_teams[draws_on_date],_teams[date],_stats[[#This Row],[date]],_teams[team_number],_stats[[#This Row],[team_number]])</f>
        <v>3</v>
      </c>
      <c r="I1610" s="72">
        <v>0</v>
      </c>
      <c r="J1610" s="104">
        <v>0</v>
      </c>
      <c r="K1610" s="72">
        <v>7</v>
      </c>
      <c r="L1610" s="53" t="str">
        <f>VLOOKUP(_stats[[#This Row],[tournament]],tournaments_n_rules[],2,0)</f>
        <v>УПК</v>
      </c>
      <c r="M1610" s="53" t="str">
        <f>VLOOKUP(_stats[[#This Row],[tournament]],tournaments_n_rules[],3,0)</f>
        <v>Лето 2026</v>
      </c>
      <c r="N1610" s="54">
        <f>VLOOKUP(_stats[[#This Row],[tournament]],tournaments_n_rules[],4,0)</f>
        <v>46194</v>
      </c>
      <c r="O1610" s="54">
        <f>VLOOKUP(_stats[[#This Row],[tournament]],tournaments_n_rules[],5,0)</f>
        <v>46265</v>
      </c>
    </row>
    <row r="1611" spans="1:15" x14ac:dyDescent="0.25">
      <c r="A1611" s="6">
        <v>46243</v>
      </c>
      <c r="B1611" s="72">
        <v>2</v>
      </c>
      <c r="C1611" s="104" t="s">
        <v>26</v>
      </c>
      <c r="D1611" s="10" t="str">
        <f>IFERROR(VLOOKUP(_stats[[#This Row],[player_id]],_players[[player_id]:[player_name]],2,0),"")</f>
        <v>Игорь Фомичев</v>
      </c>
      <c r="E1611" s="72">
        <v>3</v>
      </c>
      <c r="F1611" s="102">
        <v>2</v>
      </c>
      <c r="G1611" s="10">
        <f>SUMIFS(_teams[wins_on_date],_teams[date],_stats[[#This Row],[date]],_teams[team_number],_stats[[#This Row],[team_number]])</f>
        <v>6</v>
      </c>
      <c r="H1611" s="10">
        <f>SUMIFS(_teams[draws_on_date],_teams[date],_stats[[#This Row],[date]],_teams[team_number],_stats[[#This Row],[team_number]])</f>
        <v>3</v>
      </c>
      <c r="I1611" s="72">
        <v>0</v>
      </c>
      <c r="J1611" s="104">
        <v>0</v>
      </c>
      <c r="K1611" s="72">
        <v>7</v>
      </c>
      <c r="L1611" s="53" t="str">
        <f>VLOOKUP(_stats[[#This Row],[tournament]],tournaments_n_rules[],2,0)</f>
        <v>УПК</v>
      </c>
      <c r="M1611" s="53" t="str">
        <f>VLOOKUP(_stats[[#This Row],[tournament]],tournaments_n_rules[],3,0)</f>
        <v>Лето 2026</v>
      </c>
      <c r="N1611" s="54">
        <f>VLOOKUP(_stats[[#This Row],[tournament]],tournaments_n_rules[],4,0)</f>
        <v>46194</v>
      </c>
      <c r="O1611" s="54">
        <f>VLOOKUP(_stats[[#This Row],[tournament]],tournaments_n_rules[],5,0)</f>
        <v>46265</v>
      </c>
    </row>
    <row r="1612" spans="1:15" x14ac:dyDescent="0.25">
      <c r="A1612" s="6">
        <v>46243</v>
      </c>
      <c r="B1612" s="72">
        <v>2</v>
      </c>
      <c r="C1612" s="104" t="s">
        <v>126</v>
      </c>
      <c r="D1612" s="10" t="str">
        <f>IFERROR(VLOOKUP(_stats[[#This Row],[player_id]],_players[[player_id]:[player_name]],2,0),"")</f>
        <v>Макс Логинов</v>
      </c>
      <c r="E1612" s="72">
        <v>1</v>
      </c>
      <c r="F1612" s="102">
        <v>0</v>
      </c>
      <c r="G1612" s="10">
        <f>SUMIFS(_teams[wins_on_date],_teams[date],_stats[[#This Row],[date]],_teams[team_number],_stats[[#This Row],[team_number]])</f>
        <v>6</v>
      </c>
      <c r="H1612" s="10">
        <f>SUMIFS(_teams[draws_on_date],_teams[date],_stats[[#This Row],[date]],_teams[team_number],_stats[[#This Row],[team_number]])</f>
        <v>3</v>
      </c>
      <c r="I1612" s="72">
        <v>0</v>
      </c>
      <c r="J1612" s="104">
        <v>0</v>
      </c>
      <c r="K1612" s="72">
        <v>7</v>
      </c>
      <c r="L1612" s="53" t="str">
        <f>VLOOKUP(_stats[[#This Row],[tournament]],tournaments_n_rules[],2,0)</f>
        <v>УПК</v>
      </c>
      <c r="M1612" s="53" t="str">
        <f>VLOOKUP(_stats[[#This Row],[tournament]],tournaments_n_rules[],3,0)</f>
        <v>Лето 2026</v>
      </c>
      <c r="N1612" s="54">
        <f>VLOOKUP(_stats[[#This Row],[tournament]],tournaments_n_rules[],4,0)</f>
        <v>46194</v>
      </c>
      <c r="O1612" s="54">
        <f>VLOOKUP(_stats[[#This Row],[tournament]],tournaments_n_rules[],5,0)</f>
        <v>46265</v>
      </c>
    </row>
    <row r="1613" spans="1:15" x14ac:dyDescent="0.25">
      <c r="A1613" s="6">
        <v>46243</v>
      </c>
      <c r="B1613" s="72">
        <v>2</v>
      </c>
      <c r="C1613" s="104" t="s">
        <v>64</v>
      </c>
      <c r="D1613" s="10" t="str">
        <f>IFERROR(VLOOKUP(_stats[[#This Row],[player_id]],_players[[player_id]:[player_name]],2,0),"")</f>
        <v>Никита (АК+1)</v>
      </c>
      <c r="E1613" s="72">
        <v>3</v>
      </c>
      <c r="F1613" s="102">
        <v>3</v>
      </c>
      <c r="G1613" s="10">
        <f>SUMIFS(_teams[wins_on_date],_teams[date],_stats[[#This Row],[date]],_teams[team_number],_stats[[#This Row],[team_number]])</f>
        <v>6</v>
      </c>
      <c r="H1613" s="10">
        <f>SUMIFS(_teams[draws_on_date],_teams[date],_stats[[#This Row],[date]],_teams[team_number],_stats[[#This Row],[team_number]])</f>
        <v>3</v>
      </c>
      <c r="I1613" s="72">
        <v>0</v>
      </c>
      <c r="J1613" s="104">
        <v>0</v>
      </c>
      <c r="K1613" s="72">
        <v>7</v>
      </c>
      <c r="L1613" s="53" t="str">
        <f>VLOOKUP(_stats[[#This Row],[tournament]],tournaments_n_rules[],2,0)</f>
        <v>УПК</v>
      </c>
      <c r="M1613" s="53" t="str">
        <f>VLOOKUP(_stats[[#This Row],[tournament]],tournaments_n_rules[],3,0)</f>
        <v>Лето 2026</v>
      </c>
      <c r="N1613" s="54">
        <f>VLOOKUP(_stats[[#This Row],[tournament]],tournaments_n_rules[],4,0)</f>
        <v>46194</v>
      </c>
      <c r="O1613" s="54">
        <f>VLOOKUP(_stats[[#This Row],[tournament]],tournaments_n_rules[],5,0)</f>
        <v>46265</v>
      </c>
    </row>
    <row r="1614" spans="1:15" x14ac:dyDescent="0.25">
      <c r="A1614" s="6">
        <v>46243</v>
      </c>
      <c r="B1614" s="72">
        <v>2</v>
      </c>
      <c r="C1614" s="104" t="s">
        <v>19</v>
      </c>
      <c r="D1614" s="10" t="str">
        <f>IFERROR(VLOOKUP(_stats[[#This Row],[player_id]],_players[[player_id]:[player_name]],2,0),"")</f>
        <v>Олег Шишкин</v>
      </c>
      <c r="E1614" s="72">
        <v>0</v>
      </c>
      <c r="F1614" s="102">
        <v>0</v>
      </c>
      <c r="G1614" s="10">
        <f>SUMIFS(_teams[wins_on_date],_teams[date],_stats[[#This Row],[date]],_teams[team_number],_stats[[#This Row],[team_number]])</f>
        <v>6</v>
      </c>
      <c r="H1614" s="10">
        <f>SUMIFS(_teams[draws_on_date],_teams[date],_stats[[#This Row],[date]],_teams[team_number],_stats[[#This Row],[team_number]])</f>
        <v>3</v>
      </c>
      <c r="I1614" s="72">
        <v>0</v>
      </c>
      <c r="J1614" s="104">
        <v>0</v>
      </c>
      <c r="K1614" s="72">
        <v>7</v>
      </c>
      <c r="L1614" s="53" t="str">
        <f>VLOOKUP(_stats[[#This Row],[tournament]],tournaments_n_rules[],2,0)</f>
        <v>УПК</v>
      </c>
      <c r="M1614" s="53" t="str">
        <f>VLOOKUP(_stats[[#This Row],[tournament]],tournaments_n_rules[],3,0)</f>
        <v>Лето 2026</v>
      </c>
      <c r="N1614" s="54">
        <f>VLOOKUP(_stats[[#This Row],[tournament]],tournaments_n_rules[],4,0)</f>
        <v>46194</v>
      </c>
      <c r="O1614" s="54">
        <f>VLOOKUP(_stats[[#This Row],[tournament]],tournaments_n_rules[],5,0)</f>
        <v>46265</v>
      </c>
    </row>
    <row r="1615" spans="1:15" x14ac:dyDescent="0.25">
      <c r="A1615" s="6">
        <v>46243</v>
      </c>
      <c r="B1615" s="72">
        <v>3</v>
      </c>
      <c r="C1615" s="104" t="s">
        <v>8</v>
      </c>
      <c r="D1615" s="10" t="str">
        <f>IFERROR(VLOOKUP(_stats[[#This Row],[player_id]],_players[[player_id]:[player_name]],2,0),"")</f>
        <v>Костя</v>
      </c>
      <c r="E1615" s="72">
        <v>1</v>
      </c>
      <c r="F1615" s="102">
        <v>0</v>
      </c>
      <c r="G1615" s="10">
        <f>SUMIFS(_teams[wins_on_date],_teams[date],_stats[[#This Row],[date]],_teams[team_number],_stats[[#This Row],[team_number]])</f>
        <v>2</v>
      </c>
      <c r="H1615" s="10">
        <f>SUMIFS(_teams[draws_on_date],_teams[date],_stats[[#This Row],[date]],_teams[team_number],_stats[[#This Row],[team_number]])</f>
        <v>2</v>
      </c>
      <c r="I1615" s="72">
        <v>0</v>
      </c>
      <c r="J1615" s="104">
        <v>0</v>
      </c>
      <c r="K1615" s="72">
        <v>7</v>
      </c>
      <c r="L1615" s="53" t="str">
        <f>VLOOKUP(_stats[[#This Row],[tournament]],tournaments_n_rules[],2,0)</f>
        <v>УПК</v>
      </c>
      <c r="M1615" s="53" t="str">
        <f>VLOOKUP(_stats[[#This Row],[tournament]],tournaments_n_rules[],3,0)</f>
        <v>Лето 2026</v>
      </c>
      <c r="N1615" s="54">
        <f>VLOOKUP(_stats[[#This Row],[tournament]],tournaments_n_rules[],4,0)</f>
        <v>46194</v>
      </c>
      <c r="O1615" s="54">
        <f>VLOOKUP(_stats[[#This Row],[tournament]],tournaments_n_rules[],5,0)</f>
        <v>46265</v>
      </c>
    </row>
    <row r="1616" spans="1:15" x14ac:dyDescent="0.25">
      <c r="A1616" s="6">
        <v>46243</v>
      </c>
      <c r="B1616" s="72">
        <v>1</v>
      </c>
      <c r="C1616" s="104" t="s">
        <v>13</v>
      </c>
      <c r="D1616" s="10" t="str">
        <f>IFERROR(VLOOKUP(_stats[[#This Row],[player_id]],_players[[player_id]:[player_name]],2,0),"")</f>
        <v>Нурик</v>
      </c>
      <c r="E1616" s="72">
        <v>0</v>
      </c>
      <c r="F1616" s="102">
        <v>1</v>
      </c>
      <c r="G1616" s="10">
        <f>SUMIFS(_teams[wins_on_date],_teams[date],_stats[[#This Row],[date]],_teams[team_number],_stats[[#This Row],[team_number]])</f>
        <v>0</v>
      </c>
      <c r="H1616" s="10">
        <f>SUMIFS(_teams[draws_on_date],_teams[date],_stats[[#This Row],[date]],_teams[team_number],_stats[[#This Row],[team_number]])</f>
        <v>3</v>
      </c>
      <c r="I1616" s="72">
        <v>0</v>
      </c>
      <c r="J1616" s="104">
        <v>0</v>
      </c>
      <c r="K1616" s="72">
        <v>7</v>
      </c>
      <c r="L1616" s="53" t="str">
        <f>VLOOKUP(_stats[[#This Row],[tournament]],tournaments_n_rules[],2,0)</f>
        <v>УПК</v>
      </c>
      <c r="M1616" s="53" t="str">
        <f>VLOOKUP(_stats[[#This Row],[tournament]],tournaments_n_rules[],3,0)</f>
        <v>Лето 2026</v>
      </c>
      <c r="N1616" s="54">
        <f>VLOOKUP(_stats[[#This Row],[tournament]],tournaments_n_rules[],4,0)</f>
        <v>46194</v>
      </c>
      <c r="O1616" s="54">
        <f>VLOOKUP(_stats[[#This Row],[tournament]],tournaments_n_rules[],5,0)</f>
        <v>46265</v>
      </c>
    </row>
    <row r="1617" spans="1:15" x14ac:dyDescent="0.25">
      <c r="A1617" s="6">
        <v>46243</v>
      </c>
      <c r="B1617" s="72">
        <v>2</v>
      </c>
      <c r="C1617" s="104" t="s">
        <v>44</v>
      </c>
      <c r="D1617" s="10" t="str">
        <f>IFERROR(VLOOKUP(_stats[[#This Row],[player_id]],_players[[player_id]:[player_name]],2,0),"")</f>
        <v>Женя (кипер)</v>
      </c>
      <c r="E1617" s="72">
        <v>0</v>
      </c>
      <c r="F1617" s="102">
        <v>1</v>
      </c>
      <c r="G1617" s="10">
        <f>SUMIFS(_teams[wins_on_date],_teams[date],_stats[[#This Row],[date]],_teams[team_number],_stats[[#This Row],[team_number]])</f>
        <v>6</v>
      </c>
      <c r="H1617" s="10">
        <f>SUMIFS(_teams[draws_on_date],_teams[date],_stats[[#This Row],[date]],_teams[team_number],_stats[[#This Row],[team_number]])</f>
        <v>3</v>
      </c>
      <c r="I1617" s="72">
        <v>6</v>
      </c>
      <c r="J1617" s="104">
        <v>0</v>
      </c>
      <c r="K1617" s="72">
        <v>7</v>
      </c>
      <c r="L1617" s="53" t="str">
        <f>VLOOKUP(_stats[[#This Row],[tournament]],tournaments_n_rules[],2,0)</f>
        <v>УПК</v>
      </c>
      <c r="M1617" s="53" t="str">
        <f>VLOOKUP(_stats[[#This Row],[tournament]],tournaments_n_rules[],3,0)</f>
        <v>Лето 2026</v>
      </c>
      <c r="N1617" s="54">
        <f>VLOOKUP(_stats[[#This Row],[tournament]],tournaments_n_rules[],4,0)</f>
        <v>46194</v>
      </c>
      <c r="O1617" s="54">
        <f>VLOOKUP(_stats[[#This Row],[tournament]],tournaments_n_rules[],5,0)</f>
        <v>46265</v>
      </c>
    </row>
    <row r="1618" spans="1:15" x14ac:dyDescent="0.25">
      <c r="A1618" s="6">
        <v>46243</v>
      </c>
      <c r="B1618" s="72">
        <v>3</v>
      </c>
      <c r="C1618" s="104" t="s">
        <v>43</v>
      </c>
      <c r="D1618" s="10" t="str">
        <f>IFERROR(VLOOKUP(_stats[[#This Row],[player_id]],_players[[player_id]:[player_name]],2,0),"")</f>
        <v>Никита</v>
      </c>
      <c r="E1618" s="72">
        <v>0</v>
      </c>
      <c r="F1618" s="102">
        <v>2</v>
      </c>
      <c r="G1618" s="10">
        <f>SUMIFS(_teams[wins_on_date],_teams[date],_stats[[#This Row],[date]],_teams[team_number],_stats[[#This Row],[team_number]])</f>
        <v>2</v>
      </c>
      <c r="H1618" s="10">
        <f>SUMIFS(_teams[draws_on_date],_teams[date],_stats[[#This Row],[date]],_teams[team_number],_stats[[#This Row],[team_number]])</f>
        <v>2</v>
      </c>
      <c r="I1618" s="72">
        <v>0</v>
      </c>
      <c r="J1618" s="104">
        <v>0</v>
      </c>
      <c r="K1618" s="72">
        <v>7</v>
      </c>
      <c r="L1618" s="53" t="str">
        <f>VLOOKUP(_stats[[#This Row],[tournament]],tournaments_n_rules[],2,0)</f>
        <v>УПК</v>
      </c>
      <c r="M1618" s="53" t="str">
        <f>VLOOKUP(_stats[[#This Row],[tournament]],tournaments_n_rules[],3,0)</f>
        <v>Лето 2026</v>
      </c>
      <c r="N1618" s="54">
        <f>VLOOKUP(_stats[[#This Row],[tournament]],tournaments_n_rules[],4,0)</f>
        <v>46194</v>
      </c>
      <c r="O1618" s="54">
        <f>VLOOKUP(_stats[[#This Row],[tournament]],tournaments_n_rules[],5,0)</f>
        <v>46265</v>
      </c>
    </row>
    <row r="1619" spans="1:15" x14ac:dyDescent="0.25">
      <c r="A1619" s="6">
        <v>46243</v>
      </c>
      <c r="B1619" s="72">
        <v>3</v>
      </c>
      <c r="C1619" s="104" t="s">
        <v>11</v>
      </c>
      <c r="D1619" s="10" t="str">
        <f>IFERROR(VLOOKUP(_stats[[#This Row],[player_id]],_players[[player_id]:[player_name]],2,0),"")</f>
        <v>Сергей Крюков</v>
      </c>
      <c r="E1619" s="72">
        <v>0</v>
      </c>
      <c r="F1619" s="102">
        <v>0</v>
      </c>
      <c r="G1619" s="10">
        <f>SUMIFS(_teams[wins_on_date],_teams[date],_stats[[#This Row],[date]],_teams[team_number],_stats[[#This Row],[team_number]])</f>
        <v>2</v>
      </c>
      <c r="H1619" s="10">
        <f>SUMIFS(_teams[draws_on_date],_teams[date],_stats[[#This Row],[date]],_teams[team_number],_stats[[#This Row],[team_number]])</f>
        <v>2</v>
      </c>
      <c r="I1619" s="72">
        <v>0</v>
      </c>
      <c r="J1619" s="104">
        <v>0</v>
      </c>
      <c r="K1619" s="72">
        <v>7</v>
      </c>
      <c r="L1619" s="53" t="str">
        <f>VLOOKUP(_stats[[#This Row],[tournament]],tournaments_n_rules[],2,0)</f>
        <v>УПК</v>
      </c>
      <c r="M1619" s="53" t="str">
        <f>VLOOKUP(_stats[[#This Row],[tournament]],tournaments_n_rules[],3,0)</f>
        <v>Лето 2026</v>
      </c>
      <c r="N1619" s="54">
        <f>VLOOKUP(_stats[[#This Row],[tournament]],tournaments_n_rules[],4,0)</f>
        <v>46194</v>
      </c>
      <c r="O1619" s="54">
        <f>VLOOKUP(_stats[[#This Row],[tournament]],tournaments_n_rules[],5,0)</f>
        <v>46265</v>
      </c>
    </row>
    <row r="1620" spans="1:15" x14ac:dyDescent="0.25">
      <c r="A1620" s="6">
        <v>46243</v>
      </c>
      <c r="B1620" s="72">
        <v>1</v>
      </c>
      <c r="C1620" s="104" t="s">
        <v>125</v>
      </c>
      <c r="D1620" s="10" t="str">
        <f>IFERROR(VLOOKUP(_stats[[#This Row],[player_id]],_players[[player_id]:[player_name]],2,0),"")</f>
        <v>Арги</v>
      </c>
      <c r="E1620" s="72">
        <v>0</v>
      </c>
      <c r="F1620" s="102">
        <v>0</v>
      </c>
      <c r="G1620" s="10">
        <f>SUMIFS(_teams[wins_on_date],_teams[date],_stats[[#This Row],[date]],_teams[team_number],_stats[[#This Row],[team_number]])</f>
        <v>0</v>
      </c>
      <c r="H1620" s="10">
        <f>SUMIFS(_teams[draws_on_date],_teams[date],_stats[[#This Row],[date]],_teams[team_number],_stats[[#This Row],[team_number]])</f>
        <v>3</v>
      </c>
      <c r="I1620" s="72">
        <v>0</v>
      </c>
      <c r="J1620" s="104">
        <v>0</v>
      </c>
      <c r="K1620" s="72">
        <v>7</v>
      </c>
      <c r="L1620" s="53" t="str">
        <f>VLOOKUP(_stats[[#This Row],[tournament]],tournaments_n_rules[],2,0)</f>
        <v>УПК</v>
      </c>
      <c r="M1620" s="53" t="str">
        <f>VLOOKUP(_stats[[#This Row],[tournament]],tournaments_n_rules[],3,0)</f>
        <v>Лето 2026</v>
      </c>
      <c r="N1620" s="54">
        <f>VLOOKUP(_stats[[#This Row],[tournament]],tournaments_n_rules[],4,0)</f>
        <v>46194</v>
      </c>
      <c r="O1620" s="54">
        <f>VLOOKUP(_stats[[#This Row],[tournament]],tournaments_n_rules[],5,0)</f>
        <v>46265</v>
      </c>
    </row>
    <row r="1621" spans="1:15" x14ac:dyDescent="0.25">
      <c r="A1621" s="6">
        <v>46243</v>
      </c>
      <c r="B1621" s="72">
        <v>1</v>
      </c>
      <c r="C1621" s="104" t="s">
        <v>65</v>
      </c>
      <c r="D1621" s="10" t="str">
        <f>IFERROR(VLOOKUP(_stats[[#This Row],[player_id]],_players[[player_id]:[player_name]],2,0),"")</f>
        <v>Марат (Атай+1)</v>
      </c>
      <c r="E1621" s="72">
        <v>0</v>
      </c>
      <c r="F1621" s="102">
        <v>0</v>
      </c>
      <c r="G1621" s="10">
        <f>SUMIFS(_teams[wins_on_date],_teams[date],_stats[[#This Row],[date]],_teams[team_number],_stats[[#This Row],[team_number]])</f>
        <v>0</v>
      </c>
      <c r="H1621" s="10">
        <f>SUMIFS(_teams[draws_on_date],_teams[date],_stats[[#This Row],[date]],_teams[team_number],_stats[[#This Row],[team_number]])</f>
        <v>3</v>
      </c>
      <c r="I1621" s="72">
        <v>0</v>
      </c>
      <c r="J1621" s="104">
        <v>0</v>
      </c>
      <c r="K1621" s="72">
        <v>7</v>
      </c>
      <c r="L1621" s="53" t="str">
        <f>VLOOKUP(_stats[[#This Row],[tournament]],tournaments_n_rules[],2,0)</f>
        <v>УПК</v>
      </c>
      <c r="M1621" s="53" t="str">
        <f>VLOOKUP(_stats[[#This Row],[tournament]],tournaments_n_rules[],3,0)</f>
        <v>Лето 2026</v>
      </c>
      <c r="N1621" s="54">
        <f>VLOOKUP(_stats[[#This Row],[tournament]],tournaments_n_rules[],4,0)</f>
        <v>46194</v>
      </c>
      <c r="O1621" s="54">
        <f>VLOOKUP(_stats[[#This Row],[tournament]],tournaments_n_rules[],5,0)</f>
        <v>46265</v>
      </c>
    </row>
    <row r="1622" spans="1:15" x14ac:dyDescent="0.25">
      <c r="A1622" s="6">
        <v>46243</v>
      </c>
      <c r="B1622" s="72">
        <v>1</v>
      </c>
      <c r="C1622" s="104" t="s">
        <v>23</v>
      </c>
      <c r="D1622" s="10" t="str">
        <f>IFERROR(VLOOKUP(_stats[[#This Row],[player_id]],_players[[player_id]:[player_name]],2,0),"")</f>
        <v>Вова</v>
      </c>
      <c r="E1622" s="72">
        <v>0</v>
      </c>
      <c r="F1622" s="102">
        <v>0</v>
      </c>
      <c r="G1622" s="10">
        <f>SUMIFS(_teams[wins_on_date],_teams[date],_stats[[#This Row],[date]],_teams[team_number],_stats[[#This Row],[team_number]])</f>
        <v>0</v>
      </c>
      <c r="H1622" s="10">
        <f>SUMIFS(_teams[draws_on_date],_teams[date],_stats[[#This Row],[date]],_teams[team_number],_stats[[#This Row],[team_number]])</f>
        <v>3</v>
      </c>
      <c r="I1622" s="72">
        <v>0</v>
      </c>
      <c r="J1622" s="104">
        <v>0</v>
      </c>
      <c r="K1622" s="72">
        <v>7</v>
      </c>
      <c r="L1622" s="53" t="str">
        <f>VLOOKUP(_stats[[#This Row],[tournament]],tournaments_n_rules[],2,0)</f>
        <v>УПК</v>
      </c>
      <c r="M1622" s="53" t="str">
        <f>VLOOKUP(_stats[[#This Row],[tournament]],tournaments_n_rules[],3,0)</f>
        <v>Лето 2026</v>
      </c>
      <c r="N1622" s="54">
        <f>VLOOKUP(_stats[[#This Row],[tournament]],tournaments_n_rules[],4,0)</f>
        <v>46194</v>
      </c>
      <c r="O1622" s="54">
        <f>VLOOKUP(_stats[[#This Row],[tournament]],tournaments_n_rules[],5,0)</f>
        <v>46265</v>
      </c>
    </row>
    <row r="1623" spans="1:15" x14ac:dyDescent="0.25">
      <c r="A1623" s="6">
        <v>46243</v>
      </c>
      <c r="B1623" s="72">
        <v>1</v>
      </c>
      <c r="C1623" s="104" t="s">
        <v>136</v>
      </c>
      <c r="D1623" s="10" t="str">
        <f>IFERROR(VLOOKUP(_stats[[#This Row],[player_id]],_players[[player_id]:[player_name]],2,0),"")</f>
        <v>Заур (Руб+1)</v>
      </c>
      <c r="E1623" s="72">
        <v>1</v>
      </c>
      <c r="F1623" s="102">
        <v>0</v>
      </c>
      <c r="G1623" s="10">
        <f>SUMIFS(_teams[wins_on_date],_teams[date],_stats[[#This Row],[date]],_teams[team_number],_stats[[#This Row],[team_number]])</f>
        <v>0</v>
      </c>
      <c r="H1623" s="10">
        <f>SUMIFS(_teams[draws_on_date],_teams[date],_stats[[#This Row],[date]],_teams[team_number],_stats[[#This Row],[team_number]])</f>
        <v>3</v>
      </c>
      <c r="I1623" s="72">
        <v>0</v>
      </c>
      <c r="J1623" s="104">
        <v>0</v>
      </c>
      <c r="K1623" s="72">
        <v>7</v>
      </c>
      <c r="L1623" s="53" t="str">
        <f>VLOOKUP(_stats[[#This Row],[tournament]],tournaments_n_rules[],2,0)</f>
        <v>УПК</v>
      </c>
      <c r="M1623" s="53" t="str">
        <f>VLOOKUP(_stats[[#This Row],[tournament]],tournaments_n_rules[],3,0)</f>
        <v>Лето 2026</v>
      </c>
      <c r="N1623" s="54">
        <f>VLOOKUP(_stats[[#This Row],[tournament]],tournaments_n_rules[],4,0)</f>
        <v>46194</v>
      </c>
      <c r="O1623" s="54">
        <f>VLOOKUP(_stats[[#This Row],[tournament]],tournaments_n_rules[],5,0)</f>
        <v>46265</v>
      </c>
    </row>
    <row r="1624" spans="1:15" x14ac:dyDescent="0.25">
      <c r="A1624" s="6">
        <v>46243</v>
      </c>
      <c r="B1624" s="72">
        <v>3</v>
      </c>
      <c r="C1624" s="104" t="s">
        <v>312</v>
      </c>
      <c r="D1624" s="10" t="str">
        <f>IFERROR(VLOOKUP(_stats[[#This Row],[player_id]],_players[[player_id]:[player_name]],2,0),"")</f>
        <v>Данила (Руб+1)</v>
      </c>
      <c r="E1624" s="72">
        <v>0</v>
      </c>
      <c r="F1624" s="102">
        <v>0</v>
      </c>
      <c r="G1624" s="10">
        <f>SUMIFS(_teams[wins_on_date],_teams[date],_stats[[#This Row],[date]],_teams[team_number],_stats[[#This Row],[team_number]])</f>
        <v>2</v>
      </c>
      <c r="H1624" s="10">
        <f>SUMIFS(_teams[draws_on_date],_teams[date],_stats[[#This Row],[date]],_teams[team_number],_stats[[#This Row],[team_number]])</f>
        <v>2</v>
      </c>
      <c r="I1624" s="72">
        <v>0</v>
      </c>
      <c r="J1624" s="104">
        <v>0</v>
      </c>
      <c r="K1624" s="72">
        <v>7</v>
      </c>
      <c r="L1624" s="53" t="str">
        <f>VLOOKUP(_stats[[#This Row],[tournament]],tournaments_n_rules[],2,0)</f>
        <v>УПК</v>
      </c>
      <c r="M1624" s="53" t="str">
        <f>VLOOKUP(_stats[[#This Row],[tournament]],tournaments_n_rules[],3,0)</f>
        <v>Лето 2026</v>
      </c>
      <c r="N1624" s="54">
        <f>VLOOKUP(_stats[[#This Row],[tournament]],tournaments_n_rules[],4,0)</f>
        <v>46194</v>
      </c>
      <c r="O1624" s="54">
        <f>VLOOKUP(_stats[[#This Row],[tournament]],tournaments_n_rules[],5,0)</f>
        <v>46265</v>
      </c>
    </row>
    <row r="1625" spans="1:15" x14ac:dyDescent="0.25">
      <c r="A1625" s="6">
        <v>46243</v>
      </c>
      <c r="B1625" s="72">
        <v>3</v>
      </c>
      <c r="C1625" s="104" t="s">
        <v>60</v>
      </c>
      <c r="D1625" s="10" t="str">
        <f>IFERROR(VLOOKUP(_stats[[#This Row],[player_id]],_players[[player_id]:[player_name]],2,0),"")</f>
        <v>Игорь (Ник +1)</v>
      </c>
      <c r="E1625" s="72">
        <v>1</v>
      </c>
      <c r="F1625" s="102">
        <v>0</v>
      </c>
      <c r="G1625" s="10">
        <f>SUMIFS(_teams[wins_on_date],_teams[date],_stats[[#This Row],[date]],_teams[team_number],_stats[[#This Row],[team_number]])</f>
        <v>2</v>
      </c>
      <c r="H1625" s="10">
        <f>SUMIFS(_teams[draws_on_date],_teams[date],_stats[[#This Row],[date]],_teams[team_number],_stats[[#This Row],[team_number]])</f>
        <v>2</v>
      </c>
      <c r="I1625" s="72">
        <v>0</v>
      </c>
      <c r="J1625" s="104">
        <v>0</v>
      </c>
      <c r="K1625" s="72">
        <v>7</v>
      </c>
      <c r="L1625" s="53" t="str">
        <f>VLOOKUP(_stats[[#This Row],[tournament]],tournaments_n_rules[],2,0)</f>
        <v>УПК</v>
      </c>
      <c r="M1625" s="53" t="str">
        <f>VLOOKUP(_stats[[#This Row],[tournament]],tournaments_n_rules[],3,0)</f>
        <v>Лето 2026</v>
      </c>
      <c r="N1625" s="54">
        <f>VLOOKUP(_stats[[#This Row],[tournament]],tournaments_n_rules[],4,0)</f>
        <v>46194</v>
      </c>
      <c r="O1625" s="54">
        <f>VLOOKUP(_stats[[#This Row],[tournament]],tournaments_n_rules[],5,0)</f>
        <v>46265</v>
      </c>
    </row>
    <row r="1626" spans="1:15" x14ac:dyDescent="0.25">
      <c r="A1626" s="6">
        <v>46243</v>
      </c>
      <c r="B1626" s="72">
        <v>3</v>
      </c>
      <c r="C1626" s="104" t="s">
        <v>157</v>
      </c>
      <c r="D1626" s="10" t="str">
        <f>IFERROR(VLOOKUP(_stats[[#This Row],[player_id]],_players[[player_id]:[player_name]],2,0),"")</f>
        <v>Никита (Сурэн+1)</v>
      </c>
      <c r="E1626" s="72">
        <v>0</v>
      </c>
      <c r="F1626" s="102">
        <v>0</v>
      </c>
      <c r="G1626" s="10">
        <f>SUMIFS(_teams[wins_on_date],_teams[date],_stats[[#This Row],[date]],_teams[team_number],_stats[[#This Row],[team_number]])</f>
        <v>2</v>
      </c>
      <c r="H1626" s="10">
        <f>SUMIFS(_teams[draws_on_date],_teams[date],_stats[[#This Row],[date]],_teams[team_number],_stats[[#This Row],[team_number]])</f>
        <v>2</v>
      </c>
      <c r="I1626" s="72">
        <v>0</v>
      </c>
      <c r="J1626" s="104">
        <v>0</v>
      </c>
      <c r="K1626" s="72">
        <v>7</v>
      </c>
      <c r="L1626" s="53" t="str">
        <f>VLOOKUP(_stats[[#This Row],[tournament]],tournaments_n_rules[],2,0)</f>
        <v>УПК</v>
      </c>
      <c r="M1626" s="53" t="str">
        <f>VLOOKUP(_stats[[#This Row],[tournament]],tournaments_n_rules[],3,0)</f>
        <v>Лето 2026</v>
      </c>
      <c r="N1626" s="54">
        <f>VLOOKUP(_stats[[#This Row],[tournament]],tournaments_n_rules[],4,0)</f>
        <v>46194</v>
      </c>
      <c r="O1626" s="54">
        <f>VLOOKUP(_stats[[#This Row],[tournament]],tournaments_n_rules[],5,0)</f>
        <v>46265</v>
      </c>
    </row>
    <row r="1627" spans="1:15" x14ac:dyDescent="0.25">
      <c r="A1627" s="6">
        <v>46243</v>
      </c>
      <c r="B1627" s="72">
        <v>1</v>
      </c>
      <c r="C1627" s="104" t="s">
        <v>313</v>
      </c>
      <c r="D1627" s="10" t="str">
        <f>IFERROR(VLOOKUP(_stats[[#This Row],[player_id]],_players[[player_id]:[player_name]],2,0),"")</f>
        <v>Гагик (Атай+1)</v>
      </c>
      <c r="E1627" s="72">
        <v>0</v>
      </c>
      <c r="F1627" s="102">
        <v>0</v>
      </c>
      <c r="G1627" s="10">
        <f>SUMIFS(_teams[wins_on_date],_teams[date],_stats[[#This Row],[date]],_teams[team_number],_stats[[#This Row],[team_number]])</f>
        <v>0</v>
      </c>
      <c r="H1627" s="10">
        <f>SUMIFS(_teams[draws_on_date],_teams[date],_stats[[#This Row],[date]],_teams[team_number],_stats[[#This Row],[team_number]])</f>
        <v>3</v>
      </c>
      <c r="I1627" s="72">
        <v>0</v>
      </c>
      <c r="J1627" s="104">
        <v>0</v>
      </c>
      <c r="K1627" s="72">
        <v>7</v>
      </c>
      <c r="L1627" s="53" t="str">
        <f>VLOOKUP(_stats[[#This Row],[tournament]],tournaments_n_rules[],2,0)</f>
        <v>УПК</v>
      </c>
      <c r="M1627" s="53" t="str">
        <f>VLOOKUP(_stats[[#This Row],[tournament]],tournaments_n_rules[],3,0)</f>
        <v>Лето 2026</v>
      </c>
      <c r="N1627" s="54">
        <f>VLOOKUP(_stats[[#This Row],[tournament]],tournaments_n_rules[],4,0)</f>
        <v>46194</v>
      </c>
      <c r="O1627" s="54">
        <f>VLOOKUP(_stats[[#This Row],[tournament]],tournaments_n_rules[],5,0)</f>
        <v>46265</v>
      </c>
    </row>
    <row r="1628" spans="1:15" x14ac:dyDescent="0.25">
      <c r="A1628" s="6">
        <v>46243</v>
      </c>
      <c r="B1628" s="72">
        <v>2</v>
      </c>
      <c r="C1628" s="104" t="s">
        <v>46</v>
      </c>
      <c r="D1628" s="10" t="str">
        <f>IFERROR(VLOOKUP(_stats[[#This Row],[player_id]],_players[[player_id]:[player_name]],2,0),"")</f>
        <v>Рома Сурнин</v>
      </c>
      <c r="E1628" s="72">
        <v>0</v>
      </c>
      <c r="F1628" s="102">
        <v>1</v>
      </c>
      <c r="G1628" s="10">
        <f>SUMIFS(_teams[wins_on_date],_teams[date],_stats[[#This Row],[date]],_teams[team_number],_stats[[#This Row],[team_number]])</f>
        <v>6</v>
      </c>
      <c r="H1628" s="10">
        <f>SUMIFS(_teams[draws_on_date],_teams[date],_stats[[#This Row],[date]],_teams[team_number],_stats[[#This Row],[team_number]])</f>
        <v>3</v>
      </c>
      <c r="I1628" s="72">
        <v>0</v>
      </c>
      <c r="J1628" s="104">
        <v>0</v>
      </c>
      <c r="K1628" s="72">
        <v>7</v>
      </c>
      <c r="L1628" s="53" t="str">
        <f>VLOOKUP(_stats[[#This Row],[tournament]],tournaments_n_rules[],2,0)</f>
        <v>УПК</v>
      </c>
      <c r="M1628" s="53" t="str">
        <f>VLOOKUP(_stats[[#This Row],[tournament]],tournaments_n_rules[],3,0)</f>
        <v>Лето 2026</v>
      </c>
      <c r="N1628" s="54">
        <f>VLOOKUP(_stats[[#This Row],[tournament]],tournaments_n_rules[],4,0)</f>
        <v>46194</v>
      </c>
      <c r="O1628" s="54">
        <f>VLOOKUP(_stats[[#This Row],[tournament]],tournaments_n_rules[],5,0)</f>
        <v>46265</v>
      </c>
    </row>
    <row r="1629" spans="1:15" x14ac:dyDescent="0.25">
      <c r="A1629" s="6">
        <v>46243</v>
      </c>
      <c r="B1629" s="72">
        <v>2</v>
      </c>
      <c r="C1629" s="104" t="s">
        <v>135</v>
      </c>
      <c r="D1629" s="10" t="str">
        <f>IFERROR(VLOOKUP(_stats[[#This Row],[player_id]],_players[[player_id]:[player_name]],2,0),"")</f>
        <v>Мага (Руб+1)</v>
      </c>
      <c r="E1629" s="72">
        <v>0</v>
      </c>
      <c r="F1629" s="102">
        <v>0</v>
      </c>
      <c r="G1629" s="10">
        <f>SUMIFS(_teams[wins_on_date],_teams[date],_stats[[#This Row],[date]],_teams[team_number],_stats[[#This Row],[team_number]])</f>
        <v>6</v>
      </c>
      <c r="H1629" s="10">
        <f>SUMIFS(_teams[draws_on_date],_teams[date],_stats[[#This Row],[date]],_teams[team_number],_stats[[#This Row],[team_number]])</f>
        <v>3</v>
      </c>
      <c r="I1629" s="72">
        <v>0</v>
      </c>
      <c r="J1629" s="104">
        <v>0</v>
      </c>
      <c r="K1629" s="72">
        <v>7</v>
      </c>
      <c r="L1629" s="53" t="str">
        <f>VLOOKUP(_stats[[#This Row],[tournament]],tournaments_n_rules[],2,0)</f>
        <v>УПК</v>
      </c>
      <c r="M1629" s="53" t="str">
        <f>VLOOKUP(_stats[[#This Row],[tournament]],tournaments_n_rules[],3,0)</f>
        <v>Лето 2026</v>
      </c>
      <c r="N1629" s="54">
        <f>VLOOKUP(_stats[[#This Row],[tournament]],tournaments_n_rules[],4,0)</f>
        <v>46194</v>
      </c>
      <c r="O1629" s="54">
        <f>VLOOKUP(_stats[[#This Row],[tournament]],tournaments_n_rules[],5,0)</f>
        <v>46265</v>
      </c>
    </row>
    <row r="1630" spans="1:15" x14ac:dyDescent="0.25">
      <c r="A1630" s="6">
        <v>46243</v>
      </c>
      <c r="B1630" s="72">
        <v>1</v>
      </c>
      <c r="C1630" s="104" t="s">
        <v>314</v>
      </c>
      <c r="D1630" s="10" t="str">
        <f>IFERROR(VLOOKUP(_stats[[#This Row],[player_id]],_players[[player_id]:[player_name]],2,0),"")</f>
        <v>Рашид</v>
      </c>
      <c r="E1630" s="72">
        <v>0</v>
      </c>
      <c r="F1630" s="102">
        <v>0</v>
      </c>
      <c r="G1630" s="10">
        <f>SUMIFS(_teams[wins_on_date],_teams[date],_stats[[#This Row],[date]],_teams[team_number],_stats[[#This Row],[team_number]])</f>
        <v>0</v>
      </c>
      <c r="H1630" s="10">
        <f>SUMIFS(_teams[draws_on_date],_teams[date],_stats[[#This Row],[date]],_teams[team_number],_stats[[#This Row],[team_number]])</f>
        <v>3</v>
      </c>
      <c r="I1630" s="72">
        <v>0</v>
      </c>
      <c r="J1630" s="104">
        <v>0</v>
      </c>
      <c r="K1630" s="72">
        <v>7</v>
      </c>
      <c r="L1630" s="53" t="str">
        <f>VLOOKUP(_stats[[#This Row],[tournament]],tournaments_n_rules[],2,0)</f>
        <v>УПК</v>
      </c>
      <c r="M1630" s="53" t="str">
        <f>VLOOKUP(_stats[[#This Row],[tournament]],tournaments_n_rules[],3,0)</f>
        <v>Лето 2026</v>
      </c>
      <c r="N1630" s="54">
        <f>VLOOKUP(_stats[[#This Row],[tournament]],tournaments_n_rules[],4,0)</f>
        <v>46194</v>
      </c>
      <c r="O1630" s="54">
        <f>VLOOKUP(_stats[[#This Row],[tournament]],tournaments_n_rules[],5,0)</f>
        <v>46265</v>
      </c>
    </row>
    <row r="1631" spans="1:15" x14ac:dyDescent="0.25">
      <c r="A1631" s="6">
        <v>46243</v>
      </c>
      <c r="B1631" s="72">
        <v>1</v>
      </c>
      <c r="C1631" s="104" t="s">
        <v>315</v>
      </c>
      <c r="D1631" s="10" t="str">
        <f>IFERROR(VLOOKUP(_stats[[#This Row],[player_id]],_players[[player_id]:[player_name]],2,0),"")</f>
        <v>Эльбек</v>
      </c>
      <c r="E1631" s="72">
        <v>0</v>
      </c>
      <c r="F1631" s="102">
        <v>0</v>
      </c>
      <c r="G1631" s="10">
        <f>SUMIFS(_teams[wins_on_date],_teams[date],_stats[[#This Row],[date]],_teams[team_number],_stats[[#This Row],[team_number]])</f>
        <v>0</v>
      </c>
      <c r="H1631" s="10">
        <f>SUMIFS(_teams[draws_on_date],_teams[date],_stats[[#This Row],[date]],_teams[team_number],_stats[[#This Row],[team_number]])</f>
        <v>3</v>
      </c>
      <c r="I1631" s="72">
        <v>0</v>
      </c>
      <c r="J1631" s="104">
        <v>0</v>
      </c>
      <c r="K1631" s="72">
        <v>7</v>
      </c>
      <c r="L1631" s="53" t="str">
        <f>VLOOKUP(_stats[[#This Row],[tournament]],tournaments_n_rules[],2,0)</f>
        <v>УПК</v>
      </c>
      <c r="M1631" s="53" t="str">
        <f>VLOOKUP(_stats[[#This Row],[tournament]],tournaments_n_rules[],3,0)</f>
        <v>Лето 2026</v>
      </c>
      <c r="N1631" s="54">
        <f>VLOOKUP(_stats[[#This Row],[tournament]],tournaments_n_rules[],4,0)</f>
        <v>46194</v>
      </c>
      <c r="O1631" s="54">
        <f>VLOOKUP(_stats[[#This Row],[tournament]],tournaments_n_rules[],5,0)</f>
        <v>46265</v>
      </c>
    </row>
    <row r="1632" spans="1:15" x14ac:dyDescent="0.25">
      <c r="A1632" s="6">
        <v>46243</v>
      </c>
      <c r="B1632" s="72">
        <v>3</v>
      </c>
      <c r="C1632" s="104" t="s">
        <v>22</v>
      </c>
      <c r="D1632" s="10" t="str">
        <f>IFERROR(VLOOKUP(_stats[[#This Row],[player_id]],_players[[player_id]:[player_name]],2,0),"")</f>
        <v>Расул</v>
      </c>
      <c r="E1632" s="72">
        <v>0</v>
      </c>
      <c r="F1632" s="102">
        <v>0</v>
      </c>
      <c r="G1632" s="10">
        <f>SUMIFS(_teams[wins_on_date],_teams[date],_stats[[#This Row],[date]],_teams[team_number],_stats[[#This Row],[team_number]])</f>
        <v>2</v>
      </c>
      <c r="H1632" s="10">
        <f>SUMIFS(_teams[draws_on_date],_teams[date],_stats[[#This Row],[date]],_teams[team_number],_stats[[#This Row],[team_number]])</f>
        <v>2</v>
      </c>
      <c r="I1632" s="72">
        <v>0</v>
      </c>
      <c r="J1632" s="104">
        <v>0</v>
      </c>
      <c r="K1632" s="72">
        <v>7</v>
      </c>
      <c r="L1632" s="53" t="str">
        <f>VLOOKUP(_stats[[#This Row],[tournament]],tournaments_n_rules[],2,0)</f>
        <v>УПК</v>
      </c>
      <c r="M1632" s="53" t="str">
        <f>VLOOKUP(_stats[[#This Row],[tournament]],tournaments_n_rules[],3,0)</f>
        <v>Лето 2026</v>
      </c>
      <c r="N1632" s="54">
        <f>VLOOKUP(_stats[[#This Row],[tournament]],tournaments_n_rules[],4,0)</f>
        <v>46194</v>
      </c>
      <c r="O1632" s="54">
        <f>VLOOKUP(_stats[[#This Row],[tournament]],tournaments_n_rules[],5,0)</f>
        <v>46265</v>
      </c>
    </row>
    <row r="1633" spans="1:15" x14ac:dyDescent="0.25">
      <c r="A1633" s="6">
        <v>46243</v>
      </c>
      <c r="B1633" s="72">
        <v>3</v>
      </c>
      <c r="C1633" s="104" t="s">
        <v>316</v>
      </c>
      <c r="D1633" s="10" t="str">
        <f>IFERROR(VLOOKUP(_stats[[#This Row],[player_id]],_players[[player_id]:[player_name]],2,0),"")</f>
        <v>Даня (кипер)</v>
      </c>
      <c r="E1633" s="72">
        <v>0</v>
      </c>
      <c r="F1633" s="102">
        <v>0</v>
      </c>
      <c r="G1633" s="10">
        <f>SUMIFS(_teams[wins_on_date],_teams[date],_stats[[#This Row],[date]],_teams[team_number],_stats[[#This Row],[team_number]])</f>
        <v>2</v>
      </c>
      <c r="H1633" s="10">
        <f>SUMIFS(_teams[draws_on_date],_teams[date],_stats[[#This Row],[date]],_teams[team_number],_stats[[#This Row],[team_number]])</f>
        <v>2</v>
      </c>
      <c r="I1633" s="72">
        <v>3</v>
      </c>
      <c r="J1633" s="104">
        <v>0</v>
      </c>
      <c r="K1633" s="72">
        <v>7</v>
      </c>
      <c r="L1633" s="53" t="str">
        <f>VLOOKUP(_stats[[#This Row],[tournament]],tournaments_n_rules[],2,0)</f>
        <v>УПК</v>
      </c>
      <c r="M1633" s="53" t="str">
        <f>VLOOKUP(_stats[[#This Row],[tournament]],tournaments_n_rules[],3,0)</f>
        <v>Лето 2026</v>
      </c>
      <c r="N1633" s="54">
        <f>VLOOKUP(_stats[[#This Row],[tournament]],tournaments_n_rules[],4,0)</f>
        <v>46194</v>
      </c>
      <c r="O1633" s="54">
        <f>VLOOKUP(_stats[[#This Row],[tournament]],tournaments_n_rules[],5,0)</f>
        <v>46265</v>
      </c>
    </row>
  </sheetData>
  <dataValidations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26"/>
  <sheetViews>
    <sheetView topLeftCell="A190" workbookViewId="0">
      <selection activeCell="D225" sqref="D225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  <row r="217" spans="1:9" x14ac:dyDescent="0.25">
      <c r="A217" s="101">
        <v>46229</v>
      </c>
      <c r="B217" s="72">
        <v>1</v>
      </c>
      <c r="C217" s="102">
        <v>3</v>
      </c>
      <c r="D217" s="102">
        <v>1</v>
      </c>
      <c r="E217" s="72">
        <v>7</v>
      </c>
      <c r="F217" s="53" t="str">
        <f>VLOOKUP(_teams[[#This Row],[tournament]],tournaments_n_rules[],2,0)</f>
        <v>УПК</v>
      </c>
      <c r="G217" s="53" t="str">
        <f>VLOOKUP(_teams[[#This Row],[tournament]],tournaments_n_rules[],3,0)</f>
        <v>Лето 2026</v>
      </c>
      <c r="H217" s="54">
        <f>VLOOKUP(_teams[[#This Row],[tournament]],tournaments_n_rules[],4,0)</f>
        <v>46194</v>
      </c>
      <c r="I217" s="54">
        <f>VLOOKUP(_teams[[#This Row],[tournament]],tournaments_n_rules[],5,0)</f>
        <v>46265</v>
      </c>
    </row>
    <row r="218" spans="1:9" x14ac:dyDescent="0.25">
      <c r="A218" s="101">
        <v>46229</v>
      </c>
      <c r="B218" s="72">
        <v>2</v>
      </c>
      <c r="C218" s="102">
        <v>2</v>
      </c>
      <c r="D218" s="102">
        <v>0</v>
      </c>
      <c r="E218" s="72">
        <v>7</v>
      </c>
      <c r="F218" s="53" t="str">
        <f>VLOOKUP(_teams[[#This Row],[tournament]],tournaments_n_rules[],2,0)</f>
        <v>УПК</v>
      </c>
      <c r="G218" s="53" t="str">
        <f>VLOOKUP(_teams[[#This Row],[tournament]],tournaments_n_rules[],3,0)</f>
        <v>Лето 2026</v>
      </c>
      <c r="H218" s="54">
        <f>VLOOKUP(_teams[[#This Row],[tournament]],tournaments_n_rules[],4,0)</f>
        <v>46194</v>
      </c>
      <c r="I218" s="54">
        <f>VLOOKUP(_teams[[#This Row],[tournament]],tournaments_n_rules[],5,0)</f>
        <v>46265</v>
      </c>
    </row>
    <row r="219" spans="1:9" x14ac:dyDescent="0.25">
      <c r="A219" s="101">
        <v>46229</v>
      </c>
      <c r="B219" s="72">
        <v>3</v>
      </c>
      <c r="C219" s="102">
        <v>3</v>
      </c>
      <c r="D219" s="102">
        <v>1</v>
      </c>
      <c r="E219" s="72">
        <v>7</v>
      </c>
      <c r="F219" s="53" t="str">
        <f>VLOOKUP(_teams[[#This Row],[tournament]],tournaments_n_rules[],2,0)</f>
        <v>УПК</v>
      </c>
      <c r="G219" s="53" t="str">
        <f>VLOOKUP(_teams[[#This Row],[tournament]],tournaments_n_rules[],3,0)</f>
        <v>Лето 2026</v>
      </c>
      <c r="H219" s="54">
        <f>VLOOKUP(_teams[[#This Row],[tournament]],tournaments_n_rules[],4,0)</f>
        <v>46194</v>
      </c>
      <c r="I219" s="54">
        <f>VLOOKUP(_teams[[#This Row],[tournament]],tournaments_n_rules[],5,0)</f>
        <v>46265</v>
      </c>
    </row>
    <row r="220" spans="1:9" x14ac:dyDescent="0.25">
      <c r="A220" s="101">
        <v>46229</v>
      </c>
      <c r="B220" s="72">
        <v>4</v>
      </c>
      <c r="C220" s="102">
        <v>4</v>
      </c>
      <c r="D220" s="102">
        <v>0</v>
      </c>
      <c r="E220" s="72">
        <v>7</v>
      </c>
      <c r="F220" s="53" t="str">
        <f>VLOOKUP(_teams[[#This Row],[tournament]],tournaments_n_rules[],2,0)</f>
        <v>УПК</v>
      </c>
      <c r="G220" s="53" t="str">
        <f>VLOOKUP(_teams[[#This Row],[tournament]],tournaments_n_rules[],3,0)</f>
        <v>Лето 2026</v>
      </c>
      <c r="H220" s="54">
        <f>VLOOKUP(_teams[[#This Row],[tournament]],tournaments_n_rules[],4,0)</f>
        <v>46194</v>
      </c>
      <c r="I220" s="54">
        <f>VLOOKUP(_teams[[#This Row],[tournament]],tournaments_n_rules[],5,0)</f>
        <v>46265</v>
      </c>
    </row>
    <row r="221" spans="1:9" x14ac:dyDescent="0.25">
      <c r="A221" s="101">
        <v>46236</v>
      </c>
      <c r="B221" s="72">
        <v>1</v>
      </c>
      <c r="C221" s="102">
        <v>5</v>
      </c>
      <c r="D221" s="102">
        <v>2</v>
      </c>
      <c r="E221" s="72">
        <v>7</v>
      </c>
      <c r="F221" s="53" t="str">
        <f>VLOOKUP(_teams[[#This Row],[tournament]],tournaments_n_rules[],2,0)</f>
        <v>УПК</v>
      </c>
      <c r="G221" s="53" t="str">
        <f>VLOOKUP(_teams[[#This Row],[tournament]],tournaments_n_rules[],3,0)</f>
        <v>Лето 2026</v>
      </c>
      <c r="H221" s="54">
        <f>VLOOKUP(_teams[[#This Row],[tournament]],tournaments_n_rules[],4,0)</f>
        <v>46194</v>
      </c>
      <c r="I221" s="54">
        <f>VLOOKUP(_teams[[#This Row],[tournament]],tournaments_n_rules[],5,0)</f>
        <v>46265</v>
      </c>
    </row>
    <row r="222" spans="1:9" x14ac:dyDescent="0.25">
      <c r="A222" s="101">
        <v>46236</v>
      </c>
      <c r="B222" s="72">
        <v>2</v>
      </c>
      <c r="C222" s="102">
        <v>2</v>
      </c>
      <c r="D222" s="102">
        <v>2</v>
      </c>
      <c r="E222" s="72">
        <v>7</v>
      </c>
      <c r="F222" s="53" t="str">
        <f>VLOOKUP(_teams[[#This Row],[tournament]],tournaments_n_rules[],2,0)</f>
        <v>УПК</v>
      </c>
      <c r="G222" s="53" t="str">
        <f>VLOOKUP(_teams[[#This Row],[tournament]],tournaments_n_rules[],3,0)</f>
        <v>Лето 2026</v>
      </c>
      <c r="H222" s="54">
        <f>VLOOKUP(_teams[[#This Row],[tournament]],tournaments_n_rules[],4,0)</f>
        <v>46194</v>
      </c>
      <c r="I222" s="54">
        <f>VLOOKUP(_teams[[#This Row],[tournament]],tournaments_n_rules[],5,0)</f>
        <v>46265</v>
      </c>
    </row>
    <row r="223" spans="1:9" x14ac:dyDescent="0.25">
      <c r="A223" s="101">
        <v>46236</v>
      </c>
      <c r="B223" s="72">
        <v>3</v>
      </c>
      <c r="C223" s="102">
        <v>2</v>
      </c>
      <c r="D223" s="102">
        <v>2</v>
      </c>
      <c r="E223" s="72">
        <v>7</v>
      </c>
      <c r="F223" s="53" t="str">
        <f>VLOOKUP(_teams[[#This Row],[tournament]],tournaments_n_rules[],2,0)</f>
        <v>УПК</v>
      </c>
      <c r="G223" s="53" t="str">
        <f>VLOOKUP(_teams[[#This Row],[tournament]],tournaments_n_rules[],3,0)</f>
        <v>Лето 2026</v>
      </c>
      <c r="H223" s="54">
        <f>VLOOKUP(_teams[[#This Row],[tournament]],tournaments_n_rules[],4,0)</f>
        <v>46194</v>
      </c>
      <c r="I223" s="54">
        <f>VLOOKUP(_teams[[#This Row],[tournament]],tournaments_n_rules[],5,0)</f>
        <v>46265</v>
      </c>
    </row>
    <row r="224" spans="1:9" x14ac:dyDescent="0.25">
      <c r="A224" s="101">
        <v>46243</v>
      </c>
      <c r="B224" s="72">
        <v>1</v>
      </c>
      <c r="C224" s="102">
        <v>0</v>
      </c>
      <c r="D224" s="102">
        <v>3</v>
      </c>
      <c r="E224" s="72">
        <v>7</v>
      </c>
      <c r="F224" s="53" t="str">
        <f>VLOOKUP(_teams[[#This Row],[tournament]],tournaments_n_rules[],2,0)</f>
        <v>УПК</v>
      </c>
      <c r="G224" s="53" t="str">
        <f>VLOOKUP(_teams[[#This Row],[tournament]],tournaments_n_rules[],3,0)</f>
        <v>Лето 2026</v>
      </c>
      <c r="H224" s="54">
        <f>VLOOKUP(_teams[[#This Row],[tournament]],tournaments_n_rules[],4,0)</f>
        <v>46194</v>
      </c>
      <c r="I224" s="54">
        <f>VLOOKUP(_teams[[#This Row],[tournament]],tournaments_n_rules[],5,0)</f>
        <v>46265</v>
      </c>
    </row>
    <row r="225" spans="1:9" x14ac:dyDescent="0.25">
      <c r="A225" s="101">
        <v>46243</v>
      </c>
      <c r="B225" s="72">
        <v>2</v>
      </c>
      <c r="C225" s="102">
        <v>6</v>
      </c>
      <c r="D225" s="102">
        <v>3</v>
      </c>
      <c r="E225" s="72">
        <v>7</v>
      </c>
      <c r="F225" s="53" t="str">
        <f>VLOOKUP(_teams[[#This Row],[tournament]],tournaments_n_rules[],2,0)</f>
        <v>УПК</v>
      </c>
      <c r="G225" s="53" t="str">
        <f>VLOOKUP(_teams[[#This Row],[tournament]],tournaments_n_rules[],3,0)</f>
        <v>Лето 2026</v>
      </c>
      <c r="H225" s="54">
        <f>VLOOKUP(_teams[[#This Row],[tournament]],tournaments_n_rules[],4,0)</f>
        <v>46194</v>
      </c>
      <c r="I225" s="54">
        <f>VLOOKUP(_teams[[#This Row],[tournament]],tournaments_n_rules[],5,0)</f>
        <v>46265</v>
      </c>
    </row>
    <row r="226" spans="1:9" x14ac:dyDescent="0.25">
      <c r="A226" s="101">
        <v>46243</v>
      </c>
      <c r="B226" s="72">
        <v>3</v>
      </c>
      <c r="C226" s="102">
        <v>2</v>
      </c>
      <c r="D226" s="102">
        <v>2</v>
      </c>
      <c r="E226" s="72">
        <v>7</v>
      </c>
      <c r="F226" s="53" t="str">
        <f>VLOOKUP(_teams[[#This Row],[tournament]],tournaments_n_rules[],2,0)</f>
        <v>УПК</v>
      </c>
      <c r="G226" s="53" t="str">
        <f>VLOOKUP(_teams[[#This Row],[tournament]],tournaments_n_rules[],3,0)</f>
        <v>Лето 2026</v>
      </c>
      <c r="H226" s="54">
        <f>VLOOKUP(_teams[[#This Row],[tournament]],tournaments_n_rules[],4,0)</f>
        <v>46194</v>
      </c>
      <c r="I226" s="54">
        <f>VLOOKUP(_teams[[#This Row],[tournament]],tournaments_n_rules[],5,0)</f>
        <v>46265</v>
      </c>
    </row>
  </sheetData>
  <dataValidations count="1">
    <dataValidation type="list" allowBlank="1" showInputMessage="1" showErrorMessage="1" sqref="B2:B226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9"/>
  <sheetViews>
    <sheetView workbookViewId="0">
      <selection activeCell="F23" sqref="F23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  <row r="9" spans="1:11" x14ac:dyDescent="0.25">
      <c r="A9" s="44">
        <v>8</v>
      </c>
      <c r="B9" s="34">
        <v>1900</v>
      </c>
      <c r="C9" s="43" t="s">
        <v>220</v>
      </c>
      <c r="D9" s="45">
        <v>46236</v>
      </c>
      <c r="E9" s="45">
        <v>46265</v>
      </c>
      <c r="F9" s="7">
        <v>1</v>
      </c>
      <c r="G9" s="7">
        <v>1</v>
      </c>
      <c r="H9" s="7">
        <v>2</v>
      </c>
      <c r="I9" s="7">
        <v>1</v>
      </c>
      <c r="J9" s="7">
        <v>1</v>
      </c>
      <c r="K9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workbookViewId="0">
      <selection activeCell="C37" sqref="C37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98">
        <v>21</v>
      </c>
      <c r="B22" s="99" t="s">
        <v>292</v>
      </c>
      <c r="C22" s="100" t="s">
        <v>293</v>
      </c>
      <c r="D22" s="105" t="s">
        <v>298</v>
      </c>
    </row>
    <row r="23" spans="1:4" ht="30" x14ac:dyDescent="0.25">
      <c r="A23" s="106">
        <v>22</v>
      </c>
      <c r="B23" s="105" t="s">
        <v>299</v>
      </c>
      <c r="C23" s="107" t="s">
        <v>300</v>
      </c>
      <c r="D23" s="105" t="s">
        <v>301</v>
      </c>
    </row>
    <row r="24" spans="1:4" ht="30" x14ac:dyDescent="0.25">
      <c r="A24" s="106">
        <v>23</v>
      </c>
      <c r="B24" s="105" t="s">
        <v>304</v>
      </c>
      <c r="C24" s="107" t="s">
        <v>305</v>
      </c>
      <c r="D24" s="105" t="s">
        <v>306</v>
      </c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500"/>
  <sheetViews>
    <sheetView topLeftCell="A169" workbookViewId="0">
      <selection activeCell="D206" sqref="D206"/>
    </sheetView>
  </sheetViews>
  <sheetFormatPr defaultRowHeight="15" x14ac:dyDescent="0.25"/>
  <cols>
    <col min="1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302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302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302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302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302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302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302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302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302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302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302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302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302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302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302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302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302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302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302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302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302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302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302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302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302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302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302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302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302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302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302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302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302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302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302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302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302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302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302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302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302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302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302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302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302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302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302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302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302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302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302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302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302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302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302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302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302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302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302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302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302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302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302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302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302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302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302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302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302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302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302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302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302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302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302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302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302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302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302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302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302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302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302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302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302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302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302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302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302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302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302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302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302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302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302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302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302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302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302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302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302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302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302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302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302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302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302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302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302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302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302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302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302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302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302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302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302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302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302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302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302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302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302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302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302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302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302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302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302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302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302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302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302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302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302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302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302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302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302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302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302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302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302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302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302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302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302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302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302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302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302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302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302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302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302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302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302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302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302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302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302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302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302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302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302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302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302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302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302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302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302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302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302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302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302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302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302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302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302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302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302</v>
      </c>
    </row>
    <row r="187" spans="1:4" x14ac:dyDescent="0.25">
      <c r="A187" s="95" t="s">
        <v>290</v>
      </c>
      <c r="B187" s="96">
        <v>10</v>
      </c>
      <c r="C187" s="70">
        <v>46023</v>
      </c>
      <c r="D187" s="71" t="s">
        <v>302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302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291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291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291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291</v>
      </c>
    </row>
    <row r="193" spans="1:4" x14ac:dyDescent="0.25">
      <c r="A193" s="108" t="s">
        <v>92</v>
      </c>
      <c r="B193" s="109">
        <v>21</v>
      </c>
      <c r="C193" s="110">
        <v>46229</v>
      </c>
      <c r="D193" s="71" t="s">
        <v>303</v>
      </c>
    </row>
    <row r="194" spans="1:4" x14ac:dyDescent="0.25">
      <c r="A194" s="108" t="s">
        <v>23</v>
      </c>
      <c r="B194" s="109">
        <v>19</v>
      </c>
      <c r="C194" s="110">
        <v>46229</v>
      </c>
      <c r="D194" s="71" t="s">
        <v>303</v>
      </c>
    </row>
    <row r="195" spans="1:4" x14ac:dyDescent="0.25">
      <c r="A195" s="103" t="s">
        <v>294</v>
      </c>
      <c r="B195" s="96">
        <v>10</v>
      </c>
      <c r="C195" s="70">
        <v>46229</v>
      </c>
      <c r="D195" s="71" t="s">
        <v>303</v>
      </c>
    </row>
    <row r="196" spans="1:4" x14ac:dyDescent="0.25">
      <c r="A196" s="103" t="s">
        <v>295</v>
      </c>
      <c r="B196" s="96">
        <v>10</v>
      </c>
      <c r="C196" s="70">
        <v>46229</v>
      </c>
      <c r="D196" s="71" t="s">
        <v>303</v>
      </c>
    </row>
    <row r="197" spans="1:4" x14ac:dyDescent="0.25">
      <c r="A197" s="103" t="s">
        <v>296</v>
      </c>
      <c r="B197" s="96">
        <v>10</v>
      </c>
      <c r="C197" s="70">
        <v>46229</v>
      </c>
      <c r="D197" s="71" t="s">
        <v>303</v>
      </c>
    </row>
    <row r="198" spans="1:4" x14ac:dyDescent="0.25">
      <c r="A198" s="103" t="s">
        <v>297</v>
      </c>
      <c r="B198" s="96">
        <v>10</v>
      </c>
      <c r="C198" s="70">
        <v>46229</v>
      </c>
      <c r="D198" s="71" t="s">
        <v>303</v>
      </c>
    </row>
    <row r="199" spans="1:4" x14ac:dyDescent="0.25">
      <c r="A199" s="108" t="s">
        <v>13</v>
      </c>
      <c r="B199" s="109">
        <v>23</v>
      </c>
      <c r="C199" s="70">
        <v>46229</v>
      </c>
      <c r="D199" s="71" t="s">
        <v>307</v>
      </c>
    </row>
    <row r="200" spans="1:4" x14ac:dyDescent="0.25">
      <c r="A200" s="108" t="s">
        <v>126</v>
      </c>
      <c r="B200" s="109">
        <v>19</v>
      </c>
      <c r="C200" s="110">
        <v>46236</v>
      </c>
      <c r="D200" s="71" t="s">
        <v>302</v>
      </c>
    </row>
    <row r="201" spans="1:4" x14ac:dyDescent="0.25">
      <c r="A201" s="111" t="s">
        <v>308</v>
      </c>
      <c r="B201" s="109">
        <v>10</v>
      </c>
      <c r="C201" s="110">
        <v>46236</v>
      </c>
      <c r="D201" s="71" t="s">
        <v>302</v>
      </c>
    </row>
    <row r="202" spans="1:4" x14ac:dyDescent="0.25">
      <c r="A202" s="111" t="s">
        <v>309</v>
      </c>
      <c r="B202" s="109">
        <v>10</v>
      </c>
      <c r="C202" s="110">
        <v>46236</v>
      </c>
      <c r="D202" s="71" t="s">
        <v>302</v>
      </c>
    </row>
    <row r="203" spans="1:4" x14ac:dyDescent="0.25">
      <c r="A203" s="111" t="s">
        <v>310</v>
      </c>
      <c r="B203" s="109">
        <v>10</v>
      </c>
      <c r="C203" s="110">
        <v>46236</v>
      </c>
      <c r="D203" s="71" t="s">
        <v>302</v>
      </c>
    </row>
    <row r="204" spans="1:4" x14ac:dyDescent="0.25">
      <c r="A204" s="108" t="s">
        <v>8</v>
      </c>
      <c r="B204" s="109">
        <v>23</v>
      </c>
      <c r="C204" s="110">
        <v>46236</v>
      </c>
      <c r="D204" s="71" t="s">
        <v>311</v>
      </c>
    </row>
    <row r="205" spans="1:4" x14ac:dyDescent="0.25">
      <c r="A205" s="108" t="s">
        <v>65</v>
      </c>
      <c r="B205" s="109">
        <v>10</v>
      </c>
      <c r="C205" s="110">
        <v>46243</v>
      </c>
      <c r="D205" s="71" t="s">
        <v>302</v>
      </c>
    </row>
    <row r="206" spans="1:4" x14ac:dyDescent="0.25">
      <c r="A206" s="108" t="s">
        <v>65</v>
      </c>
      <c r="B206" s="109">
        <v>9</v>
      </c>
      <c r="C206" s="110">
        <v>46243</v>
      </c>
      <c r="D206" s="71" t="s">
        <v>302</v>
      </c>
    </row>
    <row r="207" spans="1:4" x14ac:dyDescent="0.25">
      <c r="A207" s="114" t="s">
        <v>48</v>
      </c>
      <c r="B207" s="109">
        <v>15</v>
      </c>
      <c r="C207" s="110">
        <v>46243</v>
      </c>
      <c r="D207" s="71" t="s">
        <v>302</v>
      </c>
    </row>
    <row r="208" spans="1:4" x14ac:dyDescent="0.25">
      <c r="A208" s="108" t="s">
        <v>55</v>
      </c>
      <c r="B208" s="109">
        <v>15</v>
      </c>
      <c r="C208" s="110">
        <v>46243</v>
      </c>
      <c r="D208" s="71" t="s">
        <v>302</v>
      </c>
    </row>
    <row r="209" spans="1:4" x14ac:dyDescent="0.25">
      <c r="A209" s="113" t="s">
        <v>17</v>
      </c>
      <c r="B209" s="109">
        <v>15</v>
      </c>
      <c r="C209" s="110">
        <v>46243</v>
      </c>
      <c r="D209" s="71" t="s">
        <v>302</v>
      </c>
    </row>
    <row r="210" spans="1:4" x14ac:dyDescent="0.25">
      <c r="A210" s="113" t="s">
        <v>26</v>
      </c>
      <c r="B210" s="109">
        <v>15</v>
      </c>
      <c r="C210" s="110">
        <v>46243</v>
      </c>
      <c r="D210" s="71" t="s">
        <v>302</v>
      </c>
    </row>
    <row r="211" spans="1:4" x14ac:dyDescent="0.25">
      <c r="A211" s="113" t="s">
        <v>126</v>
      </c>
      <c r="B211" s="109">
        <v>15</v>
      </c>
      <c r="C211" s="110">
        <v>46243</v>
      </c>
      <c r="D211" s="71" t="s">
        <v>302</v>
      </c>
    </row>
    <row r="212" spans="1:4" x14ac:dyDescent="0.25">
      <c r="A212" s="113" t="s">
        <v>64</v>
      </c>
      <c r="B212" s="109">
        <v>15</v>
      </c>
      <c r="C212" s="110">
        <v>46243</v>
      </c>
      <c r="D212" s="71" t="s">
        <v>302</v>
      </c>
    </row>
    <row r="213" spans="1:4" x14ac:dyDescent="0.25">
      <c r="A213" s="108" t="s">
        <v>19</v>
      </c>
      <c r="B213" s="109">
        <v>15</v>
      </c>
      <c r="C213" s="110">
        <v>46243</v>
      </c>
      <c r="D213" s="71" t="s">
        <v>302</v>
      </c>
    </row>
    <row r="214" spans="1:4" x14ac:dyDescent="0.25">
      <c r="A214" s="108" t="s">
        <v>44</v>
      </c>
      <c r="B214" s="109">
        <v>15</v>
      </c>
      <c r="C214" s="110">
        <v>46243</v>
      </c>
      <c r="D214" s="71" t="s">
        <v>302</v>
      </c>
    </row>
    <row r="215" spans="1:4" x14ac:dyDescent="0.25">
      <c r="A215" s="113" t="s">
        <v>46</v>
      </c>
      <c r="B215" s="109">
        <v>15</v>
      </c>
      <c r="C215" s="110">
        <v>46243</v>
      </c>
      <c r="D215" s="71" t="s">
        <v>302</v>
      </c>
    </row>
    <row r="216" spans="1:4" x14ac:dyDescent="0.25">
      <c r="A216" s="108" t="s">
        <v>135</v>
      </c>
      <c r="B216" s="109">
        <v>15</v>
      </c>
      <c r="C216" s="110">
        <v>46243</v>
      </c>
      <c r="D216" s="71" t="s">
        <v>302</v>
      </c>
    </row>
    <row r="217" spans="1:4" x14ac:dyDescent="0.25">
      <c r="A217" s="60"/>
      <c r="B217" s="60"/>
      <c r="C217" s="62"/>
      <c r="D217" s="60"/>
    </row>
    <row r="218" spans="1:4" x14ac:dyDescent="0.25">
      <c r="A218" s="60"/>
      <c r="B218" s="60"/>
      <c r="C218" s="62"/>
      <c r="D218" s="60"/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  <row r="500" spans="1:4" x14ac:dyDescent="0.25">
      <c r="A500" s="60"/>
      <c r="B500" s="60"/>
      <c r="C500" s="62"/>
      <c r="D500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  <hyperlink ref="D27" r:id="rId5" display="https://mitino.streamlit.app" xr:uid="{B576F1F2-3035-48B5-A4A5-E43E300382D5}"/>
    <hyperlink ref="D199" r:id="rId6" xr:uid="{19E2A671-F488-43DB-BB1C-340CFA770393}"/>
    <hyperlink ref="D204" r:id="rId7" xr:uid="{FBE0953B-B4A4-4935-B5C0-B7E0DDD905B4}"/>
  </hyperlinks>
  <pageMargins left="0.7" right="0.7" top="0.75" bottom="0.75" header="0.3" footer="0.3"/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J9" sqref="J9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2026-08-09T12:29:39Z</dcterms:modified>
</cp:coreProperties>
</file>