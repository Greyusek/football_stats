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6AF3A197-2FA6-4C3D-9D54-1442FF714EAA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00" i="1" l="1"/>
  <c r="E200" i="1"/>
  <c r="D200" i="1"/>
  <c r="C200" i="1"/>
  <c r="D1701" i="2"/>
  <c r="D1700" i="2"/>
  <c r="D1699" i="2"/>
  <c r="D1698" i="2"/>
  <c r="D1697" i="2"/>
  <c r="D1696" i="2"/>
  <c r="D1695" i="2"/>
  <c r="D1694" i="2"/>
  <c r="D1693" i="2"/>
  <c r="D1692" i="2"/>
  <c r="D1691" i="2"/>
  <c r="D1690" i="2"/>
  <c r="D1689" i="2"/>
  <c r="D1688" i="2"/>
  <c r="D1687" i="2"/>
  <c r="D1686" i="2"/>
  <c r="D1685" i="2"/>
  <c r="D1684" i="2"/>
  <c r="D1683" i="2"/>
  <c r="D1682" i="2"/>
  <c r="D1681" i="2"/>
  <c r="D1680" i="2"/>
  <c r="D1679" i="2"/>
  <c r="D1678" i="2"/>
  <c r="D1677" i="2"/>
  <c r="D1676" i="2"/>
  <c r="D1675" i="2"/>
  <c r="D1674" i="2"/>
  <c r="H1701" i="2"/>
  <c r="G1701" i="2"/>
  <c r="H1700" i="2"/>
  <c r="G1700" i="2"/>
  <c r="H1699" i="2"/>
  <c r="G1699" i="2"/>
  <c r="H1698" i="2"/>
  <c r="G1698" i="2"/>
  <c r="H1697" i="2"/>
  <c r="G1697" i="2"/>
  <c r="H1696" i="2"/>
  <c r="G1696" i="2"/>
  <c r="H1695" i="2"/>
  <c r="G1695" i="2"/>
  <c r="H1694" i="2"/>
  <c r="F200" i="1" s="1"/>
  <c r="G1694" i="2"/>
  <c r="H1693" i="2"/>
  <c r="G1693" i="2"/>
  <c r="H1692" i="2"/>
  <c r="G1692" i="2"/>
  <c r="H1691" i="2"/>
  <c r="G1691" i="2"/>
  <c r="H1690" i="2"/>
  <c r="G1690" i="2"/>
  <c r="H1689" i="2"/>
  <c r="G1689" i="2"/>
  <c r="H1688" i="2"/>
  <c r="G1688" i="2"/>
  <c r="H1687" i="2"/>
  <c r="G1687" i="2"/>
  <c r="H1686" i="2"/>
  <c r="G1686" i="2"/>
  <c r="H1685" i="2"/>
  <c r="G1685" i="2"/>
  <c r="H1684" i="2"/>
  <c r="G1684" i="2"/>
  <c r="H1683" i="2"/>
  <c r="G1683" i="2"/>
  <c r="H1682" i="2"/>
  <c r="G1682" i="2"/>
  <c r="H1681" i="2"/>
  <c r="G1681" i="2"/>
  <c r="H1680" i="2"/>
  <c r="G1680" i="2"/>
  <c r="H1679" i="2"/>
  <c r="G1679" i="2"/>
  <c r="H1678" i="2"/>
  <c r="G1678" i="2"/>
  <c r="H1677" i="2"/>
  <c r="G1677" i="2"/>
  <c r="H1676" i="2"/>
  <c r="G1676" i="2"/>
  <c r="H1675" i="2"/>
  <c r="G1675" i="2"/>
  <c r="H1674" i="2"/>
  <c r="G1674" i="2"/>
  <c r="G199" i="1"/>
  <c r="D199" i="1"/>
  <c r="C199" i="1"/>
  <c r="H1668" i="2"/>
  <c r="G1668" i="2"/>
  <c r="D1668" i="2"/>
  <c r="G198" i="1"/>
  <c r="D198" i="1"/>
  <c r="C198" i="1"/>
  <c r="G197" i="1"/>
  <c r="D197" i="1"/>
  <c r="C197" i="1"/>
  <c r="D1673" i="2"/>
  <c r="D1672" i="2"/>
  <c r="D1671" i="2"/>
  <c r="D1670" i="2"/>
  <c r="D1669" i="2"/>
  <c r="D1667" i="2"/>
  <c r="D1666" i="2"/>
  <c r="D1665" i="2"/>
  <c r="D1664" i="2"/>
  <c r="D1663" i="2"/>
  <c r="D1662" i="2"/>
  <c r="D1661" i="2"/>
  <c r="D1660" i="2"/>
  <c r="D1659" i="2"/>
  <c r="D1658" i="2"/>
  <c r="D1657" i="2"/>
  <c r="D1656" i="2"/>
  <c r="D1655" i="2"/>
  <c r="D1654" i="2"/>
  <c r="D1653" i="2"/>
  <c r="D1652" i="2"/>
  <c r="D1651" i="2"/>
  <c r="H1673" i="2"/>
  <c r="G1673" i="2"/>
  <c r="H1672" i="2"/>
  <c r="F198" i="1" s="1"/>
  <c r="G1672" i="2"/>
  <c r="E198" i="1" s="1"/>
  <c r="H1671" i="2"/>
  <c r="G1671" i="2"/>
  <c r="H1670" i="2"/>
  <c r="F197" i="1" s="1"/>
  <c r="G1670" i="2"/>
  <c r="E197" i="1" s="1"/>
  <c r="H1669" i="2"/>
  <c r="G1669" i="2"/>
  <c r="H1667" i="2"/>
  <c r="G1667" i="2"/>
  <c r="H1666" i="2"/>
  <c r="G1666" i="2"/>
  <c r="H1665" i="2"/>
  <c r="G1665" i="2"/>
  <c r="H1664" i="2"/>
  <c r="G1664" i="2"/>
  <c r="H1663" i="2"/>
  <c r="G1663" i="2"/>
  <c r="H1662" i="2"/>
  <c r="G1662" i="2"/>
  <c r="H1661" i="2"/>
  <c r="G1661" i="2"/>
  <c r="H1660" i="2"/>
  <c r="G1660" i="2"/>
  <c r="H1659" i="2"/>
  <c r="G1659" i="2"/>
  <c r="H1658" i="2"/>
  <c r="G1658" i="2"/>
  <c r="H1657" i="2"/>
  <c r="G1657" i="2"/>
  <c r="H1656" i="2"/>
  <c r="F199" i="1" s="1"/>
  <c r="G1656" i="2"/>
  <c r="E199" i="1" s="1"/>
  <c r="H1655" i="2"/>
  <c r="G1655" i="2"/>
  <c r="H1654" i="2"/>
  <c r="G1654" i="2"/>
  <c r="H1653" i="2"/>
  <c r="G1653" i="2"/>
  <c r="H1652" i="2"/>
  <c r="G1652" i="2"/>
  <c r="H1651" i="2"/>
  <c r="G1651" i="2"/>
  <c r="D1650" i="2"/>
  <c r="D1649" i="2"/>
  <c r="D1648" i="2"/>
  <c r="D1647" i="2"/>
  <c r="D1646" i="2"/>
  <c r="D1645" i="2"/>
  <c r="D1644" i="2"/>
  <c r="D1643" i="2"/>
  <c r="D1642" i="2"/>
  <c r="D1641" i="2"/>
  <c r="D1640" i="2"/>
  <c r="D1639" i="2"/>
  <c r="D1638" i="2"/>
  <c r="D1637" i="2"/>
  <c r="D1636" i="2"/>
  <c r="D1635" i="2"/>
  <c r="D1634" i="2"/>
  <c r="H1650" i="2"/>
  <c r="G1650" i="2"/>
  <c r="H1649" i="2"/>
  <c r="G1649" i="2"/>
  <c r="H1648" i="2"/>
  <c r="G1648" i="2"/>
  <c r="H1647" i="2"/>
  <c r="F196" i="1" s="1"/>
  <c r="G1647" i="2"/>
  <c r="E196" i="1" s="1"/>
  <c r="H1646" i="2"/>
  <c r="G1646" i="2"/>
  <c r="H1645" i="2"/>
  <c r="G1645" i="2"/>
  <c r="H1644" i="2"/>
  <c r="G1644" i="2"/>
  <c r="H1643" i="2"/>
  <c r="G1643" i="2"/>
  <c r="H1642" i="2"/>
  <c r="G1642" i="2"/>
  <c r="H1641" i="2"/>
  <c r="G1641" i="2"/>
  <c r="H1640" i="2"/>
  <c r="G1640" i="2"/>
  <c r="H1639" i="2"/>
  <c r="G1639" i="2"/>
  <c r="H1638" i="2"/>
  <c r="G1638" i="2"/>
  <c r="H1637" i="2"/>
  <c r="G1637" i="2"/>
  <c r="H1636" i="2"/>
  <c r="G1636" i="2"/>
  <c r="H1635" i="2"/>
  <c r="G1635" i="2"/>
  <c r="H1634" i="2"/>
  <c r="G1634" i="2"/>
  <c r="G196" i="1"/>
  <c r="D196" i="1"/>
  <c r="C196" i="1"/>
  <c r="H1618" i="2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G1633" i="2"/>
  <c r="H1632" i="2"/>
  <c r="G1632" i="2"/>
  <c r="H1631" i="2"/>
  <c r="F194" i="1" s="1"/>
  <c r="G1631" i="2"/>
  <c r="E194" i="1" s="1"/>
  <c r="H1630" i="2"/>
  <c r="G1630" i="2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O777" i="2" s="1"/>
  <c r="A4" i="4"/>
  <c r="O825" i="2" s="1"/>
  <c r="A3" i="4"/>
  <c r="N188" i="2" s="1"/>
  <c r="A2" i="4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E169" i="1" s="1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E175" i="1" s="1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F162" i="1" s="1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H827" i="2"/>
  <c r="G827" i="2"/>
  <c r="D827" i="2"/>
  <c r="H826" i="2"/>
  <c r="G826" i="2"/>
  <c r="D826" i="2"/>
  <c r="H825" i="2"/>
  <c r="G825" i="2"/>
  <c r="D825" i="2"/>
  <c r="N824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H815" i="2"/>
  <c r="G815" i="2"/>
  <c r="D815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H779" i="2"/>
  <c r="G779" i="2"/>
  <c r="D779" i="2"/>
  <c r="H778" i="2"/>
  <c r="G778" i="2"/>
  <c r="D778" i="2"/>
  <c r="H777" i="2"/>
  <c r="G777" i="2"/>
  <c r="D777" i="2"/>
  <c r="N776" i="2"/>
  <c r="H776" i="2"/>
  <c r="G776" i="2"/>
  <c r="D776" i="2"/>
  <c r="H775" i="2"/>
  <c r="G775" i="2"/>
  <c r="D775" i="2"/>
  <c r="H774" i="2"/>
  <c r="G774" i="2"/>
  <c r="D774" i="2"/>
  <c r="H773" i="2"/>
  <c r="G773" i="2"/>
  <c r="D773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H767" i="2"/>
  <c r="G767" i="2"/>
  <c r="D767" i="2"/>
  <c r="L766" i="2"/>
  <c r="H766" i="2"/>
  <c r="G766" i="2"/>
  <c r="D766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H755" i="2"/>
  <c r="G755" i="2"/>
  <c r="D755" i="2"/>
  <c r="H754" i="2"/>
  <c r="G754" i="2"/>
  <c r="D754" i="2"/>
  <c r="O753" i="2"/>
  <c r="H753" i="2"/>
  <c r="G753" i="2"/>
  <c r="D753" i="2"/>
  <c r="H752" i="2"/>
  <c r="G752" i="2"/>
  <c r="D752" i="2"/>
  <c r="H751" i="2"/>
  <c r="G751" i="2"/>
  <c r="D751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H731" i="2"/>
  <c r="G731" i="2"/>
  <c r="D731" i="2"/>
  <c r="H730" i="2"/>
  <c r="G730" i="2"/>
  <c r="D730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H718" i="2"/>
  <c r="G718" i="2"/>
  <c r="D718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H640" i="2"/>
  <c r="G640" i="2"/>
  <c r="D640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H585" i="2"/>
  <c r="F98" i="1" s="1"/>
  <c r="G585" i="2"/>
  <c r="E98" i="1" s="1"/>
  <c r="D585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H496" i="2"/>
  <c r="G496" i="2"/>
  <c r="D496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H489" i="2"/>
  <c r="G489" i="2"/>
  <c r="D489" i="2"/>
  <c r="N488" i="2"/>
  <c r="H488" i="2"/>
  <c r="G488" i="2"/>
  <c r="D488" i="2"/>
  <c r="N487" i="2"/>
  <c r="M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N484" i="2"/>
  <c r="M484" i="2"/>
  <c r="H484" i="2"/>
  <c r="G484" i="2"/>
  <c r="D484" i="2"/>
  <c r="O483" i="2"/>
  <c r="N483" i="2"/>
  <c r="L483" i="2"/>
  <c r="H483" i="2"/>
  <c r="G483" i="2"/>
  <c r="D483" i="2"/>
  <c r="O482" i="2"/>
  <c r="N482" i="2"/>
  <c r="M482" i="2"/>
  <c r="L482" i="2"/>
  <c r="H482" i="2"/>
  <c r="G482" i="2"/>
  <c r="D482" i="2"/>
  <c r="N481" i="2"/>
  <c r="M481" i="2"/>
  <c r="H481" i="2"/>
  <c r="G481" i="2"/>
  <c r="D481" i="2"/>
  <c r="O480" i="2"/>
  <c r="N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H478" i="2"/>
  <c r="G478" i="2"/>
  <c r="D478" i="2"/>
  <c r="O477" i="2"/>
  <c r="N477" i="2"/>
  <c r="L477" i="2"/>
  <c r="H477" i="2"/>
  <c r="G477" i="2"/>
  <c r="D477" i="2"/>
  <c r="O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L474" i="2"/>
  <c r="H474" i="2"/>
  <c r="G474" i="2"/>
  <c r="D474" i="2"/>
  <c r="O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L471" i="2"/>
  <c r="H471" i="2"/>
  <c r="G471" i="2"/>
  <c r="D471" i="2"/>
  <c r="O470" i="2"/>
  <c r="M470" i="2"/>
  <c r="L470" i="2"/>
  <c r="H470" i="2"/>
  <c r="G470" i="2"/>
  <c r="D470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M467" i="2"/>
  <c r="L467" i="2"/>
  <c r="H467" i="2"/>
  <c r="G467" i="2"/>
  <c r="D467" i="2"/>
  <c r="N466" i="2"/>
  <c r="M466" i="2"/>
  <c r="H466" i="2"/>
  <c r="G466" i="2"/>
  <c r="D466" i="2"/>
  <c r="O465" i="2"/>
  <c r="N465" i="2"/>
  <c r="M465" i="2"/>
  <c r="L465" i="2"/>
  <c r="H465" i="2"/>
  <c r="G465" i="2"/>
  <c r="D465" i="2"/>
  <c r="O464" i="2"/>
  <c r="M464" i="2"/>
  <c r="L464" i="2"/>
  <c r="H464" i="2"/>
  <c r="G464" i="2"/>
  <c r="D464" i="2"/>
  <c r="N463" i="2"/>
  <c r="M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N460" i="2"/>
  <c r="M460" i="2"/>
  <c r="H460" i="2"/>
  <c r="G460" i="2"/>
  <c r="D460" i="2"/>
  <c r="O459" i="2"/>
  <c r="N459" i="2"/>
  <c r="L459" i="2"/>
  <c r="H459" i="2"/>
  <c r="G459" i="2"/>
  <c r="D459" i="2"/>
  <c r="O458" i="2"/>
  <c r="N458" i="2"/>
  <c r="M458" i="2"/>
  <c r="L458" i="2"/>
  <c r="H458" i="2"/>
  <c r="G458" i="2"/>
  <c r="D458" i="2"/>
  <c r="N457" i="2"/>
  <c r="M457" i="2"/>
  <c r="H457" i="2"/>
  <c r="G457" i="2"/>
  <c r="D457" i="2"/>
  <c r="O456" i="2"/>
  <c r="N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H454" i="2"/>
  <c r="G454" i="2"/>
  <c r="D454" i="2"/>
  <c r="O453" i="2"/>
  <c r="N453" i="2"/>
  <c r="L453" i="2"/>
  <c r="H453" i="2"/>
  <c r="G453" i="2"/>
  <c r="D453" i="2"/>
  <c r="O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L450" i="2"/>
  <c r="H450" i="2"/>
  <c r="G450" i="2"/>
  <c r="D450" i="2"/>
  <c r="O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L447" i="2"/>
  <c r="H447" i="2"/>
  <c r="G447" i="2"/>
  <c r="D447" i="2"/>
  <c r="O446" i="2"/>
  <c r="M446" i="2"/>
  <c r="L446" i="2"/>
  <c r="H446" i="2"/>
  <c r="G446" i="2"/>
  <c r="D446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M443" i="2"/>
  <c r="L443" i="2"/>
  <c r="H443" i="2"/>
  <c r="G443" i="2"/>
  <c r="D443" i="2"/>
  <c r="N442" i="2"/>
  <c r="M442" i="2"/>
  <c r="H442" i="2"/>
  <c r="G442" i="2"/>
  <c r="D442" i="2"/>
  <c r="O441" i="2"/>
  <c r="N441" i="2"/>
  <c r="M441" i="2"/>
  <c r="L441" i="2"/>
  <c r="H441" i="2"/>
  <c r="G441" i="2"/>
  <c r="D441" i="2"/>
  <c r="O440" i="2"/>
  <c r="M440" i="2"/>
  <c r="L440" i="2"/>
  <c r="H440" i="2"/>
  <c r="G440" i="2"/>
  <c r="D440" i="2"/>
  <c r="N439" i="2"/>
  <c r="M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N436" i="2"/>
  <c r="M436" i="2"/>
  <c r="H436" i="2"/>
  <c r="G436" i="2"/>
  <c r="D436" i="2"/>
  <c r="O435" i="2"/>
  <c r="N435" i="2"/>
  <c r="L435" i="2"/>
  <c r="H435" i="2"/>
  <c r="G435" i="2"/>
  <c r="D435" i="2"/>
  <c r="O434" i="2"/>
  <c r="N434" i="2"/>
  <c r="M434" i="2"/>
  <c r="L434" i="2"/>
  <c r="H434" i="2"/>
  <c r="G434" i="2"/>
  <c r="D434" i="2"/>
  <c r="N433" i="2"/>
  <c r="M433" i="2"/>
  <c r="H433" i="2"/>
  <c r="G433" i="2"/>
  <c r="D433" i="2"/>
  <c r="O432" i="2"/>
  <c r="N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H430" i="2"/>
  <c r="G430" i="2"/>
  <c r="D430" i="2"/>
  <c r="O429" i="2"/>
  <c r="N429" i="2"/>
  <c r="L429" i="2"/>
  <c r="H429" i="2"/>
  <c r="G429" i="2"/>
  <c r="D429" i="2"/>
  <c r="O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L426" i="2"/>
  <c r="H426" i="2"/>
  <c r="G426" i="2"/>
  <c r="D426" i="2"/>
  <c r="O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L423" i="2"/>
  <c r="H423" i="2"/>
  <c r="G423" i="2"/>
  <c r="D423" i="2"/>
  <c r="O422" i="2"/>
  <c r="M422" i="2"/>
  <c r="L422" i="2"/>
  <c r="H422" i="2"/>
  <c r="G422" i="2"/>
  <c r="D422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M419" i="2"/>
  <c r="L419" i="2"/>
  <c r="H419" i="2"/>
  <c r="G419" i="2"/>
  <c r="D419" i="2"/>
  <c r="N418" i="2"/>
  <c r="M418" i="2"/>
  <c r="H418" i="2"/>
  <c r="G418" i="2"/>
  <c r="D418" i="2"/>
  <c r="O417" i="2"/>
  <c r="N417" i="2"/>
  <c r="M417" i="2"/>
  <c r="L417" i="2"/>
  <c r="H417" i="2"/>
  <c r="G417" i="2"/>
  <c r="D417" i="2"/>
  <c r="O416" i="2"/>
  <c r="M416" i="2"/>
  <c r="L416" i="2"/>
  <c r="H416" i="2"/>
  <c r="G416" i="2"/>
  <c r="D416" i="2"/>
  <c r="N415" i="2"/>
  <c r="M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N412" i="2"/>
  <c r="M412" i="2"/>
  <c r="H412" i="2"/>
  <c r="G412" i="2"/>
  <c r="D412" i="2"/>
  <c r="O411" i="2"/>
  <c r="N411" i="2"/>
  <c r="L411" i="2"/>
  <c r="H411" i="2"/>
  <c r="G411" i="2"/>
  <c r="D411" i="2"/>
  <c r="O410" i="2"/>
  <c r="N410" i="2"/>
  <c r="M410" i="2"/>
  <c r="L410" i="2"/>
  <c r="H410" i="2"/>
  <c r="G410" i="2"/>
  <c r="D410" i="2"/>
  <c r="N409" i="2"/>
  <c r="M409" i="2"/>
  <c r="H409" i="2"/>
  <c r="G409" i="2"/>
  <c r="D409" i="2"/>
  <c r="O408" i="2"/>
  <c r="N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H406" i="2"/>
  <c r="G406" i="2"/>
  <c r="D406" i="2"/>
  <c r="O405" i="2"/>
  <c r="N405" i="2"/>
  <c r="L405" i="2"/>
  <c r="H405" i="2"/>
  <c r="G405" i="2"/>
  <c r="D405" i="2"/>
  <c r="O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L402" i="2"/>
  <c r="H402" i="2"/>
  <c r="G402" i="2"/>
  <c r="D402" i="2"/>
  <c r="O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E86" i="1" s="1"/>
  <c r="D400" i="2"/>
  <c r="O399" i="2"/>
  <c r="N399" i="2"/>
  <c r="L399" i="2"/>
  <c r="H399" i="2"/>
  <c r="G399" i="2"/>
  <c r="D399" i="2"/>
  <c r="O398" i="2"/>
  <c r="M398" i="2"/>
  <c r="L398" i="2"/>
  <c r="H398" i="2"/>
  <c r="G398" i="2"/>
  <c r="D398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M395" i="2"/>
  <c r="L395" i="2"/>
  <c r="H395" i="2"/>
  <c r="G395" i="2"/>
  <c r="D395" i="2"/>
  <c r="N394" i="2"/>
  <c r="M394" i="2"/>
  <c r="H394" i="2"/>
  <c r="G394" i="2"/>
  <c r="D394" i="2"/>
  <c r="O393" i="2"/>
  <c r="N393" i="2"/>
  <c r="M393" i="2"/>
  <c r="L393" i="2"/>
  <c r="H393" i="2"/>
  <c r="G393" i="2"/>
  <c r="D393" i="2"/>
  <c r="O392" i="2"/>
  <c r="M392" i="2"/>
  <c r="L392" i="2"/>
  <c r="H392" i="2"/>
  <c r="F85" i="1" s="1"/>
  <c r="G392" i="2"/>
  <c r="E85" i="1" s="1"/>
  <c r="D392" i="2"/>
  <c r="N391" i="2"/>
  <c r="M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H388" i="2"/>
  <c r="G388" i="2"/>
  <c r="D388" i="2"/>
  <c r="O387" i="2"/>
  <c r="N387" i="2"/>
  <c r="L387" i="2"/>
  <c r="H387" i="2"/>
  <c r="G387" i="2"/>
  <c r="D387" i="2"/>
  <c r="O386" i="2"/>
  <c r="N386" i="2"/>
  <c r="M386" i="2"/>
  <c r="L386" i="2"/>
  <c r="H386" i="2"/>
  <c r="G386" i="2"/>
  <c r="D386" i="2"/>
  <c r="N385" i="2"/>
  <c r="M385" i="2"/>
  <c r="L385" i="2"/>
  <c r="H385" i="2"/>
  <c r="G385" i="2"/>
  <c r="D385" i="2"/>
  <c r="O384" i="2"/>
  <c r="N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H382" i="2"/>
  <c r="G382" i="2"/>
  <c r="D382" i="2"/>
  <c r="O381" i="2"/>
  <c r="N381" i="2"/>
  <c r="L381" i="2"/>
  <c r="H381" i="2"/>
  <c r="G381" i="2"/>
  <c r="D381" i="2"/>
  <c r="O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L375" i="2"/>
  <c r="H375" i="2"/>
  <c r="G375" i="2"/>
  <c r="D375" i="2"/>
  <c r="O374" i="2"/>
  <c r="M374" i="2"/>
  <c r="L374" i="2"/>
  <c r="H374" i="2"/>
  <c r="G374" i="2"/>
  <c r="D374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N370" i="2"/>
  <c r="M370" i="2"/>
  <c r="H370" i="2"/>
  <c r="G370" i="2"/>
  <c r="D370" i="2"/>
  <c r="O369" i="2"/>
  <c r="N369" i="2"/>
  <c r="M369" i="2"/>
  <c r="L369" i="2"/>
  <c r="H369" i="2"/>
  <c r="G369" i="2"/>
  <c r="D369" i="2"/>
  <c r="O368" i="2"/>
  <c r="M368" i="2"/>
  <c r="L368" i="2"/>
  <c r="H368" i="2"/>
  <c r="G368" i="2"/>
  <c r="D368" i="2"/>
  <c r="N367" i="2"/>
  <c r="M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H364" i="2"/>
  <c r="G364" i="2"/>
  <c r="D364" i="2"/>
  <c r="O363" i="2"/>
  <c r="N363" i="2"/>
  <c r="L363" i="2"/>
  <c r="H363" i="2"/>
  <c r="G363" i="2"/>
  <c r="D363" i="2"/>
  <c r="O362" i="2"/>
  <c r="N362" i="2"/>
  <c r="M362" i="2"/>
  <c r="L362" i="2"/>
  <c r="H362" i="2"/>
  <c r="G362" i="2"/>
  <c r="D362" i="2"/>
  <c r="N361" i="2"/>
  <c r="M361" i="2"/>
  <c r="L361" i="2"/>
  <c r="H361" i="2"/>
  <c r="G361" i="2"/>
  <c r="D361" i="2"/>
  <c r="O360" i="2"/>
  <c r="N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H358" i="2"/>
  <c r="G358" i="2"/>
  <c r="D358" i="2"/>
  <c r="O357" i="2"/>
  <c r="N357" i="2"/>
  <c r="L357" i="2"/>
  <c r="H357" i="2"/>
  <c r="G357" i="2"/>
  <c r="D357" i="2"/>
  <c r="O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L351" i="2"/>
  <c r="H351" i="2"/>
  <c r="G351" i="2"/>
  <c r="D351" i="2"/>
  <c r="O350" i="2"/>
  <c r="M350" i="2"/>
  <c r="L350" i="2"/>
  <c r="H350" i="2"/>
  <c r="G350" i="2"/>
  <c r="D350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N346" i="2"/>
  <c r="M346" i="2"/>
  <c r="H346" i="2"/>
  <c r="G346" i="2"/>
  <c r="D346" i="2"/>
  <c r="O345" i="2"/>
  <c r="N345" i="2"/>
  <c r="M345" i="2"/>
  <c r="L345" i="2"/>
  <c r="H345" i="2"/>
  <c r="G345" i="2"/>
  <c r="D345" i="2"/>
  <c r="O344" i="2"/>
  <c r="M344" i="2"/>
  <c r="L344" i="2"/>
  <c r="H344" i="2"/>
  <c r="G344" i="2"/>
  <c r="D344" i="2"/>
  <c r="N343" i="2"/>
  <c r="M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H340" i="2"/>
  <c r="G340" i="2"/>
  <c r="D340" i="2"/>
  <c r="O339" i="2"/>
  <c r="N339" i="2"/>
  <c r="L339" i="2"/>
  <c r="H339" i="2"/>
  <c r="G339" i="2"/>
  <c r="D339" i="2"/>
  <c r="O338" i="2"/>
  <c r="N338" i="2"/>
  <c r="M338" i="2"/>
  <c r="L338" i="2"/>
  <c r="H338" i="2"/>
  <c r="G338" i="2"/>
  <c r="D338" i="2"/>
  <c r="N337" i="2"/>
  <c r="M337" i="2"/>
  <c r="L337" i="2"/>
  <c r="H337" i="2"/>
  <c r="G337" i="2"/>
  <c r="D337" i="2"/>
  <c r="O336" i="2"/>
  <c r="N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H334" i="2"/>
  <c r="F81" i="1" s="1"/>
  <c r="G334" i="2"/>
  <c r="E81" i="1" s="1"/>
  <c r="D334" i="2"/>
  <c r="O333" i="2"/>
  <c r="N333" i="2"/>
  <c r="L333" i="2"/>
  <c r="H333" i="2"/>
  <c r="G333" i="2"/>
  <c r="D333" i="2"/>
  <c r="O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L327" i="2"/>
  <c r="H327" i="2"/>
  <c r="G327" i="2"/>
  <c r="D327" i="2"/>
  <c r="O326" i="2"/>
  <c r="M326" i="2"/>
  <c r="L326" i="2"/>
  <c r="H326" i="2"/>
  <c r="G326" i="2"/>
  <c r="D326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N322" i="2"/>
  <c r="M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N319" i="2"/>
  <c r="M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H316" i="2"/>
  <c r="G316" i="2"/>
  <c r="D316" i="2"/>
  <c r="O315" i="2"/>
  <c r="N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L309" i="2"/>
  <c r="H309" i="2"/>
  <c r="G309" i="2"/>
  <c r="D309" i="2"/>
  <c r="O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M302" i="2"/>
  <c r="L302" i="2"/>
  <c r="H302" i="2"/>
  <c r="G302" i="2"/>
  <c r="D302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N298" i="2"/>
  <c r="M298" i="2"/>
  <c r="H298" i="2"/>
  <c r="G298" i="2"/>
  <c r="D298" i="2"/>
  <c r="O297" i="2"/>
  <c r="N297" i="2"/>
  <c r="M297" i="2"/>
  <c r="L297" i="2"/>
  <c r="H297" i="2"/>
  <c r="F78" i="1" s="1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N295" i="2"/>
  <c r="M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H292" i="2"/>
  <c r="G292" i="2"/>
  <c r="D292" i="2"/>
  <c r="O291" i="2"/>
  <c r="N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L285" i="2"/>
  <c r="H285" i="2"/>
  <c r="G285" i="2"/>
  <c r="D285" i="2"/>
  <c r="O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M278" i="2"/>
  <c r="L278" i="2"/>
  <c r="H278" i="2"/>
  <c r="G278" i="2"/>
  <c r="D278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N274" i="2"/>
  <c r="M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N271" i="2"/>
  <c r="M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H268" i="2"/>
  <c r="G268" i="2"/>
  <c r="D268" i="2"/>
  <c r="O267" i="2"/>
  <c r="N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L261" i="2"/>
  <c r="H261" i="2"/>
  <c r="G261" i="2"/>
  <c r="D261" i="2"/>
  <c r="O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M254" i="2"/>
  <c r="L254" i="2"/>
  <c r="H254" i="2"/>
  <c r="G254" i="2"/>
  <c r="D254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N250" i="2"/>
  <c r="M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N247" i="2"/>
  <c r="M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H244" i="2"/>
  <c r="G244" i="2"/>
  <c r="D244" i="2"/>
  <c r="O243" i="2"/>
  <c r="N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L237" i="2"/>
  <c r="H237" i="2"/>
  <c r="G237" i="2"/>
  <c r="D237" i="2"/>
  <c r="O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M230" i="2"/>
  <c r="L230" i="2"/>
  <c r="H230" i="2"/>
  <c r="G230" i="2"/>
  <c r="D230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N226" i="2"/>
  <c r="M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N223" i="2"/>
  <c r="M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H220" i="2"/>
  <c r="G220" i="2"/>
  <c r="D220" i="2"/>
  <c r="O219" i="2"/>
  <c r="N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L213" i="2"/>
  <c r="H213" i="2"/>
  <c r="G213" i="2"/>
  <c r="D213" i="2"/>
  <c r="O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D210" i="2"/>
  <c r="O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M206" i="2"/>
  <c r="L206" i="2"/>
  <c r="H206" i="2"/>
  <c r="G206" i="2"/>
  <c r="D206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N202" i="2"/>
  <c r="M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N199" i="2"/>
  <c r="M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H196" i="2"/>
  <c r="G196" i="2"/>
  <c r="D196" i="2"/>
  <c r="O195" i="2"/>
  <c r="N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L189" i="2"/>
  <c r="H189" i="2"/>
  <c r="G189" i="2"/>
  <c r="D189" i="2"/>
  <c r="O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N175" i="2"/>
  <c r="M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N151" i="2"/>
  <c r="M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N127" i="2"/>
  <c r="M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N103" i="2"/>
  <c r="M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N79" i="2"/>
  <c r="M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G39" i="2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N1696" i="2" l="1"/>
  <c r="L902" i="2"/>
  <c r="M755" i="2"/>
  <c r="F232" i="3"/>
  <c r="L1674" i="2"/>
  <c r="L1680" i="2"/>
  <c r="L1686" i="2"/>
  <c r="L1692" i="2"/>
  <c r="L1698" i="2"/>
  <c r="G232" i="3"/>
  <c r="M1674" i="2"/>
  <c r="M1680" i="2"/>
  <c r="M1686" i="2"/>
  <c r="M1692" i="2"/>
  <c r="M1698" i="2"/>
  <c r="H232" i="3"/>
  <c r="N1674" i="2"/>
  <c r="N1680" i="2"/>
  <c r="N1686" i="2"/>
  <c r="N1692" i="2"/>
  <c r="N1698" i="2"/>
  <c r="I232" i="3"/>
  <c r="O1674" i="2"/>
  <c r="O1680" i="2"/>
  <c r="O1686" i="2"/>
  <c r="O1692" i="2"/>
  <c r="O1698" i="2"/>
  <c r="F233" i="3"/>
  <c r="L1675" i="2"/>
  <c r="L1681" i="2"/>
  <c r="L1687" i="2"/>
  <c r="L1693" i="2"/>
  <c r="L1699" i="2"/>
  <c r="G233" i="3"/>
  <c r="M1675" i="2"/>
  <c r="M1681" i="2"/>
  <c r="M1687" i="2"/>
  <c r="M1693" i="2"/>
  <c r="M1699" i="2"/>
  <c r="H233" i="3"/>
  <c r="N1675" i="2"/>
  <c r="N1681" i="2"/>
  <c r="N1687" i="2"/>
  <c r="N1693" i="2"/>
  <c r="N1699" i="2"/>
  <c r="I233" i="3"/>
  <c r="O1675" i="2"/>
  <c r="O1681" i="2"/>
  <c r="O1687" i="2"/>
  <c r="O1693" i="2"/>
  <c r="O1699" i="2"/>
  <c r="F234" i="3"/>
  <c r="L1676" i="2"/>
  <c r="L1682" i="2"/>
  <c r="L1688" i="2"/>
  <c r="L1694" i="2"/>
  <c r="L1700" i="2"/>
  <c r="G234" i="3"/>
  <c r="M1676" i="2"/>
  <c r="M1682" i="2"/>
  <c r="M1688" i="2"/>
  <c r="M1694" i="2"/>
  <c r="M1700" i="2"/>
  <c r="H234" i="3"/>
  <c r="N1676" i="2"/>
  <c r="N1682" i="2"/>
  <c r="N1688" i="2"/>
  <c r="N1694" i="2"/>
  <c r="N1700" i="2"/>
  <c r="I234" i="3"/>
  <c r="O1676" i="2"/>
  <c r="O1682" i="2"/>
  <c r="O1688" i="2"/>
  <c r="O1694" i="2"/>
  <c r="O1700" i="2"/>
  <c r="F235" i="3"/>
  <c r="L1677" i="2"/>
  <c r="L1683" i="2"/>
  <c r="L1689" i="2"/>
  <c r="L1695" i="2"/>
  <c r="L1701" i="2"/>
  <c r="L750" i="2"/>
  <c r="G235" i="3"/>
  <c r="M1677" i="2"/>
  <c r="M1683" i="2"/>
  <c r="M1689" i="2"/>
  <c r="M1695" i="2"/>
  <c r="M1701" i="2"/>
  <c r="H235" i="3"/>
  <c r="N1677" i="2"/>
  <c r="N1683" i="2"/>
  <c r="N1689" i="2"/>
  <c r="N1695" i="2"/>
  <c r="N1701" i="2"/>
  <c r="I235" i="3"/>
  <c r="O1677" i="2"/>
  <c r="O1683" i="2"/>
  <c r="O1689" i="2"/>
  <c r="O1695" i="2"/>
  <c r="O1701" i="2"/>
  <c r="L1678" i="2"/>
  <c r="L1684" i="2"/>
  <c r="L1690" i="2"/>
  <c r="L1696" i="2"/>
  <c r="M1678" i="2"/>
  <c r="M1684" i="2"/>
  <c r="M1690" i="2"/>
  <c r="M1696" i="2"/>
  <c r="N1678" i="2"/>
  <c r="N1684" i="2"/>
  <c r="N1690" i="2"/>
  <c r="L718" i="2"/>
  <c r="O1678" i="2"/>
  <c r="O1684" i="2"/>
  <c r="O1690" i="2"/>
  <c r="O1696" i="2"/>
  <c r="L1679" i="2"/>
  <c r="L1685" i="2"/>
  <c r="L1691" i="2"/>
  <c r="L1697" i="2"/>
  <c r="M1679" i="2"/>
  <c r="M1685" i="2"/>
  <c r="M1691" i="2"/>
  <c r="M1697" i="2"/>
  <c r="N1679" i="2"/>
  <c r="N1685" i="2"/>
  <c r="N1691" i="2"/>
  <c r="N1697" i="2"/>
  <c r="O1679" i="2"/>
  <c r="O1685" i="2"/>
  <c r="O1691" i="2"/>
  <c r="O1697" i="2"/>
  <c r="F149" i="1"/>
  <c r="F61" i="1"/>
  <c r="E108" i="1"/>
  <c r="F108" i="1"/>
  <c r="E61" i="1"/>
  <c r="E193" i="1"/>
  <c r="N65" i="2"/>
  <c r="M72" i="2"/>
  <c r="L79" i="2"/>
  <c r="O82" i="2"/>
  <c r="N89" i="2"/>
  <c r="M96" i="2"/>
  <c r="L103" i="2"/>
  <c r="O106" i="2"/>
  <c r="N113" i="2"/>
  <c r="M120" i="2"/>
  <c r="L127" i="2"/>
  <c r="O130" i="2"/>
  <c r="N137" i="2"/>
  <c r="M144" i="2"/>
  <c r="L151" i="2"/>
  <c r="O154" i="2"/>
  <c r="N161" i="2"/>
  <c r="M168" i="2"/>
  <c r="L175" i="2"/>
  <c r="O178" i="2"/>
  <c r="N185" i="2"/>
  <c r="M192" i="2"/>
  <c r="L199" i="2"/>
  <c r="O202" i="2"/>
  <c r="N209" i="2"/>
  <c r="M216" i="2"/>
  <c r="L223" i="2"/>
  <c r="O226" i="2"/>
  <c r="N233" i="2"/>
  <c r="M240" i="2"/>
  <c r="L247" i="2"/>
  <c r="O250" i="2"/>
  <c r="N257" i="2"/>
  <c r="M264" i="2"/>
  <c r="L271" i="2"/>
  <c r="O274" i="2"/>
  <c r="N281" i="2"/>
  <c r="M288" i="2"/>
  <c r="L295" i="2"/>
  <c r="O298" i="2"/>
  <c r="N305" i="2"/>
  <c r="M312" i="2"/>
  <c r="L319" i="2"/>
  <c r="O322" i="2"/>
  <c r="N329" i="2"/>
  <c r="M336" i="2"/>
  <c r="L343" i="2"/>
  <c r="O346" i="2"/>
  <c r="N353" i="2"/>
  <c r="M360" i="2"/>
  <c r="L367" i="2"/>
  <c r="O370" i="2"/>
  <c r="N377" i="2"/>
  <c r="M384" i="2"/>
  <c r="L391" i="2"/>
  <c r="O394" i="2"/>
  <c r="N401" i="2"/>
  <c r="M408" i="2"/>
  <c r="L415" i="2"/>
  <c r="O418" i="2"/>
  <c r="N425" i="2"/>
  <c r="M432" i="2"/>
  <c r="L439" i="2"/>
  <c r="O442" i="2"/>
  <c r="N449" i="2"/>
  <c r="M456" i="2"/>
  <c r="L463" i="2"/>
  <c r="O466" i="2"/>
  <c r="N473" i="2"/>
  <c r="M480" i="2"/>
  <c r="L487" i="2"/>
  <c r="O549" i="2"/>
  <c r="M611" i="2"/>
  <c r="L618" i="2"/>
  <c r="M639" i="2"/>
  <c r="L646" i="2"/>
  <c r="O765" i="2"/>
  <c r="N772" i="2"/>
  <c r="M779" i="2"/>
  <c r="L786" i="2"/>
  <c r="E115" i="1"/>
  <c r="L76" i="2"/>
  <c r="O79" i="2"/>
  <c r="N86" i="2"/>
  <c r="M93" i="2"/>
  <c r="L100" i="2"/>
  <c r="O103" i="2"/>
  <c r="N110" i="2"/>
  <c r="M117" i="2"/>
  <c r="L124" i="2"/>
  <c r="O127" i="2"/>
  <c r="N134" i="2"/>
  <c r="M141" i="2"/>
  <c r="L148" i="2"/>
  <c r="O151" i="2"/>
  <c r="N158" i="2"/>
  <c r="M165" i="2"/>
  <c r="L172" i="2"/>
  <c r="O175" i="2"/>
  <c r="N182" i="2"/>
  <c r="M189" i="2"/>
  <c r="L196" i="2"/>
  <c r="O199" i="2"/>
  <c r="N206" i="2"/>
  <c r="M213" i="2"/>
  <c r="L220" i="2"/>
  <c r="O223" i="2"/>
  <c r="N230" i="2"/>
  <c r="M237" i="2"/>
  <c r="L244" i="2"/>
  <c r="O247" i="2"/>
  <c r="N254" i="2"/>
  <c r="M261" i="2"/>
  <c r="L268" i="2"/>
  <c r="O271" i="2"/>
  <c r="N278" i="2"/>
  <c r="M285" i="2"/>
  <c r="L292" i="2"/>
  <c r="O295" i="2"/>
  <c r="N302" i="2"/>
  <c r="M309" i="2"/>
  <c r="L316" i="2"/>
  <c r="O319" i="2"/>
  <c r="N326" i="2"/>
  <c r="M333" i="2"/>
  <c r="L340" i="2"/>
  <c r="O343" i="2"/>
  <c r="N350" i="2"/>
  <c r="M357" i="2"/>
  <c r="L364" i="2"/>
  <c r="O367" i="2"/>
  <c r="N374" i="2"/>
  <c r="M381" i="2"/>
  <c r="L388" i="2"/>
  <c r="O391" i="2"/>
  <c r="N398" i="2"/>
  <c r="M405" i="2"/>
  <c r="L412" i="2"/>
  <c r="O415" i="2"/>
  <c r="N422" i="2"/>
  <c r="M429" i="2"/>
  <c r="L436" i="2"/>
  <c r="O439" i="2"/>
  <c r="N446" i="2"/>
  <c r="M453" i="2"/>
  <c r="L460" i="2"/>
  <c r="O463" i="2"/>
  <c r="N470" i="2"/>
  <c r="M477" i="2"/>
  <c r="L484" i="2"/>
  <c r="O487" i="2"/>
  <c r="N508" i="2"/>
  <c r="O577" i="2"/>
  <c r="N584" i="2"/>
  <c r="O745" i="2"/>
  <c r="N752" i="2"/>
  <c r="M759" i="2"/>
  <c r="N395" i="2"/>
  <c r="M402" i="2"/>
  <c r="L409" i="2"/>
  <c r="O412" i="2"/>
  <c r="N419" i="2"/>
  <c r="M426" i="2"/>
  <c r="L433" i="2"/>
  <c r="O436" i="2"/>
  <c r="N443" i="2"/>
  <c r="M450" i="2"/>
  <c r="L457" i="2"/>
  <c r="O460" i="2"/>
  <c r="N467" i="2"/>
  <c r="M474" i="2"/>
  <c r="L481" i="2"/>
  <c r="O484" i="2"/>
  <c r="M495" i="2"/>
  <c r="L502" i="2"/>
  <c r="M599" i="2"/>
  <c r="L606" i="2"/>
  <c r="M327" i="2"/>
  <c r="L334" i="2"/>
  <c r="O337" i="2"/>
  <c r="N344" i="2"/>
  <c r="M351" i="2"/>
  <c r="L358" i="2"/>
  <c r="O361" i="2"/>
  <c r="N368" i="2"/>
  <c r="M375" i="2"/>
  <c r="L382" i="2"/>
  <c r="O385" i="2"/>
  <c r="N392" i="2"/>
  <c r="M399" i="2"/>
  <c r="L406" i="2"/>
  <c r="O409" i="2"/>
  <c r="N416" i="2"/>
  <c r="M423" i="2"/>
  <c r="L430" i="2"/>
  <c r="O433" i="2"/>
  <c r="N440" i="2"/>
  <c r="M447" i="2"/>
  <c r="L454" i="2"/>
  <c r="O457" i="2"/>
  <c r="N464" i="2"/>
  <c r="M471" i="2"/>
  <c r="L478" i="2"/>
  <c r="O481" i="2"/>
  <c r="O697" i="2"/>
  <c r="N704" i="2"/>
  <c r="M711" i="2"/>
  <c r="M1672" i="2"/>
  <c r="L1145" i="2"/>
  <c r="M195" i="2"/>
  <c r="L202" i="2"/>
  <c r="O205" i="2"/>
  <c r="N212" i="2"/>
  <c r="M219" i="2"/>
  <c r="L226" i="2"/>
  <c r="O229" i="2"/>
  <c r="N236" i="2"/>
  <c r="M243" i="2"/>
  <c r="L250" i="2"/>
  <c r="O253" i="2"/>
  <c r="N260" i="2"/>
  <c r="M267" i="2"/>
  <c r="L274" i="2"/>
  <c r="O277" i="2"/>
  <c r="N284" i="2"/>
  <c r="M291" i="2"/>
  <c r="L298" i="2"/>
  <c r="O301" i="2"/>
  <c r="N308" i="2"/>
  <c r="M315" i="2"/>
  <c r="L322" i="2"/>
  <c r="O325" i="2"/>
  <c r="N332" i="2"/>
  <c r="M339" i="2"/>
  <c r="L346" i="2"/>
  <c r="O349" i="2"/>
  <c r="N356" i="2"/>
  <c r="M363" i="2"/>
  <c r="L370" i="2"/>
  <c r="O373" i="2"/>
  <c r="N380" i="2"/>
  <c r="M387" i="2"/>
  <c r="L394" i="2"/>
  <c r="O397" i="2"/>
  <c r="N404" i="2"/>
  <c r="M411" i="2"/>
  <c r="L418" i="2"/>
  <c r="O421" i="2"/>
  <c r="N428" i="2"/>
  <c r="M435" i="2"/>
  <c r="L442" i="2"/>
  <c r="O445" i="2"/>
  <c r="N452" i="2"/>
  <c r="M459" i="2"/>
  <c r="L466" i="2"/>
  <c r="O469" i="2"/>
  <c r="N476" i="2"/>
  <c r="M483" i="2"/>
  <c r="O513" i="2"/>
  <c r="N520" i="2"/>
  <c r="N652" i="2"/>
  <c r="N680" i="2"/>
  <c r="M687" i="2"/>
  <c r="O729" i="2"/>
  <c r="N820" i="2"/>
  <c r="M827" i="2"/>
  <c r="M834" i="2"/>
  <c r="M841" i="2"/>
  <c r="M848" i="2"/>
  <c r="M855" i="2"/>
  <c r="M862" i="2"/>
  <c r="M1648" i="2"/>
  <c r="L1653" i="2"/>
  <c r="L1659" i="2"/>
  <c r="L1665" i="2"/>
  <c r="L1672" i="2"/>
  <c r="M1653" i="2"/>
  <c r="M1659" i="2"/>
  <c r="M1665" i="2"/>
  <c r="M1650" i="2"/>
  <c r="N1653" i="2"/>
  <c r="N1659" i="2"/>
  <c r="N1665" i="2"/>
  <c r="N1672" i="2"/>
  <c r="O1653" i="2"/>
  <c r="O1659" i="2"/>
  <c r="O1665" i="2"/>
  <c r="O1672" i="2"/>
  <c r="F229" i="3"/>
  <c r="L1654" i="2"/>
  <c r="L1660" i="2"/>
  <c r="L1666" i="2"/>
  <c r="L1673" i="2"/>
  <c r="G229" i="3"/>
  <c r="M1654" i="2"/>
  <c r="M1660" i="2"/>
  <c r="M1666" i="2"/>
  <c r="M1673" i="2"/>
  <c r="H229" i="3"/>
  <c r="N1654" i="2"/>
  <c r="N1660" i="2"/>
  <c r="N1666" i="2"/>
  <c r="N1673" i="2"/>
  <c r="I229" i="3"/>
  <c r="O1654" i="2"/>
  <c r="O1660" i="2"/>
  <c r="O1666" i="2"/>
  <c r="O1673" i="2"/>
  <c r="O489" i="2"/>
  <c r="N496" i="2"/>
  <c r="O537" i="2"/>
  <c r="N544" i="2"/>
  <c r="O585" i="2"/>
  <c r="N592" i="2"/>
  <c r="O633" i="2"/>
  <c r="N640" i="2"/>
  <c r="F230" i="3"/>
  <c r="L1655" i="2"/>
  <c r="L1661" i="2"/>
  <c r="L1667" i="2"/>
  <c r="G230" i="3"/>
  <c r="M1655" i="2"/>
  <c r="M1661" i="2"/>
  <c r="M1667" i="2"/>
  <c r="H230" i="3"/>
  <c r="N1655" i="2"/>
  <c r="N1661" i="2"/>
  <c r="N1667" i="2"/>
  <c r="O717" i="2"/>
  <c r="N724" i="2"/>
  <c r="M731" i="2"/>
  <c r="L738" i="2"/>
  <c r="L814" i="2"/>
  <c r="I230" i="3"/>
  <c r="O1655" i="2"/>
  <c r="O1661" i="2"/>
  <c r="O1667" i="2"/>
  <c r="F231" i="3"/>
  <c r="L1656" i="2"/>
  <c r="L1662" i="2"/>
  <c r="L1669" i="2"/>
  <c r="G231" i="3"/>
  <c r="M1656" i="2"/>
  <c r="M1662" i="2"/>
  <c r="M1669" i="2"/>
  <c r="H231" i="3"/>
  <c r="N1656" i="2"/>
  <c r="N1662" i="2"/>
  <c r="N1669" i="2"/>
  <c r="I231" i="3"/>
  <c r="O1656" i="2"/>
  <c r="O1662" i="2"/>
  <c r="O1669" i="2"/>
  <c r="L1668" i="2"/>
  <c r="L1651" i="2"/>
  <c r="L1657" i="2"/>
  <c r="L1663" i="2"/>
  <c r="L1670" i="2"/>
  <c r="M1668" i="2"/>
  <c r="M1651" i="2"/>
  <c r="M1657" i="2"/>
  <c r="M1663" i="2"/>
  <c r="M1670" i="2"/>
  <c r="N1668" i="2"/>
  <c r="N1651" i="2"/>
  <c r="N1657" i="2"/>
  <c r="N1663" i="2"/>
  <c r="N1670" i="2"/>
  <c r="O1668" i="2"/>
  <c r="O1651" i="2"/>
  <c r="O1657" i="2"/>
  <c r="O1663" i="2"/>
  <c r="O1670" i="2"/>
  <c r="L1652" i="2"/>
  <c r="L1658" i="2"/>
  <c r="L1664" i="2"/>
  <c r="L1671" i="2"/>
  <c r="M1652" i="2"/>
  <c r="M1658" i="2"/>
  <c r="M1664" i="2"/>
  <c r="M1671" i="2"/>
  <c r="M1636" i="2"/>
  <c r="N1652" i="2"/>
  <c r="N1658" i="2"/>
  <c r="N1664" i="2"/>
  <c r="N1671" i="2"/>
  <c r="M1642" i="2"/>
  <c r="O1652" i="2"/>
  <c r="O1658" i="2"/>
  <c r="O1664" i="2"/>
  <c r="O1671" i="2"/>
  <c r="F193" i="1"/>
  <c r="E195" i="1"/>
  <c r="F195" i="1"/>
  <c r="I228" i="3"/>
  <c r="O1639" i="2"/>
  <c r="O1645" i="2"/>
  <c r="L1634" i="2"/>
  <c r="L1640" i="2"/>
  <c r="L1646" i="2"/>
  <c r="M1634" i="2"/>
  <c r="M1640" i="2"/>
  <c r="M1646" i="2"/>
  <c r="N1634" i="2"/>
  <c r="N1640" i="2"/>
  <c r="N1646" i="2"/>
  <c r="O1634" i="2"/>
  <c r="O1640" i="2"/>
  <c r="O1646" i="2"/>
  <c r="L1635" i="2"/>
  <c r="L1641" i="2"/>
  <c r="L1647" i="2"/>
  <c r="M1635" i="2"/>
  <c r="M1641" i="2"/>
  <c r="M1647" i="2"/>
  <c r="N1635" i="2"/>
  <c r="N1641" i="2"/>
  <c r="N1647" i="2"/>
  <c r="O1635" i="2"/>
  <c r="O1641" i="2"/>
  <c r="O1647" i="2"/>
  <c r="L1636" i="2"/>
  <c r="L1642" i="2"/>
  <c r="L1648" i="2"/>
  <c r="N1636" i="2"/>
  <c r="N1642" i="2"/>
  <c r="N1648" i="2"/>
  <c r="O1636" i="2"/>
  <c r="O1642" i="2"/>
  <c r="O1648" i="2"/>
  <c r="L1637" i="2"/>
  <c r="L1643" i="2"/>
  <c r="L1649" i="2"/>
  <c r="M1637" i="2"/>
  <c r="M1643" i="2"/>
  <c r="M1649" i="2"/>
  <c r="N1637" i="2"/>
  <c r="N1643" i="2"/>
  <c r="N1649" i="2"/>
  <c r="O1637" i="2"/>
  <c r="O1643" i="2"/>
  <c r="O1649" i="2"/>
  <c r="F227" i="3"/>
  <c r="L1638" i="2"/>
  <c r="L1644" i="2"/>
  <c r="L1650" i="2"/>
  <c r="G227" i="3"/>
  <c r="M1638" i="2"/>
  <c r="M1644" i="2"/>
  <c r="L1600" i="2"/>
  <c r="H227" i="3"/>
  <c r="N1638" i="2"/>
  <c r="N1644" i="2"/>
  <c r="N1650" i="2"/>
  <c r="I227" i="3"/>
  <c r="O1638" i="2"/>
  <c r="O1644" i="2"/>
  <c r="O1650" i="2"/>
  <c r="F228" i="3"/>
  <c r="L1639" i="2"/>
  <c r="L1645" i="2"/>
  <c r="G228" i="3"/>
  <c r="M1639" i="2"/>
  <c r="M1645" i="2"/>
  <c r="H228" i="3"/>
  <c r="N1639" i="2"/>
  <c r="N1645" i="2"/>
  <c r="F185" i="1"/>
  <c r="E128" i="1"/>
  <c r="H224" i="3"/>
  <c r="N1607" i="2"/>
  <c r="N1613" i="2"/>
  <c r="N1621" i="2"/>
  <c r="N1627" i="2"/>
  <c r="N1633" i="2"/>
  <c r="F225" i="3"/>
  <c r="L1608" i="2"/>
  <c r="L1614" i="2"/>
  <c r="L1622" i="2"/>
  <c r="L1628" i="2"/>
  <c r="M1606" i="2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<sst xmlns="http://schemas.openxmlformats.org/spreadsheetml/2006/main" count="2667" uniqueCount="324">
  <si>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</si>
  <si>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</si>
  <si>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</si>
  <si>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</si>
  <si>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</si>
  <si>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</si>
  <si>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</si>
  <si>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</si>
  <si>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</si>
  <si>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</si>
  <si>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</si>
  <si>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</si>
  <si>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</si>
  <si>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</si>
  <si>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</si>
  <si>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</si>
  <si>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</si>
  <si>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</si>
  <si>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</si>
  <si>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</si>
  <si>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</si>
  <si>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</si>
  <si>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</si>
  <si>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</si>
  <si>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</si>
  <si>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</si>
  <si>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</si>
  <si>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</si>
  <si>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</si>
  <si>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</si>
  <si>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</si>
  <si>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</si>
  <si>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</si>
  <si>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</si>
  <si>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</si>
  <si>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</si>
  <si>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</si>
  <si>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</si>
  <si>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</si>
  <si>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</si>
  <si>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</si>
  <si>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</si>
  <si>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</si>
  <si>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</si>
  <si>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</si>
  <si>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</si>
  <si>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</si>
  <si>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</si>
  <si>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</si>
  <si>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</si>
  <si>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</si>
  <si>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</si>
  <si>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</si>
  <si>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</si>
  <si>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</si>
  <si>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</si>
  <si>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</si>
  <si>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</si>
  <si>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</si>
  <si>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</si>
  <si>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</si>
  <si>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</si>
  <si>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</si>
  <si>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</si>
  <si>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</si>
  <si>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</si>
  <si>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</si>
  <si>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</si>
  <si>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</si>
  <si>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</si>
  <si>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</si>
  <si>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</si>
  <si>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</si>
  <si>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</si>
  <si>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</si>
  <si>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</si>
  <si>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</si>
  <si>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</si>
  <si>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</si>
  <si>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</si>
  <si>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</si>
  <si>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</si>
  <si>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</si>
  <si>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</si>
  <si>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</si>
  <si>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</si>
  <si>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</si>
  <si>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</si>
  <si>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</si>
  <si>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</si>
  <si>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</si>
  <si>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</si>
  <si>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</si>
  <si>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</si>
  <si>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</si>
  <si>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</si>
  <si>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</si>
  <si>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</si>
  <si>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</si>
  <si>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</si>
  <si>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</si>
  <si>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</si>
  <si>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</si>
  <si>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</si>
  <si>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</si>
  <si>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</si>
  <si>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</si>
  <si>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</si>
  <si>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</si>
  <si>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</si>
  <si>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</si>
  <si>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</si>
  <si>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</si>
  <si>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</si>
  <si>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</si>
  <si>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</si>
  <si>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</si>
  <si>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</si>
  <si>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</si>
  <si>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</si>
  <si>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</si>
  <si>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</si>
  <si>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</si>
  <si>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</si>
  <si>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</si>
  <si>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</si>
  <si>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</si>
  <si>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</si>
  <si>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</si>
  <si>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</si>
  <si>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</si>
  <si>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</si>
  <si>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</si>
  <si>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</si>
  <si>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</si>
  <si>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</si>
  <si>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</si>
  <si>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</si>
  <si>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</si>
  <si>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</si>
  <si>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</si>
  <si>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</si>
  <si>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</si>
  <si>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</si>
  <si>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</si>
  <si>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</si>
  <si>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</si>
  <si>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</si>
  <si>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</si>
  <si>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</si>
  <si>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</si>
  <si>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</si>
  <si>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</si>
  <si>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</si>
  <si>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</si>
  <si>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</si>
  <si>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</si>
  <si>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</si>
  <si>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</si>
  <si>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</si>
  <si>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</si>
  <si>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</si>
  <si>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</si>
  <si>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</si>
  <si>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</si>
  <si>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</si>
  <si>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</si>
  <si>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</si>
  <si>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</si>
  <si>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</si>
  <si>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</si>
  <si>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</si>
  <si>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</si>
  <si>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</si>
  <si>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</si>
  <si>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</si>
  <si>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</si>
  <si>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</si>
  <si>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</si>
  <si>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</si>
  <si>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</si>
  <si>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</si>
  <si>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</si>
  <si>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</si>
  <si>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</si>
  <si>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</si>
  <si>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</si>
  <si>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</si>
  <si>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</si>
  <si>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</si>
  <si>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</si>
  <si>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</si>
  <si>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</si>
  <si>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</si>
  <si>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</si>
  <si>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</si>
  <si>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</si>
  <si>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</si>
  <si>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</si>
  <si>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</si>
  <si>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</si>
  <si>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</si>
  <si>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</si>
  <si>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</si>
  <si>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</si>
  <si>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</si>
  <si>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</si>
  <si>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</si>
  <si>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</si>
  <si>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</si>
  <si>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</si>
  <si>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</si>
  <si>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</si>
  <si>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</si>
  <si>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</si>
  <si>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</si>
  <si>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</si>
  <si>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</si>
  <si>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</si>
  <si>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</si>
  <si>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</si>
  <si>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</si>
  <si>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</si>
  <si>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</si>
  <si>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</si>
  <si>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</si>
  <si>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</si>
  <si>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</si>
  <si>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</si>
  <si>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</si>
  <si>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</si>
  <si>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</si>
  <si>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</si>
  <si>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</si>
  <si>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</si>
  <si>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</si>
  <si>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</si>
  <si>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</si>
  <si>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</si>
  <si>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</si>
  <si>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</si>
  <si>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</si>
  <si>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</si>
  <si>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</si>
  <si>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</si>
  <si>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</si>
  <si>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</si>
  <si>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</si>
  <si>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</si>
  <si>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</si>
  <si>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</si>
  <si>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</si>
  <si>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</si>
  <si>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</si>
  <si>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</si>
  <si>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</si>
  <si>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</si>
  <si>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</si>
  <si>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</si>
  <si>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</si>
  <si>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</si>
  <si>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</si>
  <si>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</si>
  <si>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</si>
  <si>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</si>
  <si>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</si>
  <si>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</si>
  <si>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</si>
  <si>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</si>
  <si>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</si>
  <si>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</si>
  <si>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</si>
  <si>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</si>
  <si>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</si>
  <si>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</si>
  <si>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</si>
  <si>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</si>
  <si>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</si>
  <si>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</si>
  <si>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</si>
  <si>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</si>
  <si>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</si>
  <si>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</si>
  <si>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</si>
  <si>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</si>
  <si>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</si>
  <si>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</si>
  <si>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</si>
  <si>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</si>
  <si>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</si>
  <si>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</si>
  <si>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</si>
  <si>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</si>
  <si>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</si>
  <si>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</si>
  <si>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</si>
  <si>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</si>
  <si>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</si>
  <si>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</si>
  <si>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</si>
  <si>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</si>
  <si>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</si>
  <si>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</si>
  <si>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</si>
  <si>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</si>
  <si>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</si>
  <si>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</si>
  <si>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</si>
  <si>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</si>
  <si>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</si>
  <si>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</si>
  <si>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</si>
  <si>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</si>
  <si>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</si>
  <si>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</si>
  <si>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</si>
  <si>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</si>
  <si>
    <t>https://disk.yandex.ru/i/5mk7gz0gXtDjPQ</t>
  </si>
  <si>
    <t>Костя (Травкин+1)</t>
  </si>
  <si>
    <t>Осень 2026</t>
  </si>
  <si>
    <t>Сокол</t>
  </si>
  <si>
    <t>Роял (Нур+1)</t>
  </si>
  <si>
    <t>Дима (Богдан+1)</t>
  </si>
  <si>
    <t>Дима (Рашид+1)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</si>
</sst>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200" headerRowDxfId="25" totalsRowDxfId="22" headerRowBorderDxfId="24" tableBorderDxfId="23">
  <autoFilter ref="A1:G200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701">
  <autoFilter ref="A1:O1701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35">
  <autoFilter ref="A1:I235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10">
  <autoFilter ref="A1:K10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8" totalsRowShown="0" headerRowDxfId="8" dataDxfId="6" headerRowBorderDxfId="7" tableBorderDxfId="5" totalsRowBorderDxfId="4">
  <autoFilter ref="A1:D218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disk.yandex.ru/i/5mk7gz0gXtDjPQ" TargetMode="Externa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mitino.streamlit.app/" TargetMode="External"/><Relationship Id="rId10" Type="http://schemas.openxmlformats.org/officeDocument/2006/relationships/hyperlink" Target="https://greyusek.github.io/football_stats/" TargetMode="External"/><Relationship Id="rId4" Type="http://schemas.openxmlformats.org/officeDocument/2006/relationships/hyperlink" Target="https://disk.yandex.ru/i/woYWD66OJCtQEw" TargetMode="External"/><Relationship Id="rId9" Type="http://schemas.openxmlformats.org/officeDocument/2006/relationships/hyperlink" Target="https://greyusek.github.io/football_stat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200"/>
  <sheetViews>
    <sheetView topLeftCell="A169" workbookViewId="0">
      <selection activeCell="B200" sqref="B200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86</v>
      </c>
      <c r="D3" s="11">
        <f>SUMIFS(_stats[assists_on_date],_stats[player_id],_players[[#This Row],[player_id]])</f>
        <v>56</v>
      </c>
      <c r="E3" s="11">
        <f>SUMIFS(_stats[wins_on_date],_stats[player_id],_players[[#This Row],[player_id]])</f>
        <v>223</v>
      </c>
      <c r="F3" s="11">
        <f>SUMIFS(_stats[draws_on_date],_stats[player_id],_players[[#This Row],[player_id]])</f>
        <v>56</v>
      </c>
      <c r="G3" s="12">
        <f>SUMIFS(_stats[foul_on_date],_stats[player_id],_players[[#This Row],[player_id]])</f>
        <v>4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43</v>
      </c>
      <c r="D6" s="16">
        <f>SUMIFS(_stats[assists_on_date],_stats[player_id],_players[[#This Row],[player_id]])</f>
        <v>24</v>
      </c>
      <c r="E6" s="16">
        <f>SUMIFS(_stats[wins_on_date],_stats[player_id],_players[[#This Row],[player_id]])</f>
        <v>236</v>
      </c>
      <c r="F6" s="16">
        <f>SUMIFS(_stats[draws_on_date],_stats[player_id],_players[[#This Row],[player_id]])</f>
        <v>67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72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114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58</v>
      </c>
      <c r="D8" s="11">
        <f>SUMIFS(_stats[assists_on_date],_stats[player_id],_players[[#This Row],[player_id]])</f>
        <v>31</v>
      </c>
      <c r="E8" s="11">
        <f>SUMIFS(_stats[wins_on_date],_stats[player_id],_players[[#This Row],[player_id]])</f>
        <v>183</v>
      </c>
      <c r="F8" s="11">
        <f>SUMIFS(_stats[draws_on_date],_stats[player_id],_players[[#This Row],[player_id]])</f>
        <v>61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7</v>
      </c>
      <c r="E10" s="16">
        <f>SUMIFS(_stats[wins_on_date],_stats[player_id],_players[[#This Row],[player_id]])</f>
        <v>82</v>
      </c>
      <c r="F10" s="16">
        <f>SUMIFS(_stats[draws_on_date],_stats[player_id],_players[[#This Row],[player_id]])</f>
        <v>23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89</v>
      </c>
      <c r="D12" s="16">
        <f>SUMIFS(_stats[assists_on_date],_stats[player_id],_players[[#This Row],[player_id]])</f>
        <v>98</v>
      </c>
      <c r="E12" s="16">
        <f>SUMIFS(_stats[wins_on_date],_stats[player_id],_players[[#This Row],[player_id]])</f>
        <v>177</v>
      </c>
      <c r="F12" s="16">
        <f>SUMIFS(_stats[draws_on_date],_stats[player_id],_players[[#This Row],[player_id]])</f>
        <v>61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196</v>
      </c>
      <c r="F14" s="11">
        <f>SUMIFS(_stats[draws_on_date],_stats[player_id],_players[[#This Row],[player_id]])</f>
        <v>61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29</v>
      </c>
      <c r="E17" s="11">
        <f>SUMIFS(_stats[wins_on_date],_stats[player_id],_players[[#This Row],[player_id]])</f>
        <v>79</v>
      </c>
      <c r="F17" s="11">
        <f>SUMIFS(_stats[draws_on_date],_stats[player_id],_players[[#This Row],[player_id]])</f>
        <v>27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134</v>
      </c>
      <c r="F20" s="11">
        <f>SUMIFS(_stats[draws_on_date],_stats[player_id],_players[[#This Row],[player_id]])</f>
        <v>35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45</v>
      </c>
      <c r="D21" s="11">
        <f>SUMIFS(_stats[assists_on_date],_stats[player_id],_players[[#This Row],[player_id]])</f>
        <v>57</v>
      </c>
      <c r="E21" s="11">
        <f>SUMIFS(_stats[wins_on_date],_stats[player_id],_players[[#This Row],[player_id]])</f>
        <v>155</v>
      </c>
      <c r="F21" s="11">
        <f>SUMIFS(_stats[draws_on_date],_stats[player_id],_players[[#This Row],[player_id]])</f>
        <v>46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5</v>
      </c>
      <c r="D22" s="16">
        <f>SUMIFS(_stats[assists_on_date],_stats[player_id],_players[[#This Row],[player_id]])</f>
        <v>9</v>
      </c>
      <c r="E22" s="16">
        <f>SUMIFS(_stats[wins_on_date],_stats[player_id],_players[[#This Row],[player_id]])</f>
        <v>137</v>
      </c>
      <c r="F22" s="16">
        <f>SUMIFS(_stats[draws_on_date],_stats[player_id],_players[[#This Row],[player_id]])</f>
        <v>32</v>
      </c>
      <c r="G22" s="17">
        <f>SUMIFS(_stats[foul_on_date],_stats[player_id],_players[[#This Row],[player_id]])</f>
        <v>1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41</v>
      </c>
      <c r="D23" s="11">
        <f>SUMIFS(_stats[assists_on_date],_stats[player_id],_players[[#This Row],[player_id]])</f>
        <v>42</v>
      </c>
      <c r="E23" s="11">
        <f>SUMIFS(_stats[wins_on_date],_stats[player_id],_players[[#This Row],[player_id]])</f>
        <v>145</v>
      </c>
      <c r="F23" s="11">
        <f>SUMIFS(_stats[draws_on_date],_stats[player_id],_players[[#This Row],[player_id]])</f>
        <v>35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20</v>
      </c>
      <c r="D25" s="11">
        <f>SUMIFS(_stats[assists_on_date],_stats[player_id],_players[[#This Row],[player_id]])</f>
        <v>28</v>
      </c>
      <c r="E25" s="11">
        <f>SUMIFS(_stats[wins_on_date],_stats[player_id],_players[[#This Row],[player_id]])</f>
        <v>126</v>
      </c>
      <c r="F25" s="11">
        <f>SUMIFS(_stats[draws_on_date],_stats[player_id],_players[[#This Row],[player_id]])</f>
        <v>41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13</v>
      </c>
      <c r="D30" s="16">
        <f>SUMIFS(_stats[assists_on_date],_stats[player_id],_players[[#This Row],[player_id]])</f>
        <v>7</v>
      </c>
      <c r="E30" s="16">
        <f>SUMIFS(_stats[wins_on_date],_stats[player_id],_players[[#This Row],[player_id]])</f>
        <v>58</v>
      </c>
      <c r="F30" s="16">
        <f>SUMIFS(_stats[draws_on_date],_stats[player_id],_players[[#This Row],[player_id]])</f>
        <v>17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11</v>
      </c>
      <c r="D33" s="11">
        <f>SUMIFS(_stats[assists_on_date],_stats[player_id],_players[[#This Row],[player_id]])</f>
        <v>8</v>
      </c>
      <c r="E33" s="11">
        <f>SUMIFS(_stats[wins_on_date],_stats[player_id],_players[[#This Row],[player_id]])</f>
        <v>34</v>
      </c>
      <c r="F33" s="11">
        <f>SUMIFS(_stats[draws_on_date],_stats[player_id],_players[[#This Row],[player_id]])</f>
        <v>18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27</v>
      </c>
      <c r="E38" s="11">
        <f>SUMIFS(_stats[wins_on_date],_stats[player_id],_players[[#This Row],[player_id]])</f>
        <v>90</v>
      </c>
      <c r="F38" s="11">
        <f>SUMIFS(_stats[draws_on_date],_stats[player_id],_players[[#This Row],[player_id]])</f>
        <v>37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194</v>
      </c>
      <c r="F39" s="11">
        <f>SUMIFS(_stats[draws_on_date],_stats[player_id],_players[[#This Row],[player_id]])</f>
        <v>75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14</v>
      </c>
      <c r="E41" s="11">
        <f>SUMIFS(_stats[wins_on_date],_stats[player_id],_players[[#This Row],[player_id]])</f>
        <v>97</v>
      </c>
      <c r="F41" s="11">
        <f>SUMIFS(_stats[draws_on_date],_stats[player_id],_players[[#This Row],[player_id]])</f>
        <v>34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71</v>
      </c>
      <c r="F43" s="11">
        <f>SUMIFS(_stats[draws_on_date],_stats[player_id],_players[[#This Row],[player_id]])</f>
        <v>31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2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74</v>
      </c>
      <c r="F48" s="16">
        <f>SUMIFS(_stats[draws_on_date],_stats[player_id],_players[[#This Row],[player_id]])</f>
        <v>20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29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61</v>
      </c>
      <c r="F59" s="16">
        <f>SUMIFS(_stats[draws_on_date],_stats[player_id],_players[[#This Row],[player_id]])</f>
        <v>24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23</v>
      </c>
      <c r="D64" s="16">
        <f>SUMIFS(_stats[assists_on_date],_stats[player_id],_players[[#This Row],[player_id]])</f>
        <v>19</v>
      </c>
      <c r="E64" s="16">
        <f>SUMIFS(_stats[wins_on_date],_stats[player_id],_players[[#This Row],[player_id]])</f>
        <v>139</v>
      </c>
      <c r="F64" s="16">
        <f>SUMIFS(_stats[draws_on_date],_stats[player_id],_players[[#This Row],[player_id]])</f>
        <v>48</v>
      </c>
      <c r="G64" s="17">
        <f>SUMIFS(_stats[foul_on_date],_stats[player_id],_players[[#This Row],[player_id]])</f>
        <v>3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46</v>
      </c>
      <c r="D76" s="16">
        <f>SUMIFS(_stats[assists_on_date],_stats[player_id],_players[[#This Row],[player_id]])</f>
        <v>24</v>
      </c>
      <c r="E76" s="16">
        <f>SUMIFS(_stats[wins_on_date],_stats[player_id],_players[[#This Row],[player_id]])</f>
        <v>54</v>
      </c>
      <c r="F76" s="16">
        <f>SUMIFS(_stats[draws_on_date],_stats[player_id],_players[[#This Row],[player_id]])</f>
        <v>16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5</v>
      </c>
      <c r="D92" s="16">
        <f>SUMIFS(_stats[assists_on_date],_stats[player_id],_players[[#This Row],[player_id]])</f>
        <v>2</v>
      </c>
      <c r="E92" s="16">
        <f>SUMIFS(_stats[wins_on_date],_stats[player_id],_players[[#This Row],[player_id]])</f>
        <v>8</v>
      </c>
      <c r="F92" s="16">
        <f>SUMIFS(_stats[draws_on_date],_stats[player_id],_players[[#This Row],[player_id]])</f>
        <v>6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6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23</v>
      </c>
      <c r="F96" s="16">
        <f>SUMIFS(_stats[draws_on_date],_stats[player_id],_players[[#This Row],[player_id]])</f>
        <v>11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11</v>
      </c>
      <c r="F106" s="16">
        <f>SUMIFS(_stats[draws_on_date],_stats[player_id],_players[[#This Row],[player_id]])</f>
        <v>14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2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2</v>
      </c>
      <c r="F108" s="16">
        <f>SUMIFS(_stats[draws_on_date],_stats[player_id],_players[[#This Row],[player_id]])</f>
        <v>5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20</v>
      </c>
      <c r="D120" s="16">
        <f>SUMIFS(_stats[assists_on_date],_stats[player_id],_players[[#This Row],[player_id]])</f>
        <v>11</v>
      </c>
      <c r="E120" s="16">
        <f>SUMIFS(_stats[wins_on_date],_stats[player_id],_players[[#This Row],[player_id]])</f>
        <v>61</v>
      </c>
      <c r="F120" s="16">
        <f>SUMIFS(_stats[draws_on_date],_stats[player_id],_players[[#This Row],[player_id]])</f>
        <v>30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33</v>
      </c>
      <c r="F126" s="16">
        <f>SUMIFS(_stats[draws_on_date],_stats[player_id],_players[[#This Row],[player_id]])</f>
        <v>19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2</v>
      </c>
      <c r="D130" s="16">
        <f>SUMIFS(_stats[assists_on_date],_stats[player_id],_players[[#This Row],[player_id]])</f>
        <v>1</v>
      </c>
      <c r="E130" s="16">
        <f>SUMIFS(_stats[wins_on_date],_stats[player_id],_players[[#This Row],[player_id]])</f>
        <v>15</v>
      </c>
      <c r="F130" s="16">
        <f>SUMIFS(_stats[draws_on_date],_stats[player_id],_players[[#This Row],[player_id]])</f>
        <v>12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11</v>
      </c>
      <c r="D137" s="16">
        <f>SUMIFS(_stats[assists_on_date],_stats[player_id],_players[[#This Row],[player_id]])</f>
        <v>9</v>
      </c>
      <c r="E137" s="16">
        <f>SUMIFS(_stats[wins_on_date],_stats[player_id],_players[[#This Row],[player_id]])</f>
        <v>44</v>
      </c>
      <c r="F137" s="16">
        <f>SUMIFS(_stats[draws_on_date],_stats[player_id],_players[[#This Row],[player_id]])</f>
        <v>17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2</v>
      </c>
      <c r="D148" s="16">
        <f>SUMIFS(_stats[assists_on_date],_stats[player_id],_players[[#This Row],[player_id]])</f>
        <v>1</v>
      </c>
      <c r="E148" s="16">
        <f>SUMIFS(_stats[wins_on_date],_stats[player_id],_players[[#This Row],[player_id]])</f>
        <v>26</v>
      </c>
      <c r="F148" s="16">
        <f>SUMIFS(_stats[draws_on_date],_stats[player_id],_players[[#This Row],[player_id]])</f>
        <v>19</v>
      </c>
      <c r="G148" s="17">
        <f>SUMIFS(_stats[foul_on_date],_stats[player_id],_players[[#This Row],[player_id]])</f>
        <v>3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19</v>
      </c>
      <c r="D152" s="16">
        <f>SUMIFS(_stats[assists_on_date],_stats[player_id],_players[[#This Row],[player_id]])</f>
        <v>5</v>
      </c>
      <c r="E152" s="16">
        <f>SUMIFS(_stats[wins_on_date],_stats[player_id],_players[[#This Row],[player_id]])</f>
        <v>42</v>
      </c>
      <c r="F152" s="16">
        <f>SUMIFS(_stats[draws_on_date],_stats[player_id],_players[[#This Row],[player_id]])</f>
        <v>14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0</v>
      </c>
      <c r="E193" s="73">
        <f>SUMIFS(_stats[wins_on_date],_stats[player_id],_players[[#This Row],[player_id]])</f>
        <v>4</v>
      </c>
      <c r="F193" s="73">
        <f>SUMIFS(_stats[draws_on_date],_stats[player_id],_players[[#This Row],[player_id]])</f>
        <v>8</v>
      </c>
      <c r="G193" s="93">
        <f>SUMIFS(_stats[foul_on_date],_stats[player_id],_players[[#This Row],[player_id]])</f>
        <v>0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1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8</v>
      </c>
      <c r="F195" s="73">
        <f>SUMIFS(_stats[draws_on_date],_stats[player_id],_players[[#This Row],[player_id]])</f>
        <v>6</v>
      </c>
      <c r="G195" s="93">
        <f>SUMIFS(_stats[foul_on_date],_stats[player_id],_players[[#This Row],[player_id]])</f>
        <v>0</v>
      </c>
    </row>
    <row r="196" spans="1:7" x14ac:dyDescent="0.25">
      <c r="A196" s="111" t="s">
        <v>318</v>
      </c>
      <c r="B196" s="111" t="s">
        <v>318</v>
      </c>
      <c r="C196" s="73">
        <f>SUMIFS(_stats[goals_on_date],_stats[player_id],_players[[#This Row],[player_id]])</f>
        <v>1</v>
      </c>
      <c r="D196" s="73">
        <f>SUMIFS(_stats[assists_on_date],_stats[player_id],_players[[#This Row],[player_id]])</f>
        <v>0</v>
      </c>
      <c r="E196" s="73">
        <f>SUMIFS(_stats[wins_on_date],_stats[player_id],_players[[#This Row],[player_id]])</f>
        <v>1</v>
      </c>
      <c r="F196" s="73">
        <f>SUMIFS(_stats[draws_on_date],_stats[player_id],_players[[#This Row],[player_id]])</f>
        <v>0</v>
      </c>
      <c r="G196" s="93">
        <f>SUMIFS(_stats[foul_on_date],_stats[player_id],_players[[#This Row],[player_id]])</f>
        <v>0</v>
      </c>
    </row>
    <row r="197" spans="1:7" x14ac:dyDescent="0.25">
      <c r="A197" s="111" t="s">
        <v>321</v>
      </c>
      <c r="B197" s="112" t="s">
        <v>321</v>
      </c>
      <c r="C197" s="73">
        <f>SUMIFS(_stats[goals_on_date],_stats[player_id],_players[[#This Row],[player_id]])</f>
        <v>0</v>
      </c>
      <c r="D197" s="73">
        <f>SUMIFS(_stats[assists_on_date],_stats[player_id],_players[[#This Row],[player_id]])</f>
        <v>0</v>
      </c>
      <c r="E197" s="73">
        <f>SUMIFS(_stats[wins_on_date],_stats[player_id],_players[[#This Row],[player_id]])</f>
        <v>1</v>
      </c>
      <c r="F197" s="73">
        <f>SUMIFS(_stats[draws_on_date],_stats[player_id],_players[[#This Row],[player_id]])</f>
        <v>3</v>
      </c>
      <c r="G197" s="93">
        <f>SUMIFS(_stats[foul_on_date],_stats[player_id],_players[[#This Row],[player_id]])</f>
        <v>0</v>
      </c>
    </row>
    <row r="198" spans="1:7" x14ac:dyDescent="0.25">
      <c r="A198" s="111" t="s">
        <v>322</v>
      </c>
      <c r="B198" s="111" t="s">
        <v>322</v>
      </c>
      <c r="C198" s="73">
        <f>SUMIFS(_stats[goals_on_date],_stats[player_id],_players[[#This Row],[player_id]])</f>
        <v>2</v>
      </c>
      <c r="D198" s="73">
        <f>SUMIFS(_stats[assists_on_date],_stats[player_id],_players[[#This Row],[player_id]])</f>
        <v>0</v>
      </c>
      <c r="E198" s="73">
        <f>SUMIFS(_stats[wins_on_date],_stats[player_id],_players[[#This Row],[player_id]])</f>
        <v>2</v>
      </c>
      <c r="F198" s="73">
        <f>SUMIFS(_stats[draws_on_date],_stats[player_id],_players[[#This Row],[player_id]])</f>
        <v>4</v>
      </c>
      <c r="G198" s="93">
        <f>SUMIFS(_stats[foul_on_date],_stats[player_id],_players[[#This Row],[player_id]])</f>
        <v>0</v>
      </c>
    </row>
    <row r="199" spans="1:7" x14ac:dyDescent="0.25">
      <c r="A199" s="111" t="s">
        <v>320</v>
      </c>
      <c r="B199" s="112" t="s">
        <v>320</v>
      </c>
      <c r="C199" s="73">
        <f>SUMIFS(_stats[goals_on_date],_stats[player_id],_players[[#This Row],[player_id]])</f>
        <v>1</v>
      </c>
      <c r="D199" s="73">
        <f>SUMIFS(_stats[assists_on_date],_stats[player_id],_players[[#This Row],[player_id]])</f>
        <v>1</v>
      </c>
      <c r="E199" s="73">
        <f>SUMIFS(_stats[wins_on_date],_stats[player_id],_players[[#This Row],[player_id]])</f>
        <v>15</v>
      </c>
      <c r="F199" s="73">
        <f>SUMIFS(_stats[draws_on_date],_stats[player_id],_players[[#This Row],[player_id]])</f>
        <v>6</v>
      </c>
      <c r="G199" s="93">
        <f>SUMIFS(_stats[foul_on_date],_stats[player_id],_players[[#This Row],[player_id]])</f>
        <v>0</v>
      </c>
    </row>
    <row r="200" spans="1:7" x14ac:dyDescent="0.25">
      <c r="A200" s="111" t="s">
        <v>323</v>
      </c>
      <c r="B200" s="111" t="s">
        <v>323</v>
      </c>
      <c r="C200" s="73">
        <f>SUMIFS(_stats[goals_on_date],_stats[player_id],_players[[#This Row],[player_id]])</f>
        <v>0</v>
      </c>
      <c r="D200" s="73">
        <f>SUMIFS(_stats[assists_on_date],_stats[player_id],_players[[#This Row],[player_id]])</f>
        <v>0</v>
      </c>
      <c r="E200" s="73">
        <f>SUMIFS(_stats[wins_on_date],_stats[player_id],_players[[#This Row],[player_id]])</f>
        <v>1</v>
      </c>
      <c r="F200" s="73">
        <f>SUMIFS(_stats[draws_on_date],_stats[player_id],_players[[#This Row],[player_id]])</f>
        <v>1</v>
      </c>
      <c r="G200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701"/>
  <sheetViews>
    <sheetView topLeftCell="A1655" workbookViewId="0">
      <selection activeCell="F1701" sqref="F1701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  <row r="1634" spans="1:15" x14ac:dyDescent="0.25">
      <c r="A1634" s="6">
        <v>46285</v>
      </c>
      <c r="B1634" s="72">
        <v>1</v>
      </c>
      <c r="C1634" s="104" t="s">
        <v>13</v>
      </c>
      <c r="D1634" s="10" t="str">
        <f>IFERROR(VLOOKUP(_stats[[#This Row],[player_id]],_players[[player_id]:[player_name]],2,0),"")</f>
        <v>Нурик</v>
      </c>
      <c r="E1634" s="72">
        <v>1</v>
      </c>
      <c r="F1634" s="102">
        <v>1</v>
      </c>
      <c r="G1634" s="10">
        <f>SUMIFS(_teams[wins_on_date],_teams[date],_stats[[#This Row],[date]],_teams[team_number],_stats[[#This Row],[team_number]])</f>
        <v>1</v>
      </c>
      <c r="H1634" s="10">
        <f>SUMIFS(_teams[draws_on_date],_teams[date],_stats[[#This Row],[date]],_teams[team_number],_stats[[#This Row],[team_number]])</f>
        <v>0</v>
      </c>
      <c r="I1634" s="72">
        <v>0</v>
      </c>
      <c r="J1634" s="104">
        <v>0</v>
      </c>
      <c r="K1634" s="72">
        <v>9</v>
      </c>
      <c r="L1634" s="53">
        <f>VLOOKUP(_stats[[#This Row],[tournament]],tournaments_n_rules[],2,0)</f>
        <v>1747</v>
      </c>
      <c r="M1634" s="53" t="str">
        <f>VLOOKUP(_stats[[#This Row],[tournament]],tournaments_n_rules[],3,0)</f>
        <v>Осень 2026</v>
      </c>
      <c r="N1634" s="54">
        <f>VLOOKUP(_stats[[#This Row],[tournament]],tournaments_n_rules[],4,0)</f>
        <v>46285</v>
      </c>
      <c r="O1634" s="54">
        <f>VLOOKUP(_stats[[#This Row],[tournament]],tournaments_n_rules[],5,0)</f>
        <v>46356</v>
      </c>
    </row>
    <row r="1635" spans="1:15" x14ac:dyDescent="0.25">
      <c r="A1635" s="6">
        <v>46285</v>
      </c>
      <c r="B1635" s="72">
        <v>1</v>
      </c>
      <c r="C1635" s="104" t="s">
        <v>12</v>
      </c>
      <c r="D1635" s="10" t="str">
        <f>IFERROR(VLOOKUP(_stats[[#This Row],[player_id]],_players[[player_id]:[player_name]],2,0),"")</f>
        <v>Александр Травкин</v>
      </c>
      <c r="E1635" s="72">
        <v>6</v>
      </c>
      <c r="F1635" s="102">
        <v>0</v>
      </c>
      <c r="G1635" s="10">
        <f>SUMIFS(_teams[wins_on_date],_teams[date],_stats[[#This Row],[date]],_teams[team_number],_stats[[#This Row],[team_number]])</f>
        <v>1</v>
      </c>
      <c r="H1635" s="10">
        <f>SUMIFS(_teams[draws_on_date],_teams[date],_stats[[#This Row],[date]],_teams[team_number],_stats[[#This Row],[team_number]])</f>
        <v>0</v>
      </c>
      <c r="I1635" s="72">
        <v>0</v>
      </c>
      <c r="J1635" s="104">
        <v>0</v>
      </c>
      <c r="K1635" s="72">
        <v>9</v>
      </c>
      <c r="L1635" s="53">
        <f>VLOOKUP(_stats[[#This Row],[tournament]],tournaments_n_rules[],2,0)</f>
        <v>1747</v>
      </c>
      <c r="M1635" s="53" t="str">
        <f>VLOOKUP(_stats[[#This Row],[tournament]],tournaments_n_rules[],3,0)</f>
        <v>Осень 2026</v>
      </c>
      <c r="N1635" s="54">
        <f>VLOOKUP(_stats[[#This Row],[tournament]],tournaments_n_rules[],4,0)</f>
        <v>46285</v>
      </c>
      <c r="O1635" s="54">
        <f>VLOOKUP(_stats[[#This Row],[tournament]],tournaments_n_rules[],5,0)</f>
        <v>46356</v>
      </c>
    </row>
    <row r="1636" spans="1:15" x14ac:dyDescent="0.25">
      <c r="A1636" s="6">
        <v>46285</v>
      </c>
      <c r="B1636" s="72">
        <v>2</v>
      </c>
      <c r="C1636" s="104" t="s">
        <v>316</v>
      </c>
      <c r="D1636" s="10" t="str">
        <f>IFERROR(VLOOKUP(_stats[[#This Row],[player_id]],_players[[player_id]:[player_name]],2,0),"")</f>
        <v>Даня (кипер)</v>
      </c>
      <c r="E1636" s="72">
        <v>0</v>
      </c>
      <c r="F1636" s="102">
        <v>0</v>
      </c>
      <c r="G1636" s="10">
        <f>SUMIFS(_teams[wins_on_date],_teams[date],_stats[[#This Row],[date]],_teams[team_number],_stats[[#This Row],[team_number]])</f>
        <v>0</v>
      </c>
      <c r="H1636" s="10">
        <f>SUMIFS(_teams[draws_on_date],_teams[date],_stats[[#This Row],[date]],_teams[team_number],_stats[[#This Row],[team_number]])</f>
        <v>0</v>
      </c>
      <c r="I1636" s="72">
        <v>0</v>
      </c>
      <c r="J1636" s="104">
        <v>0</v>
      </c>
      <c r="K1636" s="72">
        <v>9</v>
      </c>
      <c r="L1636" s="53">
        <f>VLOOKUP(_stats[[#This Row],[tournament]],tournaments_n_rules[],2,0)</f>
        <v>1747</v>
      </c>
      <c r="M1636" s="53" t="str">
        <f>VLOOKUP(_stats[[#This Row],[tournament]],tournaments_n_rules[],3,0)</f>
        <v>Осень 2026</v>
      </c>
      <c r="N1636" s="54">
        <f>VLOOKUP(_stats[[#This Row],[tournament]],tournaments_n_rules[],4,0)</f>
        <v>46285</v>
      </c>
      <c r="O1636" s="54">
        <f>VLOOKUP(_stats[[#This Row],[tournament]],tournaments_n_rules[],5,0)</f>
        <v>46356</v>
      </c>
    </row>
    <row r="1637" spans="1:15" x14ac:dyDescent="0.25">
      <c r="A1637" s="6">
        <v>46285</v>
      </c>
      <c r="B1637" s="72">
        <v>1</v>
      </c>
      <c r="C1637" s="104" t="s">
        <v>69</v>
      </c>
      <c r="D1637" s="10" t="str">
        <f>IFERROR(VLOOKUP(_stats[[#This Row],[player_id]],_players[[player_id]:[player_name]],2,0),"")</f>
        <v>Анашкин</v>
      </c>
      <c r="E1637" s="72">
        <v>0</v>
      </c>
      <c r="F1637" s="102">
        <v>0</v>
      </c>
      <c r="G1637" s="10">
        <f>SUMIFS(_teams[wins_on_date],_teams[date],_stats[[#This Row],[date]],_teams[team_number],_stats[[#This Row],[team_number]])</f>
        <v>1</v>
      </c>
      <c r="H1637" s="10">
        <f>SUMIFS(_teams[draws_on_date],_teams[date],_stats[[#This Row],[date]],_teams[team_number],_stats[[#This Row],[team_number]])</f>
        <v>0</v>
      </c>
      <c r="I1637" s="72">
        <v>0</v>
      </c>
      <c r="J1637" s="104">
        <v>0</v>
      </c>
      <c r="K1637" s="72">
        <v>9</v>
      </c>
      <c r="L1637" s="53">
        <f>VLOOKUP(_stats[[#This Row],[tournament]],tournaments_n_rules[],2,0)</f>
        <v>1747</v>
      </c>
      <c r="M1637" s="53" t="str">
        <f>VLOOKUP(_stats[[#This Row],[tournament]],tournaments_n_rules[],3,0)</f>
        <v>Осень 2026</v>
      </c>
      <c r="N1637" s="54">
        <f>VLOOKUP(_stats[[#This Row],[tournament]],tournaments_n_rules[],4,0)</f>
        <v>46285</v>
      </c>
      <c r="O1637" s="54">
        <f>VLOOKUP(_stats[[#This Row],[tournament]],tournaments_n_rules[],5,0)</f>
        <v>46356</v>
      </c>
    </row>
    <row r="1638" spans="1:15" x14ac:dyDescent="0.25">
      <c r="A1638" s="6">
        <v>46285</v>
      </c>
      <c r="B1638" s="72">
        <v>1</v>
      </c>
      <c r="C1638" s="104" t="s">
        <v>8</v>
      </c>
      <c r="D1638" s="10" t="str">
        <f>IFERROR(VLOOKUP(_stats[[#This Row],[player_id]],_players[[player_id]:[player_name]],2,0),"")</f>
        <v>Костя</v>
      </c>
      <c r="E1638" s="72">
        <v>1</v>
      </c>
      <c r="F1638" s="102">
        <v>2</v>
      </c>
      <c r="G1638" s="10">
        <f>SUMIFS(_teams[wins_on_date],_teams[date],_stats[[#This Row],[date]],_teams[team_number],_stats[[#This Row],[team_number]])</f>
        <v>1</v>
      </c>
      <c r="H1638" s="10">
        <f>SUMIFS(_teams[draws_on_date],_teams[date],_stats[[#This Row],[date]],_teams[team_number],_stats[[#This Row],[team_number]])</f>
        <v>0</v>
      </c>
      <c r="I1638" s="72">
        <v>0</v>
      </c>
      <c r="J1638" s="104">
        <v>0</v>
      </c>
      <c r="K1638" s="72">
        <v>9</v>
      </c>
      <c r="L1638" s="53">
        <f>VLOOKUP(_stats[[#This Row],[tournament]],tournaments_n_rules[],2,0)</f>
        <v>1747</v>
      </c>
      <c r="M1638" s="53" t="str">
        <f>VLOOKUP(_stats[[#This Row],[tournament]],tournaments_n_rules[],3,0)</f>
        <v>Осень 2026</v>
      </c>
      <c r="N1638" s="54">
        <f>VLOOKUP(_stats[[#This Row],[tournament]],tournaments_n_rules[],4,0)</f>
        <v>46285</v>
      </c>
      <c r="O1638" s="54">
        <f>VLOOKUP(_stats[[#This Row],[tournament]],tournaments_n_rules[],5,0)</f>
        <v>46356</v>
      </c>
    </row>
    <row r="1639" spans="1:15" x14ac:dyDescent="0.25">
      <c r="A1639" s="6">
        <v>46285</v>
      </c>
      <c r="B1639" s="72">
        <v>2</v>
      </c>
      <c r="C1639" s="104" t="s">
        <v>153</v>
      </c>
      <c r="D1639" s="10" t="str">
        <f>IFERROR(VLOOKUP(_stats[[#This Row],[player_id]],_players[[player_id]:[player_name]],2,0),"")</f>
        <v>Богдан</v>
      </c>
      <c r="E1639" s="72">
        <v>0</v>
      </c>
      <c r="F1639" s="102">
        <v>1</v>
      </c>
      <c r="G1639" s="10">
        <f>SUMIFS(_teams[wins_on_date],_teams[date],_stats[[#This Row],[date]],_teams[team_number],_stats[[#This Row],[team_number]])</f>
        <v>0</v>
      </c>
      <c r="H1639" s="10">
        <f>SUMIFS(_teams[draws_on_date],_teams[date],_stats[[#This Row],[date]],_teams[team_number],_stats[[#This Row],[team_number]])</f>
        <v>0</v>
      </c>
      <c r="I1639" s="72">
        <v>0</v>
      </c>
      <c r="J1639" s="104">
        <v>0</v>
      </c>
      <c r="K1639" s="72">
        <v>9</v>
      </c>
      <c r="L1639" s="53">
        <f>VLOOKUP(_stats[[#This Row],[tournament]],tournaments_n_rules[],2,0)</f>
        <v>1747</v>
      </c>
      <c r="M1639" s="53" t="str">
        <f>VLOOKUP(_stats[[#This Row],[tournament]],tournaments_n_rules[],3,0)</f>
        <v>Осень 2026</v>
      </c>
      <c r="N1639" s="54">
        <f>VLOOKUP(_stats[[#This Row],[tournament]],tournaments_n_rules[],4,0)</f>
        <v>46285</v>
      </c>
      <c r="O1639" s="54">
        <f>VLOOKUP(_stats[[#This Row],[tournament]],tournaments_n_rules[],5,0)</f>
        <v>46356</v>
      </c>
    </row>
    <row r="1640" spans="1:15" x14ac:dyDescent="0.25">
      <c r="A1640" s="6">
        <v>46285</v>
      </c>
      <c r="B1640" s="72">
        <v>1</v>
      </c>
      <c r="C1640" s="104" t="s">
        <v>44</v>
      </c>
      <c r="D1640" s="10" t="str">
        <f>IFERROR(VLOOKUP(_stats[[#This Row],[player_id]],_players[[player_id]:[player_name]],2,0),"")</f>
        <v>Женя (кипер)</v>
      </c>
      <c r="E1640" s="72">
        <v>0</v>
      </c>
      <c r="F1640" s="102">
        <v>0</v>
      </c>
      <c r="G1640" s="10">
        <f>SUMIFS(_teams[wins_on_date],_teams[date],_stats[[#This Row],[date]],_teams[team_number],_stats[[#This Row],[team_number]])</f>
        <v>1</v>
      </c>
      <c r="H1640" s="10">
        <f>SUMIFS(_teams[draws_on_date],_teams[date],_stats[[#This Row],[date]],_teams[team_number],_stats[[#This Row],[team_number]])</f>
        <v>0</v>
      </c>
      <c r="I1640" s="72">
        <v>0</v>
      </c>
      <c r="J1640" s="104">
        <v>0</v>
      </c>
      <c r="K1640" s="72">
        <v>9</v>
      </c>
      <c r="L1640" s="53">
        <f>VLOOKUP(_stats[[#This Row],[tournament]],tournaments_n_rules[],2,0)</f>
        <v>1747</v>
      </c>
      <c r="M1640" s="53" t="str">
        <f>VLOOKUP(_stats[[#This Row],[tournament]],tournaments_n_rules[],3,0)</f>
        <v>Осень 2026</v>
      </c>
      <c r="N1640" s="54">
        <f>VLOOKUP(_stats[[#This Row],[tournament]],tournaments_n_rules[],4,0)</f>
        <v>46285</v>
      </c>
      <c r="O1640" s="54">
        <f>VLOOKUP(_stats[[#This Row],[tournament]],tournaments_n_rules[],5,0)</f>
        <v>46356</v>
      </c>
    </row>
    <row r="1641" spans="1:15" x14ac:dyDescent="0.25">
      <c r="A1641" s="6">
        <v>46285</v>
      </c>
      <c r="B1641" s="72">
        <v>2</v>
      </c>
      <c r="C1641" s="104" t="s">
        <v>314</v>
      </c>
      <c r="D1641" s="10" t="str">
        <f>IFERROR(VLOOKUP(_stats[[#This Row],[player_id]],_players[[player_id]:[player_name]],2,0),"")</f>
        <v>Рашид</v>
      </c>
      <c r="E1641" s="72">
        <v>0</v>
      </c>
      <c r="F1641" s="102">
        <v>0</v>
      </c>
      <c r="G1641" s="10">
        <f>SUMIFS(_teams[wins_on_date],_teams[date],_stats[[#This Row],[date]],_teams[team_number],_stats[[#This Row],[team_number]])</f>
        <v>0</v>
      </c>
      <c r="H1641" s="10">
        <f>SUMIFS(_teams[draws_on_date],_teams[date],_stats[[#This Row],[date]],_teams[team_number],_stats[[#This Row],[team_number]])</f>
        <v>0</v>
      </c>
      <c r="I1641" s="72">
        <v>0</v>
      </c>
      <c r="J1641" s="104">
        <v>0</v>
      </c>
      <c r="K1641" s="72">
        <v>9</v>
      </c>
      <c r="L1641" s="53">
        <f>VLOOKUP(_stats[[#This Row],[tournament]],tournaments_n_rules[],2,0)</f>
        <v>1747</v>
      </c>
      <c r="M1641" s="53" t="str">
        <f>VLOOKUP(_stats[[#This Row],[tournament]],tournaments_n_rules[],3,0)</f>
        <v>Осень 2026</v>
      </c>
      <c r="N1641" s="54">
        <f>VLOOKUP(_stats[[#This Row],[tournament]],tournaments_n_rules[],4,0)</f>
        <v>46285</v>
      </c>
      <c r="O1641" s="54">
        <f>VLOOKUP(_stats[[#This Row],[tournament]],tournaments_n_rules[],5,0)</f>
        <v>46356</v>
      </c>
    </row>
    <row r="1642" spans="1:15" x14ac:dyDescent="0.25">
      <c r="A1642" s="6">
        <v>46285</v>
      </c>
      <c r="B1642" s="72">
        <v>1</v>
      </c>
      <c r="C1642" s="104" t="s">
        <v>27</v>
      </c>
      <c r="D1642" s="10" t="str">
        <f>IFERROR(VLOOKUP(_stats[[#This Row],[player_id]],_players[[player_id]:[player_name]],2,0),"")</f>
        <v>Толя Шлаев</v>
      </c>
      <c r="E1642" s="72">
        <v>0</v>
      </c>
      <c r="F1642" s="102">
        <v>2</v>
      </c>
      <c r="G1642" s="10">
        <f>SUMIFS(_teams[wins_on_date],_teams[date],_stats[[#This Row],[date]],_teams[team_number],_stats[[#This Row],[team_number]])</f>
        <v>1</v>
      </c>
      <c r="H1642" s="10">
        <f>SUMIFS(_teams[draws_on_date],_teams[date],_stats[[#This Row],[date]],_teams[team_number],_stats[[#This Row],[team_number]])</f>
        <v>0</v>
      </c>
      <c r="I1642" s="72">
        <v>0</v>
      </c>
      <c r="J1642" s="104">
        <v>0</v>
      </c>
      <c r="K1642" s="72">
        <v>9</v>
      </c>
      <c r="L1642" s="53">
        <f>VLOOKUP(_stats[[#This Row],[tournament]],tournaments_n_rules[],2,0)</f>
        <v>1747</v>
      </c>
      <c r="M1642" s="53" t="str">
        <f>VLOOKUP(_stats[[#This Row],[tournament]],tournaments_n_rules[],3,0)</f>
        <v>Осень 2026</v>
      </c>
      <c r="N1642" s="54">
        <f>VLOOKUP(_stats[[#This Row],[tournament]],tournaments_n_rules[],4,0)</f>
        <v>46285</v>
      </c>
      <c r="O1642" s="54">
        <f>VLOOKUP(_stats[[#This Row],[tournament]],tournaments_n_rules[],5,0)</f>
        <v>46356</v>
      </c>
    </row>
    <row r="1643" spans="1:15" x14ac:dyDescent="0.25">
      <c r="A1643" s="6">
        <v>46285</v>
      </c>
      <c r="B1643" s="72">
        <v>2</v>
      </c>
      <c r="C1643" s="104" t="s">
        <v>11</v>
      </c>
      <c r="D1643" s="10" t="str">
        <f>IFERROR(VLOOKUP(_stats[[#This Row],[player_id]],_players[[player_id]:[player_name]],2,0),"")</f>
        <v>Сергей Крюков</v>
      </c>
      <c r="E1643" s="72">
        <v>2</v>
      </c>
      <c r="F1643" s="102">
        <v>1</v>
      </c>
      <c r="G1643" s="10">
        <f>SUMIFS(_teams[wins_on_date],_teams[date],_stats[[#This Row],[date]],_teams[team_number],_stats[[#This Row],[team_number]])</f>
        <v>0</v>
      </c>
      <c r="H1643" s="10">
        <f>SUMIFS(_teams[draws_on_date],_teams[date],_stats[[#This Row],[date]],_teams[team_number],_stats[[#This Row],[team_number]])</f>
        <v>0</v>
      </c>
      <c r="I1643" s="72">
        <v>0</v>
      </c>
      <c r="J1643" s="104">
        <v>0</v>
      </c>
      <c r="K1643" s="72">
        <v>9</v>
      </c>
      <c r="L1643" s="53">
        <f>VLOOKUP(_stats[[#This Row],[tournament]],tournaments_n_rules[],2,0)</f>
        <v>1747</v>
      </c>
      <c r="M1643" s="53" t="str">
        <f>VLOOKUP(_stats[[#This Row],[tournament]],tournaments_n_rules[],3,0)</f>
        <v>Осень 2026</v>
      </c>
      <c r="N1643" s="54">
        <f>VLOOKUP(_stats[[#This Row],[tournament]],tournaments_n_rules[],4,0)</f>
        <v>46285</v>
      </c>
      <c r="O1643" s="54">
        <f>VLOOKUP(_stats[[#This Row],[tournament]],tournaments_n_rules[],5,0)</f>
        <v>46356</v>
      </c>
    </row>
    <row r="1644" spans="1:15" x14ac:dyDescent="0.25">
      <c r="A1644" s="6">
        <v>46285</v>
      </c>
      <c r="B1644" s="72">
        <v>2</v>
      </c>
      <c r="C1644" s="104" t="s">
        <v>17</v>
      </c>
      <c r="D1644" s="10" t="str">
        <f>IFERROR(VLOOKUP(_stats[[#This Row],[player_id]],_players[[player_id]:[player_name]],2,0),"")</f>
        <v>Юра Пименов</v>
      </c>
      <c r="E1644" s="72">
        <v>2</v>
      </c>
      <c r="F1644" s="102">
        <v>2</v>
      </c>
      <c r="G1644" s="10">
        <f>SUMIFS(_teams[wins_on_date],_teams[date],_stats[[#This Row],[date]],_teams[team_number],_stats[[#This Row],[team_number]])</f>
        <v>0</v>
      </c>
      <c r="H1644" s="10">
        <f>SUMIFS(_teams[draws_on_date],_teams[date],_stats[[#This Row],[date]],_teams[team_number],_stats[[#This Row],[team_number]])</f>
        <v>0</v>
      </c>
      <c r="I1644" s="72">
        <v>0</v>
      </c>
      <c r="J1644" s="104">
        <v>0</v>
      </c>
      <c r="K1644" s="72">
        <v>9</v>
      </c>
      <c r="L1644" s="53">
        <f>VLOOKUP(_stats[[#This Row],[tournament]],tournaments_n_rules[],2,0)</f>
        <v>1747</v>
      </c>
      <c r="M1644" s="53" t="str">
        <f>VLOOKUP(_stats[[#This Row],[tournament]],tournaments_n_rules[],3,0)</f>
        <v>Осень 2026</v>
      </c>
      <c r="N1644" s="54">
        <f>VLOOKUP(_stats[[#This Row],[tournament]],tournaments_n_rules[],4,0)</f>
        <v>46285</v>
      </c>
      <c r="O1644" s="54">
        <f>VLOOKUP(_stats[[#This Row],[tournament]],tournaments_n_rules[],5,0)</f>
        <v>46356</v>
      </c>
    </row>
    <row r="1645" spans="1:15" x14ac:dyDescent="0.25">
      <c r="A1645" s="6">
        <v>46285</v>
      </c>
      <c r="B1645" s="72">
        <v>2</v>
      </c>
      <c r="C1645" s="104" t="s">
        <v>142</v>
      </c>
      <c r="D1645" s="10" t="str">
        <f>IFERROR(VLOOKUP(_stats[[#This Row],[player_id]],_players[[player_id]:[player_name]],2,0),"")</f>
        <v>Сурэн</v>
      </c>
      <c r="E1645" s="72">
        <v>2</v>
      </c>
      <c r="F1645" s="102">
        <v>0</v>
      </c>
      <c r="G1645" s="10">
        <f>SUMIFS(_teams[wins_on_date],_teams[date],_stats[[#This Row],[date]],_teams[team_number],_stats[[#This Row],[team_number]])</f>
        <v>0</v>
      </c>
      <c r="H1645" s="10">
        <f>SUMIFS(_teams[draws_on_date],_teams[date],_stats[[#This Row],[date]],_teams[team_number],_stats[[#This Row],[team_number]])</f>
        <v>0</v>
      </c>
      <c r="I1645" s="72">
        <v>0</v>
      </c>
      <c r="J1645" s="104">
        <v>0</v>
      </c>
      <c r="K1645" s="72">
        <v>9</v>
      </c>
      <c r="L1645" s="53">
        <f>VLOOKUP(_stats[[#This Row],[tournament]],tournaments_n_rules[],2,0)</f>
        <v>1747</v>
      </c>
      <c r="M1645" s="53" t="str">
        <f>VLOOKUP(_stats[[#This Row],[tournament]],tournaments_n_rules[],3,0)</f>
        <v>Осень 2026</v>
      </c>
      <c r="N1645" s="54">
        <f>VLOOKUP(_stats[[#This Row],[tournament]],tournaments_n_rules[],4,0)</f>
        <v>46285</v>
      </c>
      <c r="O1645" s="54">
        <f>VLOOKUP(_stats[[#This Row],[tournament]],tournaments_n_rules[],5,0)</f>
        <v>46356</v>
      </c>
    </row>
    <row r="1646" spans="1:15" x14ac:dyDescent="0.25">
      <c r="A1646" s="6">
        <v>46285</v>
      </c>
      <c r="B1646" s="72">
        <v>1</v>
      </c>
      <c r="C1646" s="104" t="s">
        <v>28</v>
      </c>
      <c r="D1646" s="10" t="str">
        <f>IFERROR(VLOOKUP(_stats[[#This Row],[player_id]],_players[[player_id]:[player_name]],2,0),"")</f>
        <v>Витя</v>
      </c>
      <c r="E1646" s="72">
        <v>0</v>
      </c>
      <c r="F1646" s="102">
        <v>2</v>
      </c>
      <c r="G1646" s="10">
        <f>SUMIFS(_teams[wins_on_date],_teams[date],_stats[[#This Row],[date]],_teams[team_number],_stats[[#This Row],[team_number]])</f>
        <v>1</v>
      </c>
      <c r="H1646" s="10">
        <f>SUMIFS(_teams[draws_on_date],_teams[date],_stats[[#This Row],[date]],_teams[team_number],_stats[[#This Row],[team_number]])</f>
        <v>0</v>
      </c>
      <c r="I1646" s="72">
        <v>0</v>
      </c>
      <c r="J1646" s="104">
        <v>0</v>
      </c>
      <c r="K1646" s="72">
        <v>9</v>
      </c>
      <c r="L1646" s="53">
        <f>VLOOKUP(_stats[[#This Row],[tournament]],tournaments_n_rules[],2,0)</f>
        <v>1747</v>
      </c>
      <c r="M1646" s="53" t="str">
        <f>VLOOKUP(_stats[[#This Row],[tournament]],tournaments_n_rules[],3,0)</f>
        <v>Осень 2026</v>
      </c>
      <c r="N1646" s="54">
        <f>VLOOKUP(_stats[[#This Row],[tournament]],tournaments_n_rules[],4,0)</f>
        <v>46285</v>
      </c>
      <c r="O1646" s="54">
        <f>VLOOKUP(_stats[[#This Row],[tournament]],tournaments_n_rules[],5,0)</f>
        <v>46356</v>
      </c>
    </row>
    <row r="1647" spans="1:15" x14ac:dyDescent="0.25">
      <c r="A1647" s="6">
        <v>46285</v>
      </c>
      <c r="B1647" s="72">
        <v>1</v>
      </c>
      <c r="C1647" s="104" t="s">
        <v>318</v>
      </c>
      <c r="D1647" s="10" t="str">
        <f>IFERROR(VLOOKUP(_stats[[#This Row],[player_id]],_players[[player_id]:[player_name]],2,0),"")</f>
        <v>Костя (Травкин+1)</v>
      </c>
      <c r="E1647" s="72">
        <v>1</v>
      </c>
      <c r="F1647" s="102">
        <v>0</v>
      </c>
      <c r="G1647" s="10">
        <f>SUMIFS(_teams[wins_on_date],_teams[date],_stats[[#This Row],[date]],_teams[team_number],_stats[[#This Row],[team_number]])</f>
        <v>1</v>
      </c>
      <c r="H1647" s="10">
        <f>SUMIFS(_teams[draws_on_date],_teams[date],_stats[[#This Row],[date]],_teams[team_number],_stats[[#This Row],[team_number]])</f>
        <v>0</v>
      </c>
      <c r="I1647" s="72">
        <v>0</v>
      </c>
      <c r="J1647" s="104">
        <v>0</v>
      </c>
      <c r="K1647" s="72">
        <v>9</v>
      </c>
      <c r="L1647" s="53">
        <f>VLOOKUP(_stats[[#This Row],[tournament]],tournaments_n_rules[],2,0)</f>
        <v>1747</v>
      </c>
      <c r="M1647" s="53" t="str">
        <f>VLOOKUP(_stats[[#This Row],[tournament]],tournaments_n_rules[],3,0)</f>
        <v>Осень 2026</v>
      </c>
      <c r="N1647" s="54">
        <f>VLOOKUP(_stats[[#This Row],[tournament]],tournaments_n_rules[],4,0)</f>
        <v>46285</v>
      </c>
      <c r="O1647" s="54">
        <f>VLOOKUP(_stats[[#This Row],[tournament]],tournaments_n_rules[],5,0)</f>
        <v>46356</v>
      </c>
    </row>
    <row r="1648" spans="1:15" x14ac:dyDescent="0.25">
      <c r="A1648" s="6">
        <v>46285</v>
      </c>
      <c r="B1648" s="72">
        <v>2</v>
      </c>
      <c r="C1648" s="104" t="s">
        <v>97</v>
      </c>
      <c r="D1648" s="10" t="str">
        <f>IFERROR(VLOOKUP(_stats[[#This Row],[player_id]],_players[[player_id]:[player_name]],2,0),"")</f>
        <v>Умар (Женя+1)</v>
      </c>
      <c r="E1648" s="72">
        <v>1</v>
      </c>
      <c r="F1648" s="102">
        <v>0</v>
      </c>
      <c r="G1648" s="10">
        <f>SUMIFS(_teams[wins_on_date],_teams[date],_stats[[#This Row],[date]],_teams[team_number],_stats[[#This Row],[team_number]])</f>
        <v>0</v>
      </c>
      <c r="H1648" s="10">
        <f>SUMIFS(_teams[draws_on_date],_teams[date],_stats[[#This Row],[date]],_teams[team_number],_stats[[#This Row],[team_number]])</f>
        <v>0</v>
      </c>
      <c r="I1648" s="72">
        <v>0</v>
      </c>
      <c r="J1648" s="104">
        <v>0</v>
      </c>
      <c r="K1648" s="72">
        <v>9</v>
      </c>
      <c r="L1648" s="53">
        <f>VLOOKUP(_stats[[#This Row],[tournament]],tournaments_n_rules[],2,0)</f>
        <v>1747</v>
      </c>
      <c r="M1648" s="53" t="str">
        <f>VLOOKUP(_stats[[#This Row],[tournament]],tournaments_n_rules[],3,0)</f>
        <v>Осень 2026</v>
      </c>
      <c r="N1648" s="54">
        <f>VLOOKUP(_stats[[#This Row],[tournament]],tournaments_n_rules[],4,0)</f>
        <v>46285</v>
      </c>
      <c r="O1648" s="54">
        <f>VLOOKUP(_stats[[#This Row],[tournament]],tournaments_n_rules[],5,0)</f>
        <v>46356</v>
      </c>
    </row>
    <row r="1649" spans="1:15" x14ac:dyDescent="0.25">
      <c r="A1649" s="6">
        <v>46285</v>
      </c>
      <c r="B1649" s="72">
        <v>2</v>
      </c>
      <c r="C1649" s="104" t="s">
        <v>30</v>
      </c>
      <c r="D1649" s="10" t="str">
        <f>IFERROR(VLOOKUP(_stats[[#This Row],[player_id]],_players[[player_id]:[player_name]],2,0),"")</f>
        <v>Кирилл Попов</v>
      </c>
      <c r="E1649" s="72">
        <v>2</v>
      </c>
      <c r="F1649" s="102">
        <v>1</v>
      </c>
      <c r="G1649" s="10">
        <f>SUMIFS(_teams[wins_on_date],_teams[date],_stats[[#This Row],[date]],_teams[team_number],_stats[[#This Row],[team_number]])</f>
        <v>0</v>
      </c>
      <c r="H1649" s="10">
        <f>SUMIFS(_teams[draws_on_date],_teams[date],_stats[[#This Row],[date]],_teams[team_number],_stats[[#This Row],[team_number]])</f>
        <v>0</v>
      </c>
      <c r="I1649" s="72">
        <v>0</v>
      </c>
      <c r="J1649" s="104">
        <v>0</v>
      </c>
      <c r="K1649" s="72">
        <v>9</v>
      </c>
      <c r="L1649" s="53">
        <f>VLOOKUP(_stats[[#This Row],[tournament]],tournaments_n_rules[],2,0)</f>
        <v>1747</v>
      </c>
      <c r="M1649" s="53" t="str">
        <f>VLOOKUP(_stats[[#This Row],[tournament]],tournaments_n_rules[],3,0)</f>
        <v>Осень 2026</v>
      </c>
      <c r="N1649" s="54">
        <f>VLOOKUP(_stats[[#This Row],[tournament]],tournaments_n_rules[],4,0)</f>
        <v>46285</v>
      </c>
      <c r="O1649" s="54">
        <f>VLOOKUP(_stats[[#This Row],[tournament]],tournaments_n_rules[],5,0)</f>
        <v>46356</v>
      </c>
    </row>
    <row r="1650" spans="1:15" x14ac:dyDescent="0.25">
      <c r="A1650" s="6">
        <v>46285</v>
      </c>
      <c r="B1650" s="72">
        <v>1</v>
      </c>
      <c r="C1650" s="104" t="s">
        <v>53</v>
      </c>
      <c r="D1650" s="10" t="str">
        <f>IFERROR(VLOOKUP(_stats[[#This Row],[player_id]],_players[[player_id]:[player_name]],2,0),"")</f>
        <v>Даня (сын Вити)</v>
      </c>
      <c r="E1650" s="72">
        <v>1</v>
      </c>
      <c r="F1650" s="102">
        <v>0</v>
      </c>
      <c r="G1650" s="10">
        <f>SUMIFS(_teams[wins_on_date],_teams[date],_stats[[#This Row],[date]],_teams[team_number],_stats[[#This Row],[team_number]])</f>
        <v>1</v>
      </c>
      <c r="H1650" s="10">
        <f>SUMIFS(_teams[draws_on_date],_teams[date],_stats[[#This Row],[date]],_teams[team_number],_stats[[#This Row],[team_number]])</f>
        <v>0</v>
      </c>
      <c r="I1650" s="72">
        <v>0</v>
      </c>
      <c r="J1650" s="104">
        <v>0</v>
      </c>
      <c r="K1650" s="72">
        <v>9</v>
      </c>
      <c r="L1650" s="53">
        <f>VLOOKUP(_stats[[#This Row],[tournament]],tournaments_n_rules[],2,0)</f>
        <v>1747</v>
      </c>
      <c r="M1650" s="53" t="str">
        <f>VLOOKUP(_stats[[#This Row],[tournament]],tournaments_n_rules[],3,0)</f>
        <v>Осень 2026</v>
      </c>
      <c r="N1650" s="54">
        <f>VLOOKUP(_stats[[#This Row],[tournament]],tournaments_n_rules[],4,0)</f>
        <v>46285</v>
      </c>
      <c r="O1650" s="54">
        <f>VLOOKUP(_stats[[#This Row],[tournament]],tournaments_n_rules[],5,0)</f>
        <v>46356</v>
      </c>
    </row>
    <row r="1651" spans="1:15" x14ac:dyDescent="0.25">
      <c r="A1651" s="6">
        <v>46292</v>
      </c>
      <c r="B1651" s="72">
        <v>2</v>
      </c>
      <c r="C1651" s="104" t="s">
        <v>157</v>
      </c>
      <c r="D1651" s="10" t="str">
        <f>IFERROR(VLOOKUP(_stats[[#This Row],[player_id]],_players[[player_id]:[player_name]],2,0),"")</f>
        <v>Никита (Сурэн+1)</v>
      </c>
      <c r="E1651" s="72">
        <v>4</v>
      </c>
      <c r="F1651" s="102">
        <v>1</v>
      </c>
      <c r="G1651" s="10">
        <f>SUMIFS(_teams[wins_on_date],_teams[date],_stats[[#This Row],[date]],_teams[team_number],_stats[[#This Row],[team_number]])</f>
        <v>5</v>
      </c>
      <c r="H1651" s="10">
        <f>SUMIFS(_teams[draws_on_date],_teams[date],_stats[[#This Row],[date]],_teams[team_number],_stats[[#This Row],[team_number]])</f>
        <v>3</v>
      </c>
      <c r="I1651" s="72">
        <v>0</v>
      </c>
      <c r="J1651" s="104">
        <v>0</v>
      </c>
      <c r="K1651" s="72">
        <v>9</v>
      </c>
      <c r="L1651" s="53">
        <f>VLOOKUP(_stats[[#This Row],[tournament]],tournaments_n_rules[],2,0)</f>
        <v>1747</v>
      </c>
      <c r="M1651" s="53" t="str">
        <f>VLOOKUP(_stats[[#This Row],[tournament]],tournaments_n_rules[],3,0)</f>
        <v>Осень 2026</v>
      </c>
      <c r="N1651" s="54">
        <f>VLOOKUP(_stats[[#This Row],[tournament]],tournaments_n_rules[],4,0)</f>
        <v>46285</v>
      </c>
      <c r="O1651" s="54">
        <f>VLOOKUP(_stats[[#This Row],[tournament]],tournaments_n_rules[],5,0)</f>
        <v>46356</v>
      </c>
    </row>
    <row r="1652" spans="1:15" x14ac:dyDescent="0.25">
      <c r="A1652" s="6">
        <v>46292</v>
      </c>
      <c r="B1652" s="72">
        <v>3</v>
      </c>
      <c r="C1652" s="104" t="s">
        <v>13</v>
      </c>
      <c r="D1652" s="10" t="str">
        <f>IFERROR(VLOOKUP(_stats[[#This Row],[player_id]],_players[[player_id]:[player_name]],2,0),"")</f>
        <v>Нурик</v>
      </c>
      <c r="E1652" s="72">
        <v>0</v>
      </c>
      <c r="F1652" s="102">
        <v>0</v>
      </c>
      <c r="G1652" s="10">
        <f>SUMIFS(_teams[wins_on_date],_teams[date],_stats[[#This Row],[date]],_teams[team_number],_stats[[#This Row],[team_number]])</f>
        <v>1</v>
      </c>
      <c r="H1652" s="10">
        <f>SUMIFS(_teams[draws_on_date],_teams[date],_stats[[#This Row],[date]],_teams[team_number],_stats[[#This Row],[team_number]])</f>
        <v>3</v>
      </c>
      <c r="I1652" s="72">
        <v>0</v>
      </c>
      <c r="J1652" s="104">
        <v>0</v>
      </c>
      <c r="K1652" s="72">
        <v>9</v>
      </c>
      <c r="L1652" s="53">
        <f>VLOOKUP(_stats[[#This Row],[tournament]],tournaments_n_rules[],2,0)</f>
        <v>1747</v>
      </c>
      <c r="M1652" s="53" t="str">
        <f>VLOOKUP(_stats[[#This Row],[tournament]],tournaments_n_rules[],3,0)</f>
        <v>Осень 2026</v>
      </c>
      <c r="N1652" s="54">
        <f>VLOOKUP(_stats[[#This Row],[tournament]],tournaments_n_rules[],4,0)</f>
        <v>46285</v>
      </c>
      <c r="O1652" s="54">
        <f>VLOOKUP(_stats[[#This Row],[tournament]],tournaments_n_rules[],5,0)</f>
        <v>46356</v>
      </c>
    </row>
    <row r="1653" spans="1:15" x14ac:dyDescent="0.25">
      <c r="A1653" s="6">
        <v>46292</v>
      </c>
      <c r="B1653" s="72">
        <v>1</v>
      </c>
      <c r="C1653" s="104" t="s">
        <v>142</v>
      </c>
      <c r="D1653" s="10" t="str">
        <f>IFERROR(VLOOKUP(_stats[[#This Row],[player_id]],_players[[player_id]:[player_name]],2,0),"")</f>
        <v>Сурэн</v>
      </c>
      <c r="E1653" s="72">
        <v>4</v>
      </c>
      <c r="F1653" s="102">
        <v>3</v>
      </c>
      <c r="G1653" s="10">
        <f>SUMIFS(_teams[wins_on_date],_teams[date],_stats[[#This Row],[date]],_teams[team_number],_stats[[#This Row],[team_number]])</f>
        <v>6</v>
      </c>
      <c r="H1653" s="10">
        <f>SUMIFS(_teams[draws_on_date],_teams[date],_stats[[#This Row],[date]],_teams[team_number],_stats[[#This Row],[team_number]])</f>
        <v>4</v>
      </c>
      <c r="I1653" s="72">
        <v>0</v>
      </c>
      <c r="J1653" s="104">
        <v>0</v>
      </c>
      <c r="K1653" s="72">
        <v>9</v>
      </c>
      <c r="L1653" s="53">
        <f>VLOOKUP(_stats[[#This Row],[tournament]],tournaments_n_rules[],2,0)</f>
        <v>1747</v>
      </c>
      <c r="M1653" s="53" t="str">
        <f>VLOOKUP(_stats[[#This Row],[tournament]],tournaments_n_rules[],3,0)</f>
        <v>Осень 2026</v>
      </c>
      <c r="N1653" s="54">
        <f>VLOOKUP(_stats[[#This Row],[tournament]],tournaments_n_rules[],4,0)</f>
        <v>46285</v>
      </c>
      <c r="O1653" s="54">
        <f>VLOOKUP(_stats[[#This Row],[tournament]],tournaments_n_rules[],5,0)</f>
        <v>46356</v>
      </c>
    </row>
    <row r="1654" spans="1:15" x14ac:dyDescent="0.25">
      <c r="A1654" s="6">
        <v>46292</v>
      </c>
      <c r="B1654" s="72">
        <v>2</v>
      </c>
      <c r="C1654" s="104" t="s">
        <v>17</v>
      </c>
      <c r="D1654" s="10" t="str">
        <f>IFERROR(VLOOKUP(_stats[[#This Row],[player_id]],_players[[player_id]:[player_name]],2,0),"")</f>
        <v>Юра Пименов</v>
      </c>
      <c r="E1654" s="72">
        <v>3</v>
      </c>
      <c r="F1654" s="102">
        <v>2</v>
      </c>
      <c r="G1654" s="10">
        <f>SUMIFS(_teams[wins_on_date],_teams[date],_stats[[#This Row],[date]],_teams[team_number],_stats[[#This Row],[team_number]])</f>
        <v>5</v>
      </c>
      <c r="H1654" s="10">
        <f>SUMIFS(_teams[draws_on_date],_teams[date],_stats[[#This Row],[date]],_teams[team_number],_stats[[#This Row],[team_number]])</f>
        <v>3</v>
      </c>
      <c r="I1654" s="72">
        <v>0</v>
      </c>
      <c r="J1654" s="104">
        <v>0</v>
      </c>
      <c r="K1654" s="72">
        <v>9</v>
      </c>
      <c r="L1654" s="53">
        <f>VLOOKUP(_stats[[#This Row],[tournament]],tournaments_n_rules[],2,0)</f>
        <v>1747</v>
      </c>
      <c r="M1654" s="53" t="str">
        <f>VLOOKUP(_stats[[#This Row],[tournament]],tournaments_n_rules[],3,0)</f>
        <v>Осень 2026</v>
      </c>
      <c r="N1654" s="54">
        <f>VLOOKUP(_stats[[#This Row],[tournament]],tournaments_n_rules[],4,0)</f>
        <v>46285</v>
      </c>
      <c r="O1654" s="54">
        <f>VLOOKUP(_stats[[#This Row],[tournament]],tournaments_n_rules[],5,0)</f>
        <v>46356</v>
      </c>
    </row>
    <row r="1655" spans="1:15" x14ac:dyDescent="0.25">
      <c r="A1655" s="6">
        <v>46292</v>
      </c>
      <c r="B1655" s="72">
        <v>1</v>
      </c>
      <c r="C1655" s="104" t="s">
        <v>19</v>
      </c>
      <c r="D1655" s="10" t="str">
        <f>IFERROR(VLOOKUP(_stats[[#This Row],[player_id]],_players[[player_id]:[player_name]],2,0),"")</f>
        <v>Олег Шишкин</v>
      </c>
      <c r="E1655" s="72">
        <v>0</v>
      </c>
      <c r="F1655" s="102">
        <v>0</v>
      </c>
      <c r="G1655" s="10">
        <f>SUMIFS(_teams[wins_on_date],_teams[date],_stats[[#This Row],[date]],_teams[team_number],_stats[[#This Row],[team_number]])</f>
        <v>6</v>
      </c>
      <c r="H1655" s="10">
        <f>SUMIFS(_teams[draws_on_date],_teams[date],_stats[[#This Row],[date]],_teams[team_number],_stats[[#This Row],[team_number]])</f>
        <v>4</v>
      </c>
      <c r="I1655" s="72">
        <v>0</v>
      </c>
      <c r="J1655" s="104">
        <v>0</v>
      </c>
      <c r="K1655" s="72">
        <v>9</v>
      </c>
      <c r="L1655" s="53">
        <f>VLOOKUP(_stats[[#This Row],[tournament]],tournaments_n_rules[],2,0)</f>
        <v>1747</v>
      </c>
      <c r="M1655" s="53" t="str">
        <f>VLOOKUP(_stats[[#This Row],[tournament]],tournaments_n_rules[],3,0)</f>
        <v>Осень 2026</v>
      </c>
      <c r="N1655" s="54">
        <f>VLOOKUP(_stats[[#This Row],[tournament]],tournaments_n_rules[],4,0)</f>
        <v>46285</v>
      </c>
      <c r="O1655" s="54">
        <f>VLOOKUP(_stats[[#This Row],[tournament]],tournaments_n_rules[],5,0)</f>
        <v>46356</v>
      </c>
    </row>
    <row r="1656" spans="1:15" x14ac:dyDescent="0.25">
      <c r="A1656" s="6">
        <v>46292</v>
      </c>
      <c r="B1656" s="72">
        <v>1</v>
      </c>
      <c r="C1656" s="104" t="s">
        <v>320</v>
      </c>
      <c r="D1656" s="10" t="str">
        <f>IFERROR(VLOOKUP(_stats[[#This Row],[player_id]],_players[[player_id]:[player_name]],2,0),"")</f>
        <v>Сокол</v>
      </c>
      <c r="E1656" s="72">
        <v>0</v>
      </c>
      <c r="F1656" s="102">
        <v>0</v>
      </c>
      <c r="G1656" s="10">
        <f>SUMIFS(_teams[wins_on_date],_teams[date],_stats[[#This Row],[date]],_teams[team_number],_stats[[#This Row],[team_number]])</f>
        <v>6</v>
      </c>
      <c r="H1656" s="10">
        <f>SUMIFS(_teams[draws_on_date],_teams[date],_stats[[#This Row],[date]],_teams[team_number],_stats[[#This Row],[team_number]])</f>
        <v>4</v>
      </c>
      <c r="I1656" s="72">
        <v>0</v>
      </c>
      <c r="J1656" s="104">
        <v>0</v>
      </c>
      <c r="K1656" s="72">
        <v>9</v>
      </c>
      <c r="L1656" s="53">
        <f>VLOOKUP(_stats[[#This Row],[tournament]],tournaments_n_rules[],2,0)</f>
        <v>1747</v>
      </c>
      <c r="M1656" s="53" t="str">
        <f>VLOOKUP(_stats[[#This Row],[tournament]],tournaments_n_rules[],3,0)</f>
        <v>Осень 2026</v>
      </c>
      <c r="N1656" s="54">
        <f>VLOOKUP(_stats[[#This Row],[tournament]],tournaments_n_rules[],4,0)</f>
        <v>46285</v>
      </c>
      <c r="O1656" s="54">
        <f>VLOOKUP(_stats[[#This Row],[tournament]],tournaments_n_rules[],5,0)</f>
        <v>46356</v>
      </c>
    </row>
    <row r="1657" spans="1:15" x14ac:dyDescent="0.25">
      <c r="A1657" s="6">
        <v>46292</v>
      </c>
      <c r="B1657" s="72">
        <v>2</v>
      </c>
      <c r="C1657" s="104" t="s">
        <v>15</v>
      </c>
      <c r="D1657" s="10" t="str">
        <f>IFERROR(VLOOKUP(_stats[[#This Row],[player_id]],_players[[player_id]:[player_name]],2,0),"")</f>
        <v>Тёма</v>
      </c>
      <c r="E1657" s="72">
        <v>0</v>
      </c>
      <c r="F1657" s="102">
        <v>2</v>
      </c>
      <c r="G1657" s="10">
        <f>SUMIFS(_teams[wins_on_date],_teams[date],_stats[[#This Row],[date]],_teams[team_number],_stats[[#This Row],[team_number]])</f>
        <v>5</v>
      </c>
      <c r="H1657" s="10">
        <f>SUMIFS(_teams[draws_on_date],_teams[date],_stats[[#This Row],[date]],_teams[team_number],_stats[[#This Row],[team_number]])</f>
        <v>3</v>
      </c>
      <c r="I1657" s="72">
        <v>0</v>
      </c>
      <c r="J1657" s="104">
        <v>0</v>
      </c>
      <c r="K1657" s="72">
        <v>9</v>
      </c>
      <c r="L1657" s="53">
        <f>VLOOKUP(_stats[[#This Row],[tournament]],tournaments_n_rules[],2,0)</f>
        <v>1747</v>
      </c>
      <c r="M1657" s="53" t="str">
        <f>VLOOKUP(_stats[[#This Row],[tournament]],tournaments_n_rules[],3,0)</f>
        <v>Осень 2026</v>
      </c>
      <c r="N1657" s="54">
        <f>VLOOKUP(_stats[[#This Row],[tournament]],tournaments_n_rules[],4,0)</f>
        <v>46285</v>
      </c>
      <c r="O1657" s="54">
        <f>VLOOKUP(_stats[[#This Row],[tournament]],tournaments_n_rules[],5,0)</f>
        <v>46356</v>
      </c>
    </row>
    <row r="1658" spans="1:15" x14ac:dyDescent="0.25">
      <c r="A1658" s="6">
        <v>46292</v>
      </c>
      <c r="B1658" s="72">
        <v>2</v>
      </c>
      <c r="C1658" s="104" t="s">
        <v>44</v>
      </c>
      <c r="D1658" s="10" t="str">
        <f>IFERROR(VLOOKUP(_stats[[#This Row],[player_id]],_players[[player_id]:[player_name]],2,0),"")</f>
        <v>Женя (кипер)</v>
      </c>
      <c r="E1658" s="72">
        <v>0</v>
      </c>
      <c r="F1658" s="102">
        <v>0</v>
      </c>
      <c r="G1658" s="10">
        <f>SUMIFS(_teams[wins_on_date],_teams[date],_stats[[#This Row],[date]],_teams[team_number],_stats[[#This Row],[team_number]])</f>
        <v>5</v>
      </c>
      <c r="H1658" s="10">
        <f>SUMIFS(_teams[draws_on_date],_teams[date],_stats[[#This Row],[date]],_teams[team_number],_stats[[#This Row],[team_number]])</f>
        <v>3</v>
      </c>
      <c r="I1658" s="72">
        <v>4</v>
      </c>
      <c r="J1658" s="104">
        <v>0</v>
      </c>
      <c r="K1658" s="72">
        <v>9</v>
      </c>
      <c r="L1658" s="53">
        <f>VLOOKUP(_stats[[#This Row],[tournament]],tournaments_n_rules[],2,0)</f>
        <v>1747</v>
      </c>
      <c r="M1658" s="53" t="str">
        <f>VLOOKUP(_stats[[#This Row],[tournament]],tournaments_n_rules[],3,0)</f>
        <v>Осень 2026</v>
      </c>
      <c r="N1658" s="54">
        <f>VLOOKUP(_stats[[#This Row],[tournament]],tournaments_n_rules[],4,0)</f>
        <v>46285</v>
      </c>
      <c r="O1658" s="54">
        <f>VLOOKUP(_stats[[#This Row],[tournament]],tournaments_n_rules[],5,0)</f>
        <v>46356</v>
      </c>
    </row>
    <row r="1659" spans="1:15" x14ac:dyDescent="0.25">
      <c r="A1659" s="6">
        <v>46292</v>
      </c>
      <c r="B1659" s="72">
        <v>3</v>
      </c>
      <c r="C1659" s="104" t="s">
        <v>314</v>
      </c>
      <c r="D1659" s="10" t="str">
        <f>IFERROR(VLOOKUP(_stats[[#This Row],[player_id]],_players[[player_id]:[player_name]],2,0),"")</f>
        <v>Рашид</v>
      </c>
      <c r="E1659" s="72">
        <v>0</v>
      </c>
      <c r="F1659" s="102">
        <v>0</v>
      </c>
      <c r="G1659" s="10">
        <f>SUMIFS(_teams[wins_on_date],_teams[date],_stats[[#This Row],[date]],_teams[team_number],_stats[[#This Row],[team_number]])</f>
        <v>1</v>
      </c>
      <c r="H1659" s="10">
        <f>SUMIFS(_teams[draws_on_date],_teams[date],_stats[[#This Row],[date]],_teams[team_number],_stats[[#This Row],[team_number]])</f>
        <v>3</v>
      </c>
      <c r="I1659" s="72">
        <v>4</v>
      </c>
      <c r="J1659" s="104">
        <v>0</v>
      </c>
      <c r="K1659" s="72">
        <v>9</v>
      </c>
      <c r="L1659" s="53">
        <f>VLOOKUP(_stats[[#This Row],[tournament]],tournaments_n_rules[],2,0)</f>
        <v>1747</v>
      </c>
      <c r="M1659" s="53" t="str">
        <f>VLOOKUP(_stats[[#This Row],[tournament]],tournaments_n_rules[],3,0)</f>
        <v>Осень 2026</v>
      </c>
      <c r="N1659" s="54">
        <f>VLOOKUP(_stats[[#This Row],[tournament]],tournaments_n_rules[],4,0)</f>
        <v>46285</v>
      </c>
      <c r="O1659" s="54">
        <f>VLOOKUP(_stats[[#This Row],[tournament]],tournaments_n_rules[],5,0)</f>
        <v>46356</v>
      </c>
    </row>
    <row r="1660" spans="1:15" x14ac:dyDescent="0.25">
      <c r="A1660" s="6">
        <v>46292</v>
      </c>
      <c r="B1660" s="72">
        <v>1</v>
      </c>
      <c r="C1660" s="104" t="s">
        <v>8</v>
      </c>
      <c r="D1660" s="10" t="str">
        <f>IFERROR(VLOOKUP(_stats[[#This Row],[player_id]],_players[[player_id]:[player_name]],2,0),"")</f>
        <v>Костя</v>
      </c>
      <c r="E1660" s="72">
        <v>3</v>
      </c>
      <c r="F1660" s="102">
        <v>2</v>
      </c>
      <c r="G1660" s="10">
        <f>SUMIFS(_teams[wins_on_date],_teams[date],_stats[[#This Row],[date]],_teams[team_number],_stats[[#This Row],[team_number]])</f>
        <v>6</v>
      </c>
      <c r="H1660" s="10">
        <f>SUMIFS(_teams[draws_on_date],_teams[date],_stats[[#This Row],[date]],_teams[team_number],_stats[[#This Row],[team_number]])</f>
        <v>4</v>
      </c>
      <c r="I1660" s="72">
        <v>0</v>
      </c>
      <c r="J1660" s="104">
        <v>0</v>
      </c>
      <c r="K1660" s="72">
        <v>9</v>
      </c>
      <c r="L1660" s="53">
        <f>VLOOKUP(_stats[[#This Row],[tournament]],tournaments_n_rules[],2,0)</f>
        <v>1747</v>
      </c>
      <c r="M1660" s="53" t="str">
        <f>VLOOKUP(_stats[[#This Row],[tournament]],tournaments_n_rules[],3,0)</f>
        <v>Осень 2026</v>
      </c>
      <c r="N1660" s="54">
        <f>VLOOKUP(_stats[[#This Row],[tournament]],tournaments_n_rules[],4,0)</f>
        <v>46285</v>
      </c>
      <c r="O1660" s="54">
        <f>VLOOKUP(_stats[[#This Row],[tournament]],tournaments_n_rules[],5,0)</f>
        <v>46356</v>
      </c>
    </row>
    <row r="1661" spans="1:15" x14ac:dyDescent="0.25">
      <c r="A1661" s="6">
        <v>46292</v>
      </c>
      <c r="B1661" s="72">
        <v>1</v>
      </c>
      <c r="C1661" s="104" t="s">
        <v>69</v>
      </c>
      <c r="D1661" s="10" t="str">
        <f>IFERROR(VLOOKUP(_stats[[#This Row],[player_id]],_players[[player_id]:[player_name]],2,0),"")</f>
        <v>Анашкин</v>
      </c>
      <c r="E1661" s="72">
        <v>2</v>
      </c>
      <c r="F1661" s="102">
        <v>2</v>
      </c>
      <c r="G1661" s="10">
        <f>SUMIFS(_teams[wins_on_date],_teams[date],_stats[[#This Row],[date]],_teams[team_number],_stats[[#This Row],[team_number]])</f>
        <v>6</v>
      </c>
      <c r="H1661" s="10">
        <f>SUMIFS(_teams[draws_on_date],_teams[date],_stats[[#This Row],[date]],_teams[team_number],_stats[[#This Row],[team_number]])</f>
        <v>4</v>
      </c>
      <c r="I1661" s="72">
        <v>0</v>
      </c>
      <c r="J1661" s="104">
        <v>0</v>
      </c>
      <c r="K1661" s="72">
        <v>9</v>
      </c>
      <c r="L1661" s="53">
        <f>VLOOKUP(_stats[[#This Row],[tournament]],tournaments_n_rules[],2,0)</f>
        <v>1747</v>
      </c>
      <c r="M1661" s="53" t="str">
        <f>VLOOKUP(_stats[[#This Row],[tournament]],tournaments_n_rules[],3,0)</f>
        <v>Осень 2026</v>
      </c>
      <c r="N1661" s="54">
        <f>VLOOKUP(_stats[[#This Row],[tournament]],tournaments_n_rules[],4,0)</f>
        <v>46285</v>
      </c>
      <c r="O1661" s="54">
        <f>VLOOKUP(_stats[[#This Row],[tournament]],tournaments_n_rules[],5,0)</f>
        <v>46356</v>
      </c>
    </row>
    <row r="1662" spans="1:15" x14ac:dyDescent="0.25">
      <c r="A1662" s="6">
        <v>46292</v>
      </c>
      <c r="B1662" s="72">
        <v>2</v>
      </c>
      <c r="C1662" s="104" t="s">
        <v>43</v>
      </c>
      <c r="D1662" s="10" t="str">
        <f>IFERROR(VLOOKUP(_stats[[#This Row],[player_id]],_players[[player_id]:[player_name]],2,0),"")</f>
        <v>Никита</v>
      </c>
      <c r="E1662" s="72">
        <v>0</v>
      </c>
      <c r="F1662" s="102">
        <v>3</v>
      </c>
      <c r="G1662" s="10">
        <f>SUMIFS(_teams[wins_on_date],_teams[date],_stats[[#This Row],[date]],_teams[team_number],_stats[[#This Row],[team_number]])</f>
        <v>5</v>
      </c>
      <c r="H1662" s="10">
        <f>SUMIFS(_teams[draws_on_date],_teams[date],_stats[[#This Row],[date]],_teams[team_number],_stats[[#This Row],[team_number]])</f>
        <v>3</v>
      </c>
      <c r="I1662" s="72">
        <v>0</v>
      </c>
      <c r="J1662" s="104">
        <v>0</v>
      </c>
      <c r="K1662" s="72">
        <v>9</v>
      </c>
      <c r="L1662" s="53">
        <f>VLOOKUP(_stats[[#This Row],[tournament]],tournaments_n_rules[],2,0)</f>
        <v>1747</v>
      </c>
      <c r="M1662" s="53" t="str">
        <f>VLOOKUP(_stats[[#This Row],[tournament]],tournaments_n_rules[],3,0)</f>
        <v>Осень 2026</v>
      </c>
      <c r="N1662" s="54">
        <f>VLOOKUP(_stats[[#This Row],[tournament]],tournaments_n_rules[],4,0)</f>
        <v>46285</v>
      </c>
      <c r="O1662" s="54">
        <f>VLOOKUP(_stats[[#This Row],[tournament]],tournaments_n_rules[],5,0)</f>
        <v>46356</v>
      </c>
    </row>
    <row r="1663" spans="1:15" x14ac:dyDescent="0.25">
      <c r="A1663" s="6">
        <v>46292</v>
      </c>
      <c r="B1663" s="72">
        <v>2</v>
      </c>
      <c r="C1663" s="104" t="s">
        <v>153</v>
      </c>
      <c r="D1663" s="10" t="str">
        <f>IFERROR(VLOOKUP(_stats[[#This Row],[player_id]],_players[[player_id]:[player_name]],2,0),"")</f>
        <v>Богдан</v>
      </c>
      <c r="E1663" s="72">
        <v>0</v>
      </c>
      <c r="F1663" s="102">
        <v>0</v>
      </c>
      <c r="G1663" s="10">
        <f>SUMIFS(_teams[wins_on_date],_teams[date],_stats[[#This Row],[date]],_teams[team_number],_stats[[#This Row],[team_number]])</f>
        <v>5</v>
      </c>
      <c r="H1663" s="10">
        <f>SUMIFS(_teams[draws_on_date],_teams[date],_stats[[#This Row],[date]],_teams[team_number],_stats[[#This Row],[team_number]])</f>
        <v>3</v>
      </c>
      <c r="I1663" s="72">
        <v>0</v>
      </c>
      <c r="J1663" s="104">
        <v>0</v>
      </c>
      <c r="K1663" s="72">
        <v>9</v>
      </c>
      <c r="L1663" s="53">
        <f>VLOOKUP(_stats[[#This Row],[tournament]],tournaments_n_rules[],2,0)</f>
        <v>1747</v>
      </c>
      <c r="M1663" s="53" t="str">
        <f>VLOOKUP(_stats[[#This Row],[tournament]],tournaments_n_rules[],3,0)</f>
        <v>Осень 2026</v>
      </c>
      <c r="N1663" s="54">
        <f>VLOOKUP(_stats[[#This Row],[tournament]],tournaments_n_rules[],4,0)</f>
        <v>46285</v>
      </c>
      <c r="O1663" s="54">
        <f>VLOOKUP(_stats[[#This Row],[tournament]],tournaments_n_rules[],5,0)</f>
        <v>46356</v>
      </c>
    </row>
    <row r="1664" spans="1:15" x14ac:dyDescent="0.25">
      <c r="A1664" s="6">
        <v>46292</v>
      </c>
      <c r="B1664" s="72">
        <v>3</v>
      </c>
      <c r="C1664" s="104" t="s">
        <v>22</v>
      </c>
      <c r="D1664" s="10" t="str">
        <f>IFERROR(VLOOKUP(_stats[[#This Row],[player_id]],_players[[player_id]:[player_name]],2,0),"")</f>
        <v>Расул</v>
      </c>
      <c r="E1664" s="72">
        <v>0</v>
      </c>
      <c r="F1664" s="102">
        <v>1</v>
      </c>
      <c r="G1664" s="10">
        <f>SUMIFS(_teams[wins_on_date],_teams[date],_stats[[#This Row],[date]],_teams[team_number],_stats[[#This Row],[team_number]])</f>
        <v>1</v>
      </c>
      <c r="H1664" s="10">
        <f>SUMIFS(_teams[draws_on_date],_teams[date],_stats[[#This Row],[date]],_teams[team_number],_stats[[#This Row],[team_number]])</f>
        <v>3</v>
      </c>
      <c r="I1664" s="72">
        <v>0</v>
      </c>
      <c r="J1664" s="104">
        <v>0</v>
      </c>
      <c r="K1664" s="72">
        <v>9</v>
      </c>
      <c r="L1664" s="53">
        <f>VLOOKUP(_stats[[#This Row],[tournament]],tournaments_n_rules[],2,0)</f>
        <v>1747</v>
      </c>
      <c r="M1664" s="53" t="str">
        <f>VLOOKUP(_stats[[#This Row],[tournament]],tournaments_n_rules[],3,0)</f>
        <v>Осень 2026</v>
      </c>
      <c r="N1664" s="54">
        <f>VLOOKUP(_stats[[#This Row],[tournament]],tournaments_n_rules[],4,0)</f>
        <v>46285</v>
      </c>
      <c r="O1664" s="54">
        <f>VLOOKUP(_stats[[#This Row],[tournament]],tournaments_n_rules[],5,0)</f>
        <v>46356</v>
      </c>
    </row>
    <row r="1665" spans="1:15" x14ac:dyDescent="0.25">
      <c r="A1665" s="6">
        <v>46292</v>
      </c>
      <c r="B1665" s="72">
        <v>1</v>
      </c>
      <c r="C1665" s="104" t="s">
        <v>316</v>
      </c>
      <c r="D1665" s="10" t="str">
        <f>IFERROR(VLOOKUP(_stats[[#This Row],[player_id]],_players[[player_id]:[player_name]],2,0),"")</f>
        <v>Даня (кипер)</v>
      </c>
      <c r="E1665" s="72">
        <v>1</v>
      </c>
      <c r="F1665" s="102">
        <v>0</v>
      </c>
      <c r="G1665" s="10">
        <f>SUMIFS(_teams[wins_on_date],_teams[date],_stats[[#This Row],[date]],_teams[team_number],_stats[[#This Row],[team_number]])</f>
        <v>6</v>
      </c>
      <c r="H1665" s="10">
        <f>SUMIFS(_teams[draws_on_date],_teams[date],_stats[[#This Row],[date]],_teams[team_number],_stats[[#This Row],[team_number]])</f>
        <v>4</v>
      </c>
      <c r="I1665" s="72">
        <v>6</v>
      </c>
      <c r="J1665" s="104">
        <v>0</v>
      </c>
      <c r="K1665" s="72">
        <v>9</v>
      </c>
      <c r="L1665" s="53">
        <f>VLOOKUP(_stats[[#This Row],[tournament]],tournaments_n_rules[],2,0)</f>
        <v>1747</v>
      </c>
      <c r="M1665" s="53" t="str">
        <f>VLOOKUP(_stats[[#This Row],[tournament]],tournaments_n_rules[],3,0)</f>
        <v>Осень 2026</v>
      </c>
      <c r="N1665" s="54">
        <f>VLOOKUP(_stats[[#This Row],[tournament]],tournaments_n_rules[],4,0)</f>
        <v>46285</v>
      </c>
      <c r="O1665" s="54">
        <f>VLOOKUP(_stats[[#This Row],[tournament]],tournaments_n_rules[],5,0)</f>
        <v>46356</v>
      </c>
    </row>
    <row r="1666" spans="1:15" x14ac:dyDescent="0.25">
      <c r="A1666" s="6">
        <v>46292</v>
      </c>
      <c r="B1666" s="72">
        <v>1</v>
      </c>
      <c r="C1666" s="104" t="s">
        <v>11</v>
      </c>
      <c r="D1666" s="10" t="str">
        <f>IFERROR(VLOOKUP(_stats[[#This Row],[player_id]],_players[[player_id]:[player_name]],2,0),"")</f>
        <v>Сергей Крюков</v>
      </c>
      <c r="E1666" s="72">
        <v>3</v>
      </c>
      <c r="F1666" s="102">
        <v>1</v>
      </c>
      <c r="G1666" s="10">
        <f>SUMIFS(_teams[wins_on_date],_teams[date],_stats[[#This Row],[date]],_teams[team_number],_stats[[#This Row],[team_number]])</f>
        <v>6</v>
      </c>
      <c r="H1666" s="10">
        <f>SUMIFS(_teams[draws_on_date],_teams[date],_stats[[#This Row],[date]],_teams[team_number],_stats[[#This Row],[team_number]])</f>
        <v>4</v>
      </c>
      <c r="I1666" s="72">
        <v>0</v>
      </c>
      <c r="J1666" s="104">
        <v>0</v>
      </c>
      <c r="K1666" s="72">
        <v>9</v>
      </c>
      <c r="L1666" s="53">
        <f>VLOOKUP(_stats[[#This Row],[tournament]],tournaments_n_rules[],2,0)</f>
        <v>1747</v>
      </c>
      <c r="M1666" s="53" t="str">
        <f>VLOOKUP(_stats[[#This Row],[tournament]],tournaments_n_rules[],3,0)</f>
        <v>Осень 2026</v>
      </c>
      <c r="N1666" s="54">
        <f>VLOOKUP(_stats[[#This Row],[tournament]],tournaments_n_rules[],4,0)</f>
        <v>46285</v>
      </c>
      <c r="O1666" s="54">
        <f>VLOOKUP(_stats[[#This Row],[tournament]],tournaments_n_rules[],5,0)</f>
        <v>46356</v>
      </c>
    </row>
    <row r="1667" spans="1:15" x14ac:dyDescent="0.25">
      <c r="A1667" s="6">
        <v>46292</v>
      </c>
      <c r="B1667" s="72">
        <v>2</v>
      </c>
      <c r="C1667" s="104" t="s">
        <v>28</v>
      </c>
      <c r="D1667" s="10" t="str">
        <f>IFERROR(VLOOKUP(_stats[[#This Row],[player_id]],_players[[player_id]:[player_name]],2,0),"")</f>
        <v>Витя</v>
      </c>
      <c r="E1667" s="72">
        <v>2</v>
      </c>
      <c r="F1667" s="102">
        <v>1</v>
      </c>
      <c r="G1667" s="10">
        <f>SUMIFS(_teams[wins_on_date],_teams[date],_stats[[#This Row],[date]],_teams[team_number],_stats[[#This Row],[team_number]])</f>
        <v>5</v>
      </c>
      <c r="H1667" s="10">
        <f>SUMIFS(_teams[draws_on_date],_teams[date],_stats[[#This Row],[date]],_teams[team_number],_stats[[#This Row],[team_number]])</f>
        <v>3</v>
      </c>
      <c r="I1667" s="72">
        <v>0</v>
      </c>
      <c r="J1667" s="104">
        <v>0</v>
      </c>
      <c r="K1667" s="72">
        <v>9</v>
      </c>
      <c r="L1667" s="53">
        <f>VLOOKUP(_stats[[#This Row],[tournament]],tournaments_n_rules[],2,0)</f>
        <v>1747</v>
      </c>
      <c r="M1667" s="53" t="str">
        <f>VLOOKUP(_stats[[#This Row],[tournament]],tournaments_n_rules[],3,0)</f>
        <v>Осень 2026</v>
      </c>
      <c r="N1667" s="54">
        <f>VLOOKUP(_stats[[#This Row],[tournament]],tournaments_n_rules[],4,0)</f>
        <v>46285</v>
      </c>
      <c r="O1667" s="54">
        <f>VLOOKUP(_stats[[#This Row],[tournament]],tournaments_n_rules[],5,0)</f>
        <v>46356</v>
      </c>
    </row>
    <row r="1668" spans="1:15" x14ac:dyDescent="0.25">
      <c r="A1668" s="6">
        <v>46292</v>
      </c>
      <c r="B1668" s="72">
        <v>3</v>
      </c>
      <c r="C1668" s="104" t="s">
        <v>101</v>
      </c>
      <c r="D1668" s="10" t="str">
        <f>IFERROR(VLOOKUP(_stats[[#This Row],[player_id]],_players[[player_id]:[player_name]],2,0),"")</f>
        <v>Фуад</v>
      </c>
      <c r="E1668" s="72">
        <v>1</v>
      </c>
      <c r="F1668" s="102">
        <v>0</v>
      </c>
      <c r="G1668" s="10">
        <f>SUMIFS(_teams[wins_on_date],_teams[date],_stats[[#This Row],[date]],_teams[team_number],_stats[[#This Row],[team_number]])</f>
        <v>1</v>
      </c>
      <c r="H1668" s="10">
        <f>SUMIFS(_teams[draws_on_date],_teams[date],_stats[[#This Row],[date]],_teams[team_number],_stats[[#This Row],[team_number]])</f>
        <v>3</v>
      </c>
      <c r="I1668" s="72">
        <v>0</v>
      </c>
      <c r="J1668" s="104">
        <v>0</v>
      </c>
      <c r="K1668" s="72">
        <v>9</v>
      </c>
      <c r="L1668" s="53">
        <f>VLOOKUP(_stats[[#This Row],[tournament]],tournaments_n_rules[],2,0)</f>
        <v>1747</v>
      </c>
      <c r="M1668" s="53" t="str">
        <f>VLOOKUP(_stats[[#This Row],[tournament]],tournaments_n_rules[],3,0)</f>
        <v>Осень 2026</v>
      </c>
      <c r="N1668" s="54">
        <f>VLOOKUP(_stats[[#This Row],[tournament]],tournaments_n_rules[],4,0)</f>
        <v>46285</v>
      </c>
      <c r="O1668" s="54">
        <f>VLOOKUP(_stats[[#This Row],[tournament]],tournaments_n_rules[],5,0)</f>
        <v>46356</v>
      </c>
    </row>
    <row r="1669" spans="1:15" x14ac:dyDescent="0.25">
      <c r="A1669" s="6">
        <v>46292</v>
      </c>
      <c r="B1669" s="72">
        <v>3</v>
      </c>
      <c r="C1669" s="104" t="s">
        <v>113</v>
      </c>
      <c r="D1669" s="10" t="str">
        <f>IFERROR(VLOOKUP(_stats[[#This Row],[player_id]],_players[[player_id]:[player_name]],2,0),"")</f>
        <v>Намин (Нур+1)</v>
      </c>
      <c r="E1669" s="72">
        <v>1</v>
      </c>
      <c r="F1669" s="102">
        <v>0</v>
      </c>
      <c r="G1669" s="10">
        <f>SUMIFS(_teams[wins_on_date],_teams[date],_stats[[#This Row],[date]],_teams[team_number],_stats[[#This Row],[team_number]])</f>
        <v>1</v>
      </c>
      <c r="H1669" s="10">
        <f>SUMIFS(_teams[draws_on_date],_teams[date],_stats[[#This Row],[date]],_teams[team_number],_stats[[#This Row],[team_number]])</f>
        <v>3</v>
      </c>
      <c r="I1669" s="72">
        <v>0</v>
      </c>
      <c r="J1669" s="104">
        <v>0</v>
      </c>
      <c r="K1669" s="72">
        <v>9</v>
      </c>
      <c r="L1669" s="53">
        <f>VLOOKUP(_stats[[#This Row],[tournament]],tournaments_n_rules[],2,0)</f>
        <v>1747</v>
      </c>
      <c r="M1669" s="53" t="str">
        <f>VLOOKUP(_stats[[#This Row],[tournament]],tournaments_n_rules[],3,0)</f>
        <v>Осень 2026</v>
      </c>
      <c r="N1669" s="54">
        <f>VLOOKUP(_stats[[#This Row],[tournament]],tournaments_n_rules[],4,0)</f>
        <v>46285</v>
      </c>
      <c r="O1669" s="54">
        <f>VLOOKUP(_stats[[#This Row],[tournament]],tournaments_n_rules[],5,0)</f>
        <v>46356</v>
      </c>
    </row>
    <row r="1670" spans="1:15" x14ac:dyDescent="0.25">
      <c r="A1670" s="6">
        <v>46292</v>
      </c>
      <c r="B1670" s="72">
        <v>3</v>
      </c>
      <c r="C1670" s="104" t="s">
        <v>321</v>
      </c>
      <c r="D1670" s="10" t="str">
        <f>IFERROR(VLOOKUP(_stats[[#This Row],[player_id]],_players[[player_id]:[player_name]],2,0),"")</f>
        <v>Роял (Нур+1)</v>
      </c>
      <c r="E1670" s="72">
        <v>0</v>
      </c>
      <c r="F1670" s="102">
        <v>0</v>
      </c>
      <c r="G1670" s="10">
        <f>SUMIFS(_teams[wins_on_date],_teams[date],_stats[[#This Row],[date]],_teams[team_number],_stats[[#This Row],[team_number]])</f>
        <v>1</v>
      </c>
      <c r="H1670" s="10">
        <f>SUMIFS(_teams[draws_on_date],_teams[date],_stats[[#This Row],[date]],_teams[team_number],_stats[[#This Row],[team_number]])</f>
        <v>3</v>
      </c>
      <c r="I1670" s="72">
        <v>0</v>
      </c>
      <c r="J1670" s="104">
        <v>0</v>
      </c>
      <c r="K1670" s="72">
        <v>9</v>
      </c>
      <c r="L1670" s="53">
        <f>VLOOKUP(_stats[[#This Row],[tournament]],tournaments_n_rules[],2,0)</f>
        <v>1747</v>
      </c>
      <c r="M1670" s="53" t="str">
        <f>VLOOKUP(_stats[[#This Row],[tournament]],tournaments_n_rules[],3,0)</f>
        <v>Осень 2026</v>
      </c>
      <c r="N1670" s="54">
        <f>VLOOKUP(_stats[[#This Row],[tournament]],tournaments_n_rules[],4,0)</f>
        <v>46285</v>
      </c>
      <c r="O1670" s="54">
        <f>VLOOKUP(_stats[[#This Row],[tournament]],tournaments_n_rules[],5,0)</f>
        <v>46356</v>
      </c>
    </row>
    <row r="1671" spans="1:15" x14ac:dyDescent="0.25">
      <c r="A1671" s="6">
        <v>46292</v>
      </c>
      <c r="B1671" s="72">
        <v>3</v>
      </c>
      <c r="C1671" s="104" t="s">
        <v>111</v>
      </c>
      <c r="D1671" s="10" t="str">
        <f>IFERROR(VLOOKUP(_stats[[#This Row],[player_id]],_players[[player_id]:[player_name]],2,0),"")</f>
        <v>Дима (Спартак)</v>
      </c>
      <c r="E1671" s="72">
        <v>0</v>
      </c>
      <c r="F1671" s="102">
        <v>0</v>
      </c>
      <c r="G1671" s="10">
        <f>SUMIFS(_teams[wins_on_date],_teams[date],_stats[[#This Row],[date]],_teams[team_number],_stats[[#This Row],[team_number]])</f>
        <v>1</v>
      </c>
      <c r="H1671" s="10">
        <f>SUMIFS(_teams[draws_on_date],_teams[date],_stats[[#This Row],[date]],_teams[team_number],_stats[[#This Row],[team_number]])</f>
        <v>3</v>
      </c>
      <c r="I1671" s="72">
        <v>0</v>
      </c>
      <c r="J1671" s="104">
        <v>0</v>
      </c>
      <c r="K1671" s="72">
        <v>9</v>
      </c>
      <c r="L1671" s="53">
        <f>VLOOKUP(_stats[[#This Row],[tournament]],tournaments_n_rules[],2,0)</f>
        <v>1747</v>
      </c>
      <c r="M1671" s="53" t="str">
        <f>VLOOKUP(_stats[[#This Row],[tournament]],tournaments_n_rules[],3,0)</f>
        <v>Осень 2026</v>
      </c>
      <c r="N1671" s="54">
        <f>VLOOKUP(_stats[[#This Row],[tournament]],tournaments_n_rules[],4,0)</f>
        <v>46285</v>
      </c>
      <c r="O1671" s="54">
        <f>VLOOKUP(_stats[[#This Row],[tournament]],tournaments_n_rules[],5,0)</f>
        <v>46356</v>
      </c>
    </row>
    <row r="1672" spans="1:15" x14ac:dyDescent="0.25">
      <c r="A1672" s="6">
        <v>46292</v>
      </c>
      <c r="B1672" s="72">
        <v>3</v>
      </c>
      <c r="C1672" s="104" t="s">
        <v>322</v>
      </c>
      <c r="D1672" s="10" t="str">
        <f>IFERROR(VLOOKUP(_stats[[#This Row],[player_id]],_players[[player_id]:[player_name]],2,0),"")</f>
        <v>Дима (Богдан+1)</v>
      </c>
      <c r="E1672" s="72">
        <v>0</v>
      </c>
      <c r="F1672" s="102">
        <v>0</v>
      </c>
      <c r="G1672" s="10">
        <f>SUMIFS(_teams[wins_on_date],_teams[date],_stats[[#This Row],[date]],_teams[team_number],_stats[[#This Row],[team_number]])</f>
        <v>1</v>
      </c>
      <c r="H1672" s="10">
        <f>SUMIFS(_teams[draws_on_date],_teams[date],_stats[[#This Row],[date]],_teams[team_number],_stats[[#This Row],[team_number]])</f>
        <v>3</v>
      </c>
      <c r="I1672" s="72">
        <v>0</v>
      </c>
      <c r="J1672" s="104">
        <v>0</v>
      </c>
      <c r="K1672" s="72">
        <v>9</v>
      </c>
      <c r="L1672" s="53">
        <f>VLOOKUP(_stats[[#This Row],[tournament]],tournaments_n_rules[],2,0)</f>
        <v>1747</v>
      </c>
      <c r="M1672" s="53" t="str">
        <f>VLOOKUP(_stats[[#This Row],[tournament]],tournaments_n_rules[],3,0)</f>
        <v>Осень 2026</v>
      </c>
      <c r="N1672" s="54">
        <f>VLOOKUP(_stats[[#This Row],[tournament]],tournaments_n_rules[],4,0)</f>
        <v>46285</v>
      </c>
      <c r="O1672" s="54">
        <f>VLOOKUP(_stats[[#This Row],[tournament]],tournaments_n_rules[],5,0)</f>
        <v>46356</v>
      </c>
    </row>
    <row r="1673" spans="1:15" x14ac:dyDescent="0.25">
      <c r="A1673" s="6">
        <v>46292</v>
      </c>
      <c r="B1673" s="72">
        <v>3</v>
      </c>
      <c r="C1673" s="104" t="s">
        <v>97</v>
      </c>
      <c r="D1673" s="10" t="str">
        <f>IFERROR(VLOOKUP(_stats[[#This Row],[player_id]],_players[[player_id]:[player_name]],2,0),"")</f>
        <v>Умар (Женя+1)</v>
      </c>
      <c r="E1673" s="72">
        <v>2</v>
      </c>
      <c r="F1673" s="102">
        <v>0</v>
      </c>
      <c r="G1673" s="10">
        <f>SUMIFS(_teams[wins_on_date],_teams[date],_stats[[#This Row],[date]],_teams[team_number],_stats[[#This Row],[team_number]])</f>
        <v>1</v>
      </c>
      <c r="H1673" s="10">
        <f>SUMIFS(_teams[draws_on_date],_teams[date],_stats[[#This Row],[date]],_teams[team_number],_stats[[#This Row],[team_number]])</f>
        <v>3</v>
      </c>
      <c r="I1673" s="72">
        <v>0</v>
      </c>
      <c r="J1673" s="104">
        <v>0</v>
      </c>
      <c r="K1673" s="72">
        <v>9</v>
      </c>
      <c r="L1673" s="53">
        <f>VLOOKUP(_stats[[#This Row],[tournament]],tournaments_n_rules[],2,0)</f>
        <v>1747</v>
      </c>
      <c r="M1673" s="53" t="str">
        <f>VLOOKUP(_stats[[#This Row],[tournament]],tournaments_n_rules[],3,0)</f>
        <v>Осень 2026</v>
      </c>
      <c r="N1673" s="54">
        <f>VLOOKUP(_stats[[#This Row],[tournament]],tournaments_n_rules[],4,0)</f>
        <v>46285</v>
      </c>
      <c r="O1673" s="54">
        <f>VLOOKUP(_stats[[#This Row],[tournament]],tournaments_n_rules[],5,0)</f>
        <v>46356</v>
      </c>
    </row>
    <row r="1674" spans="1:15" x14ac:dyDescent="0.25">
      <c r="A1674" s="6">
        <v>46306</v>
      </c>
      <c r="B1674" s="72">
        <v>2</v>
      </c>
      <c r="C1674" s="104" t="s">
        <v>11</v>
      </c>
      <c r="D1674" s="10" t="str">
        <f>IFERROR(VLOOKUP(_stats[[#This Row],[player_id]],_players[[player_id]:[player_name]],2,0),"")</f>
        <v>Сергей Крюков</v>
      </c>
      <c r="E1674" s="72">
        <v>0</v>
      </c>
      <c r="F1674" s="102">
        <v>0</v>
      </c>
      <c r="G1674" s="10">
        <f>SUMIFS(_teams[wins_on_date],_teams[date],_stats[[#This Row],[date]],_teams[team_number],_stats[[#This Row],[team_number]])</f>
        <v>9</v>
      </c>
      <c r="H1674" s="10">
        <f>SUMIFS(_teams[draws_on_date],_teams[date],_stats[[#This Row],[date]],_teams[team_number],_stats[[#This Row],[team_number]])</f>
        <v>2</v>
      </c>
      <c r="I1674" s="72">
        <v>0</v>
      </c>
      <c r="J1674" s="104">
        <v>0</v>
      </c>
      <c r="K1674" s="72">
        <v>9</v>
      </c>
      <c r="L1674" s="53">
        <f>VLOOKUP(_stats[[#This Row],[tournament]],tournaments_n_rules[],2,0)</f>
        <v>1747</v>
      </c>
      <c r="M1674" s="53" t="str">
        <f>VLOOKUP(_stats[[#This Row],[tournament]],tournaments_n_rules[],3,0)</f>
        <v>Осень 2026</v>
      </c>
      <c r="N1674" s="54">
        <f>VLOOKUP(_stats[[#This Row],[tournament]],tournaments_n_rules[],4,0)</f>
        <v>46285</v>
      </c>
      <c r="O1674" s="54">
        <f>VLOOKUP(_stats[[#This Row],[tournament]],tournaments_n_rules[],5,0)</f>
        <v>46356</v>
      </c>
    </row>
    <row r="1675" spans="1:15" x14ac:dyDescent="0.25">
      <c r="A1675" s="6">
        <v>46306</v>
      </c>
      <c r="B1675" s="72">
        <v>1</v>
      </c>
      <c r="C1675" s="104" t="s">
        <v>27</v>
      </c>
      <c r="D1675" s="10" t="str">
        <f>IFERROR(VLOOKUP(_stats[[#This Row],[player_id]],_players[[player_id]:[player_name]],2,0),"")</f>
        <v>Толя Шлаев</v>
      </c>
      <c r="E1675" s="72">
        <v>1</v>
      </c>
      <c r="F1675" s="102">
        <v>0</v>
      </c>
      <c r="G1675" s="10">
        <f>SUMIFS(_teams[wins_on_date],_teams[date],_stats[[#This Row],[date]],_teams[team_number],_stats[[#This Row],[team_number]])</f>
        <v>3</v>
      </c>
      <c r="H1675" s="10">
        <f>SUMIFS(_teams[draws_on_date],_teams[date],_stats[[#This Row],[date]],_teams[team_number],_stats[[#This Row],[team_number]])</f>
        <v>3</v>
      </c>
      <c r="I1675" s="72">
        <v>0</v>
      </c>
      <c r="J1675" s="104">
        <v>1</v>
      </c>
      <c r="K1675" s="72">
        <v>9</v>
      </c>
      <c r="L1675" s="53">
        <f>VLOOKUP(_stats[[#This Row],[tournament]],tournaments_n_rules[],2,0)</f>
        <v>1747</v>
      </c>
      <c r="M1675" s="53" t="str">
        <f>VLOOKUP(_stats[[#This Row],[tournament]],tournaments_n_rules[],3,0)</f>
        <v>Осень 2026</v>
      </c>
      <c r="N1675" s="54">
        <f>VLOOKUP(_stats[[#This Row],[tournament]],tournaments_n_rules[],4,0)</f>
        <v>46285</v>
      </c>
      <c r="O1675" s="54">
        <f>VLOOKUP(_stats[[#This Row],[tournament]],tournaments_n_rules[],5,0)</f>
        <v>46356</v>
      </c>
    </row>
    <row r="1676" spans="1:15" x14ac:dyDescent="0.25">
      <c r="A1676" s="6">
        <v>46306</v>
      </c>
      <c r="B1676" s="72">
        <v>3</v>
      </c>
      <c r="C1676" s="104" t="s">
        <v>153</v>
      </c>
      <c r="D1676" s="10" t="str">
        <f>IFERROR(VLOOKUP(_stats[[#This Row],[player_id]],_players[[player_id]:[player_name]],2,0),"")</f>
        <v>Богдан</v>
      </c>
      <c r="E1676" s="72">
        <v>2</v>
      </c>
      <c r="F1676" s="102">
        <v>0</v>
      </c>
      <c r="G1676" s="10">
        <f>SUMIFS(_teams[wins_on_date],_teams[date],_stats[[#This Row],[date]],_teams[team_number],_stats[[#This Row],[team_number]])</f>
        <v>3</v>
      </c>
      <c r="H1676" s="10">
        <f>SUMIFS(_teams[draws_on_date],_teams[date],_stats[[#This Row],[date]],_teams[team_number],_stats[[#This Row],[team_number]])</f>
        <v>2</v>
      </c>
      <c r="I1676" s="72">
        <v>0</v>
      </c>
      <c r="J1676" s="104">
        <v>1</v>
      </c>
      <c r="K1676" s="72">
        <v>9</v>
      </c>
      <c r="L1676" s="53">
        <f>VLOOKUP(_stats[[#This Row],[tournament]],tournaments_n_rules[],2,0)</f>
        <v>1747</v>
      </c>
      <c r="M1676" s="53" t="str">
        <f>VLOOKUP(_stats[[#This Row],[tournament]],tournaments_n_rules[],3,0)</f>
        <v>Осень 2026</v>
      </c>
      <c r="N1676" s="54">
        <f>VLOOKUP(_stats[[#This Row],[tournament]],tournaments_n_rules[],4,0)</f>
        <v>46285</v>
      </c>
      <c r="O1676" s="54">
        <f>VLOOKUP(_stats[[#This Row],[tournament]],tournaments_n_rules[],5,0)</f>
        <v>46356</v>
      </c>
    </row>
    <row r="1677" spans="1:15" x14ac:dyDescent="0.25">
      <c r="A1677" s="6">
        <v>46306</v>
      </c>
      <c r="B1677" s="72">
        <v>3</v>
      </c>
      <c r="C1677" s="104" t="s">
        <v>314</v>
      </c>
      <c r="D1677" s="10" t="str">
        <f>IFERROR(VLOOKUP(_stats[[#This Row],[player_id]],_players[[player_id]:[player_name]],2,0),"")</f>
        <v>Рашид</v>
      </c>
      <c r="E1677" s="72">
        <v>0</v>
      </c>
      <c r="F1677" s="102">
        <v>0</v>
      </c>
      <c r="G1677" s="10">
        <f>SUMIFS(_teams[wins_on_date],_teams[date],_stats[[#This Row],[date]],_teams[team_number],_stats[[#This Row],[team_number]])</f>
        <v>3</v>
      </c>
      <c r="H1677" s="10">
        <f>SUMIFS(_teams[draws_on_date],_teams[date],_stats[[#This Row],[date]],_teams[team_number],_stats[[#This Row],[team_number]])</f>
        <v>2</v>
      </c>
      <c r="I1677" s="72">
        <v>0</v>
      </c>
      <c r="J1677" s="104">
        <v>0</v>
      </c>
      <c r="K1677" s="72">
        <v>9</v>
      </c>
      <c r="L1677" s="53">
        <f>VLOOKUP(_stats[[#This Row],[tournament]],tournaments_n_rules[],2,0)</f>
        <v>1747</v>
      </c>
      <c r="M1677" s="53" t="str">
        <f>VLOOKUP(_stats[[#This Row],[tournament]],tournaments_n_rules[],3,0)</f>
        <v>Осень 2026</v>
      </c>
      <c r="N1677" s="54">
        <f>VLOOKUP(_stats[[#This Row],[tournament]],tournaments_n_rules[],4,0)</f>
        <v>46285</v>
      </c>
      <c r="O1677" s="54">
        <f>VLOOKUP(_stats[[#This Row],[tournament]],tournaments_n_rules[],5,0)</f>
        <v>46356</v>
      </c>
    </row>
    <row r="1678" spans="1:15" x14ac:dyDescent="0.25">
      <c r="A1678" s="6">
        <v>46306</v>
      </c>
      <c r="B1678" s="72">
        <v>2</v>
      </c>
      <c r="C1678" s="104" t="s">
        <v>8</v>
      </c>
      <c r="D1678" s="10" t="str">
        <f>IFERROR(VLOOKUP(_stats[[#This Row],[player_id]],_players[[player_id]:[player_name]],2,0),"")</f>
        <v>Костя</v>
      </c>
      <c r="E1678" s="72">
        <v>4</v>
      </c>
      <c r="F1678" s="102">
        <v>3</v>
      </c>
      <c r="G1678" s="10">
        <f>SUMIFS(_teams[wins_on_date],_teams[date],_stats[[#This Row],[date]],_teams[team_number],_stats[[#This Row],[team_number]])</f>
        <v>9</v>
      </c>
      <c r="H1678" s="10">
        <f>SUMIFS(_teams[draws_on_date],_teams[date],_stats[[#This Row],[date]],_teams[team_number],_stats[[#This Row],[team_number]])</f>
        <v>2</v>
      </c>
      <c r="I1678" s="72">
        <v>0</v>
      </c>
      <c r="J1678" s="104">
        <v>1</v>
      </c>
      <c r="K1678" s="72">
        <v>9</v>
      </c>
      <c r="L1678" s="53">
        <f>VLOOKUP(_stats[[#This Row],[tournament]],tournaments_n_rules[],2,0)</f>
        <v>1747</v>
      </c>
      <c r="M1678" s="53" t="str">
        <f>VLOOKUP(_stats[[#This Row],[tournament]],tournaments_n_rules[],3,0)</f>
        <v>Осень 2026</v>
      </c>
      <c r="N1678" s="54">
        <f>VLOOKUP(_stats[[#This Row],[tournament]],tournaments_n_rules[],4,0)</f>
        <v>46285</v>
      </c>
      <c r="O1678" s="54">
        <f>VLOOKUP(_stats[[#This Row],[tournament]],tournaments_n_rules[],5,0)</f>
        <v>46356</v>
      </c>
    </row>
    <row r="1679" spans="1:15" x14ac:dyDescent="0.25">
      <c r="A1679" s="6">
        <v>46306</v>
      </c>
      <c r="B1679" s="72">
        <v>1</v>
      </c>
      <c r="C1679" s="104" t="s">
        <v>19</v>
      </c>
      <c r="D1679" s="10" t="str">
        <f>IFERROR(VLOOKUP(_stats[[#This Row],[player_id]],_players[[player_id]:[player_name]],2,0),"")</f>
        <v>Олег Шишкин</v>
      </c>
      <c r="E1679" s="72">
        <v>0</v>
      </c>
      <c r="F1679" s="102">
        <v>0</v>
      </c>
      <c r="G1679" s="10">
        <f>SUMIFS(_teams[wins_on_date],_teams[date],_stats[[#This Row],[date]],_teams[team_number],_stats[[#This Row],[team_number]])</f>
        <v>3</v>
      </c>
      <c r="H1679" s="10">
        <f>SUMIFS(_teams[draws_on_date],_teams[date],_stats[[#This Row],[date]],_teams[team_number],_stats[[#This Row],[team_number]])</f>
        <v>3</v>
      </c>
      <c r="I1679" s="72">
        <v>0</v>
      </c>
      <c r="J1679" s="104">
        <v>0</v>
      </c>
      <c r="K1679" s="72">
        <v>9</v>
      </c>
      <c r="L1679" s="53">
        <f>VLOOKUP(_stats[[#This Row],[tournament]],tournaments_n_rules[],2,0)</f>
        <v>1747</v>
      </c>
      <c r="M1679" s="53" t="str">
        <f>VLOOKUP(_stats[[#This Row],[tournament]],tournaments_n_rules[],3,0)</f>
        <v>Осень 2026</v>
      </c>
      <c r="N1679" s="54">
        <f>VLOOKUP(_stats[[#This Row],[tournament]],tournaments_n_rules[],4,0)</f>
        <v>46285</v>
      </c>
      <c r="O1679" s="54">
        <f>VLOOKUP(_stats[[#This Row],[tournament]],tournaments_n_rules[],5,0)</f>
        <v>46356</v>
      </c>
    </row>
    <row r="1680" spans="1:15" x14ac:dyDescent="0.25">
      <c r="A1680" s="6">
        <v>46306</v>
      </c>
      <c r="B1680" s="72">
        <v>1</v>
      </c>
      <c r="C1680" s="104" t="s">
        <v>48</v>
      </c>
      <c r="D1680" s="10" t="str">
        <f>IFERROR(VLOOKUP(_stats[[#This Row],[player_id]],_players[[player_id]:[player_name]],2,0),"")</f>
        <v>Андрей (АК+1)</v>
      </c>
      <c r="E1680" s="72">
        <v>0</v>
      </c>
      <c r="F1680" s="102">
        <v>0</v>
      </c>
      <c r="G1680" s="10">
        <f>SUMIFS(_teams[wins_on_date],_teams[date],_stats[[#This Row],[date]],_teams[team_number],_stats[[#This Row],[team_number]])</f>
        <v>3</v>
      </c>
      <c r="H1680" s="10">
        <f>SUMIFS(_teams[draws_on_date],_teams[date],_stats[[#This Row],[date]],_teams[team_number],_stats[[#This Row],[team_number]])</f>
        <v>3</v>
      </c>
      <c r="I1680" s="72">
        <v>0</v>
      </c>
      <c r="J1680" s="104">
        <v>0</v>
      </c>
      <c r="K1680" s="72">
        <v>9</v>
      </c>
      <c r="L1680" s="53">
        <f>VLOOKUP(_stats[[#This Row],[tournament]],tournaments_n_rules[],2,0)</f>
        <v>1747</v>
      </c>
      <c r="M1680" s="53" t="str">
        <f>VLOOKUP(_stats[[#This Row],[tournament]],tournaments_n_rules[],3,0)</f>
        <v>Осень 2026</v>
      </c>
      <c r="N1680" s="54">
        <f>VLOOKUP(_stats[[#This Row],[tournament]],tournaments_n_rules[],4,0)</f>
        <v>46285</v>
      </c>
      <c r="O1680" s="54">
        <f>VLOOKUP(_stats[[#This Row],[tournament]],tournaments_n_rules[],5,0)</f>
        <v>46356</v>
      </c>
    </row>
    <row r="1681" spans="1:15" x14ac:dyDescent="0.25">
      <c r="A1681" s="6">
        <v>46306</v>
      </c>
      <c r="B1681" s="72">
        <v>3</v>
      </c>
      <c r="C1681" s="104" t="s">
        <v>69</v>
      </c>
      <c r="D1681" s="10" t="str">
        <f>IFERROR(VLOOKUP(_stats[[#This Row],[player_id]],_players[[player_id]:[player_name]],2,0),"")</f>
        <v>Анашкин</v>
      </c>
      <c r="E1681" s="72">
        <v>1</v>
      </c>
      <c r="F1681" s="102">
        <v>0</v>
      </c>
      <c r="G1681" s="10">
        <f>SUMIFS(_teams[wins_on_date],_teams[date],_stats[[#This Row],[date]],_teams[team_number],_stats[[#This Row],[team_number]])</f>
        <v>3</v>
      </c>
      <c r="H1681" s="10">
        <f>SUMIFS(_teams[draws_on_date],_teams[date],_stats[[#This Row],[date]],_teams[team_number],_stats[[#This Row],[team_number]])</f>
        <v>2</v>
      </c>
      <c r="I1681" s="72">
        <v>0</v>
      </c>
      <c r="J1681" s="104">
        <v>1</v>
      </c>
      <c r="K1681" s="72">
        <v>9</v>
      </c>
      <c r="L1681" s="53">
        <f>VLOOKUP(_stats[[#This Row],[tournament]],tournaments_n_rules[],2,0)</f>
        <v>1747</v>
      </c>
      <c r="M1681" s="53" t="str">
        <f>VLOOKUP(_stats[[#This Row],[tournament]],tournaments_n_rules[],3,0)</f>
        <v>Осень 2026</v>
      </c>
      <c r="N1681" s="54">
        <f>VLOOKUP(_stats[[#This Row],[tournament]],tournaments_n_rules[],4,0)</f>
        <v>46285</v>
      </c>
      <c r="O1681" s="54">
        <f>VLOOKUP(_stats[[#This Row],[tournament]],tournaments_n_rules[],5,0)</f>
        <v>46356</v>
      </c>
    </row>
    <row r="1682" spans="1:15" x14ac:dyDescent="0.25">
      <c r="A1682" s="6">
        <v>46306</v>
      </c>
      <c r="B1682" s="72">
        <v>2</v>
      </c>
      <c r="C1682" s="104" t="s">
        <v>142</v>
      </c>
      <c r="D1682" s="10" t="str">
        <f>IFERROR(VLOOKUP(_stats[[#This Row],[player_id]],_players[[player_id]:[player_name]],2,0),"")</f>
        <v>Сурэн</v>
      </c>
      <c r="E1682" s="72">
        <v>1</v>
      </c>
      <c r="F1682" s="102">
        <v>3</v>
      </c>
      <c r="G1682" s="10">
        <f>SUMIFS(_teams[wins_on_date],_teams[date],_stats[[#This Row],[date]],_teams[team_number],_stats[[#This Row],[team_number]])</f>
        <v>9</v>
      </c>
      <c r="H1682" s="10">
        <f>SUMIFS(_teams[draws_on_date],_teams[date],_stats[[#This Row],[date]],_teams[team_number],_stats[[#This Row],[team_number]])</f>
        <v>2</v>
      </c>
      <c r="I1682" s="72">
        <v>0</v>
      </c>
      <c r="J1682" s="104">
        <v>0</v>
      </c>
      <c r="K1682" s="72">
        <v>9</v>
      </c>
      <c r="L1682" s="53">
        <f>VLOOKUP(_stats[[#This Row],[tournament]],tournaments_n_rules[],2,0)</f>
        <v>1747</v>
      </c>
      <c r="M1682" s="53" t="str">
        <f>VLOOKUP(_stats[[#This Row],[tournament]],tournaments_n_rules[],3,0)</f>
        <v>Осень 2026</v>
      </c>
      <c r="N1682" s="54">
        <f>VLOOKUP(_stats[[#This Row],[tournament]],tournaments_n_rules[],4,0)</f>
        <v>46285</v>
      </c>
      <c r="O1682" s="54">
        <f>VLOOKUP(_stats[[#This Row],[tournament]],tournaments_n_rules[],5,0)</f>
        <v>46356</v>
      </c>
    </row>
    <row r="1683" spans="1:15" x14ac:dyDescent="0.25">
      <c r="A1683" s="6">
        <v>46306</v>
      </c>
      <c r="B1683" s="72">
        <v>1</v>
      </c>
      <c r="C1683" s="104" t="s">
        <v>17</v>
      </c>
      <c r="D1683" s="10" t="str">
        <f>IFERROR(VLOOKUP(_stats[[#This Row],[player_id]],_players[[player_id]:[player_name]],2,0),"")</f>
        <v>Юра Пименов</v>
      </c>
      <c r="E1683" s="72">
        <v>1</v>
      </c>
      <c r="F1683" s="102">
        <v>3</v>
      </c>
      <c r="G1683" s="10">
        <f>SUMIFS(_teams[wins_on_date],_teams[date],_stats[[#This Row],[date]],_teams[team_number],_stats[[#This Row],[team_number]])</f>
        <v>3</v>
      </c>
      <c r="H1683" s="10">
        <f>SUMIFS(_teams[draws_on_date],_teams[date],_stats[[#This Row],[date]],_teams[team_number],_stats[[#This Row],[team_number]])</f>
        <v>3</v>
      </c>
      <c r="I1683" s="72">
        <v>0</v>
      </c>
      <c r="J1683" s="104">
        <v>0</v>
      </c>
      <c r="K1683" s="72">
        <v>9</v>
      </c>
      <c r="L1683" s="53">
        <f>VLOOKUP(_stats[[#This Row],[tournament]],tournaments_n_rules[],2,0)</f>
        <v>1747</v>
      </c>
      <c r="M1683" s="53" t="str">
        <f>VLOOKUP(_stats[[#This Row],[tournament]],tournaments_n_rules[],3,0)</f>
        <v>Осень 2026</v>
      </c>
      <c r="N1683" s="54">
        <f>VLOOKUP(_stats[[#This Row],[tournament]],tournaments_n_rules[],4,0)</f>
        <v>46285</v>
      </c>
      <c r="O1683" s="54">
        <f>VLOOKUP(_stats[[#This Row],[tournament]],tournaments_n_rules[],5,0)</f>
        <v>46356</v>
      </c>
    </row>
    <row r="1684" spans="1:15" x14ac:dyDescent="0.25">
      <c r="A1684" s="6">
        <v>46306</v>
      </c>
      <c r="B1684" s="72">
        <v>3</v>
      </c>
      <c r="C1684" s="104" t="s">
        <v>125</v>
      </c>
      <c r="D1684" s="10" t="str">
        <f>IFERROR(VLOOKUP(_stats[[#This Row],[player_id]],_players[[player_id]:[player_name]],2,0),"")</f>
        <v>Арги</v>
      </c>
      <c r="E1684" s="72">
        <v>0</v>
      </c>
      <c r="F1684" s="102">
        <v>0</v>
      </c>
      <c r="G1684" s="10">
        <f>SUMIFS(_teams[wins_on_date],_teams[date],_stats[[#This Row],[date]],_teams[team_number],_stats[[#This Row],[team_number]])</f>
        <v>3</v>
      </c>
      <c r="H1684" s="10">
        <f>SUMIFS(_teams[draws_on_date],_teams[date],_stats[[#This Row],[date]],_teams[team_number],_stats[[#This Row],[team_number]])</f>
        <v>2</v>
      </c>
      <c r="I1684" s="72">
        <v>0</v>
      </c>
      <c r="J1684" s="104">
        <v>0</v>
      </c>
      <c r="K1684" s="72">
        <v>9</v>
      </c>
      <c r="L1684" s="53">
        <f>VLOOKUP(_stats[[#This Row],[tournament]],tournaments_n_rules[],2,0)</f>
        <v>1747</v>
      </c>
      <c r="M1684" s="53" t="str">
        <f>VLOOKUP(_stats[[#This Row],[tournament]],tournaments_n_rules[],3,0)</f>
        <v>Осень 2026</v>
      </c>
      <c r="N1684" s="54">
        <f>VLOOKUP(_stats[[#This Row],[tournament]],tournaments_n_rules[],4,0)</f>
        <v>46285</v>
      </c>
      <c r="O1684" s="54">
        <f>VLOOKUP(_stats[[#This Row],[tournament]],tournaments_n_rules[],5,0)</f>
        <v>46356</v>
      </c>
    </row>
    <row r="1685" spans="1:15" x14ac:dyDescent="0.25">
      <c r="A1685" s="6">
        <v>46306</v>
      </c>
      <c r="B1685" s="72">
        <v>1</v>
      </c>
      <c r="C1685" s="104" t="s">
        <v>64</v>
      </c>
      <c r="D1685" s="10" t="str">
        <f>IFERROR(VLOOKUP(_stats[[#This Row],[player_id]],_players[[player_id]:[player_name]],2,0),"")</f>
        <v>Никита (АК+1)</v>
      </c>
      <c r="E1685" s="72">
        <v>5</v>
      </c>
      <c r="F1685" s="102">
        <v>0</v>
      </c>
      <c r="G1685" s="10">
        <f>SUMIFS(_teams[wins_on_date],_teams[date],_stats[[#This Row],[date]],_teams[team_number],_stats[[#This Row],[team_number]])</f>
        <v>3</v>
      </c>
      <c r="H1685" s="10">
        <f>SUMIFS(_teams[draws_on_date],_teams[date],_stats[[#This Row],[date]],_teams[team_number],_stats[[#This Row],[team_number]])</f>
        <v>3</v>
      </c>
      <c r="I1685" s="72">
        <v>0</v>
      </c>
      <c r="J1685" s="104">
        <v>0</v>
      </c>
      <c r="K1685" s="72">
        <v>9</v>
      </c>
      <c r="L1685" s="53">
        <f>VLOOKUP(_stats[[#This Row],[tournament]],tournaments_n_rules[],2,0)</f>
        <v>1747</v>
      </c>
      <c r="M1685" s="53" t="str">
        <f>VLOOKUP(_stats[[#This Row],[tournament]],tournaments_n_rules[],3,0)</f>
        <v>Осень 2026</v>
      </c>
      <c r="N1685" s="54">
        <f>VLOOKUP(_stats[[#This Row],[tournament]],tournaments_n_rules[],4,0)</f>
        <v>46285</v>
      </c>
      <c r="O1685" s="54">
        <f>VLOOKUP(_stats[[#This Row],[tournament]],tournaments_n_rules[],5,0)</f>
        <v>46356</v>
      </c>
    </row>
    <row r="1686" spans="1:15" x14ac:dyDescent="0.25">
      <c r="A1686" s="6">
        <v>46306</v>
      </c>
      <c r="B1686" s="72">
        <v>4</v>
      </c>
      <c r="C1686" s="104" t="s">
        <v>97</v>
      </c>
      <c r="D1686" s="10" t="str">
        <f>IFERROR(VLOOKUP(_stats[[#This Row],[player_id]],_players[[player_id]:[player_name]],2,0),"")</f>
        <v>Умар (Женя+1)</v>
      </c>
      <c r="E1686" s="72">
        <v>2</v>
      </c>
      <c r="F1686" s="102">
        <v>2</v>
      </c>
      <c r="G1686" s="10">
        <f>SUMIFS(_teams[wins_on_date],_teams[date],_stats[[#This Row],[date]],_teams[team_number],_stats[[#This Row],[team_number]])</f>
        <v>1</v>
      </c>
      <c r="H1686" s="10">
        <f>SUMIFS(_teams[draws_on_date],_teams[date],_stats[[#This Row],[date]],_teams[team_number],_stats[[#This Row],[team_number]])</f>
        <v>1</v>
      </c>
      <c r="I1686" s="72">
        <v>0</v>
      </c>
      <c r="J1686" s="104">
        <v>0</v>
      </c>
      <c r="K1686" s="72">
        <v>9</v>
      </c>
      <c r="L1686" s="53">
        <f>VLOOKUP(_stats[[#This Row],[tournament]],tournaments_n_rules[],2,0)</f>
        <v>1747</v>
      </c>
      <c r="M1686" s="53" t="str">
        <f>VLOOKUP(_stats[[#This Row],[tournament]],tournaments_n_rules[],3,0)</f>
        <v>Осень 2026</v>
      </c>
      <c r="N1686" s="54">
        <f>VLOOKUP(_stats[[#This Row],[tournament]],tournaments_n_rules[],4,0)</f>
        <v>46285</v>
      </c>
      <c r="O1686" s="54">
        <f>VLOOKUP(_stats[[#This Row],[tournament]],tournaments_n_rules[],5,0)</f>
        <v>46356</v>
      </c>
    </row>
    <row r="1687" spans="1:15" x14ac:dyDescent="0.25">
      <c r="A1687" s="6">
        <v>46306</v>
      </c>
      <c r="B1687" s="72">
        <v>3</v>
      </c>
      <c r="C1687" s="104" t="s">
        <v>22</v>
      </c>
      <c r="D1687" s="10" t="str">
        <f>IFERROR(VLOOKUP(_stats[[#This Row],[player_id]],_players[[player_id]:[player_name]],2,0),"")</f>
        <v>Расул</v>
      </c>
      <c r="E1687" s="72">
        <v>0</v>
      </c>
      <c r="F1687" s="102">
        <v>2</v>
      </c>
      <c r="G1687" s="10">
        <f>SUMIFS(_teams[wins_on_date],_teams[date],_stats[[#This Row],[date]],_teams[team_number],_stats[[#This Row],[team_number]])</f>
        <v>3</v>
      </c>
      <c r="H1687" s="10">
        <f>SUMIFS(_teams[draws_on_date],_teams[date],_stats[[#This Row],[date]],_teams[team_number],_stats[[#This Row],[team_number]])</f>
        <v>2</v>
      </c>
      <c r="I1687" s="72">
        <v>0</v>
      </c>
      <c r="J1687" s="104">
        <v>0</v>
      </c>
      <c r="K1687" s="72">
        <v>9</v>
      </c>
      <c r="L1687" s="53">
        <f>VLOOKUP(_stats[[#This Row],[tournament]],tournaments_n_rules[],2,0)</f>
        <v>1747</v>
      </c>
      <c r="M1687" s="53" t="str">
        <f>VLOOKUP(_stats[[#This Row],[tournament]],tournaments_n_rules[],3,0)</f>
        <v>Осень 2026</v>
      </c>
      <c r="N1687" s="54">
        <f>VLOOKUP(_stats[[#This Row],[tournament]],tournaments_n_rules[],4,0)</f>
        <v>46285</v>
      </c>
      <c r="O1687" s="54">
        <f>VLOOKUP(_stats[[#This Row],[tournament]],tournaments_n_rules[],5,0)</f>
        <v>46356</v>
      </c>
    </row>
    <row r="1688" spans="1:15" x14ac:dyDescent="0.25">
      <c r="A1688" s="6">
        <v>46306</v>
      </c>
      <c r="B1688" s="72">
        <v>2</v>
      </c>
      <c r="C1688" s="104" t="s">
        <v>320</v>
      </c>
      <c r="D1688" s="10" t="str">
        <f>IFERROR(VLOOKUP(_stats[[#This Row],[player_id]],_players[[player_id]:[player_name]],2,0),"")</f>
        <v>Сокол</v>
      </c>
      <c r="E1688" s="72">
        <v>1</v>
      </c>
      <c r="F1688" s="102">
        <v>1</v>
      </c>
      <c r="G1688" s="10">
        <f>SUMIFS(_teams[wins_on_date],_teams[date],_stats[[#This Row],[date]],_teams[team_number],_stats[[#This Row],[team_number]])</f>
        <v>9</v>
      </c>
      <c r="H1688" s="10">
        <f>SUMIFS(_teams[draws_on_date],_teams[date],_stats[[#This Row],[date]],_teams[team_number],_stats[[#This Row],[team_number]])</f>
        <v>2</v>
      </c>
      <c r="I1688" s="72">
        <v>0</v>
      </c>
      <c r="J1688" s="104">
        <v>0</v>
      </c>
      <c r="K1688" s="72">
        <v>9</v>
      </c>
      <c r="L1688" s="53">
        <f>VLOOKUP(_stats[[#This Row],[tournament]],tournaments_n_rules[],2,0)</f>
        <v>1747</v>
      </c>
      <c r="M1688" s="53" t="str">
        <f>VLOOKUP(_stats[[#This Row],[tournament]],tournaments_n_rules[],3,0)</f>
        <v>Осень 2026</v>
      </c>
      <c r="N1688" s="54">
        <f>VLOOKUP(_stats[[#This Row],[tournament]],tournaments_n_rules[],4,0)</f>
        <v>46285</v>
      </c>
      <c r="O1688" s="54">
        <f>VLOOKUP(_stats[[#This Row],[tournament]],tournaments_n_rules[],5,0)</f>
        <v>46356</v>
      </c>
    </row>
    <row r="1689" spans="1:15" x14ac:dyDescent="0.25">
      <c r="A1689" s="6">
        <v>46306</v>
      </c>
      <c r="B1689" s="72">
        <v>3</v>
      </c>
      <c r="C1689" s="104" t="s">
        <v>135</v>
      </c>
      <c r="D1689" s="10" t="str">
        <f>IFERROR(VLOOKUP(_stats[[#This Row],[player_id]],_players[[player_id]:[player_name]],2,0),"")</f>
        <v>Мага (Руб+1)</v>
      </c>
      <c r="E1689" s="72">
        <v>1</v>
      </c>
      <c r="F1689" s="102">
        <v>1</v>
      </c>
      <c r="G1689" s="10">
        <f>SUMIFS(_teams[wins_on_date],_teams[date],_stats[[#This Row],[date]],_teams[team_number],_stats[[#This Row],[team_number]])</f>
        <v>3</v>
      </c>
      <c r="H1689" s="10">
        <f>SUMIFS(_teams[draws_on_date],_teams[date],_stats[[#This Row],[date]],_teams[team_number],_stats[[#This Row],[team_number]])</f>
        <v>2</v>
      </c>
      <c r="I1689" s="72">
        <v>1</v>
      </c>
      <c r="J1689" s="104">
        <v>0</v>
      </c>
      <c r="K1689" s="72">
        <v>9</v>
      </c>
      <c r="L1689" s="53">
        <f>VLOOKUP(_stats[[#This Row],[tournament]],tournaments_n_rules[],2,0)</f>
        <v>1747</v>
      </c>
      <c r="M1689" s="53" t="str">
        <f>VLOOKUP(_stats[[#This Row],[tournament]],tournaments_n_rules[],3,0)</f>
        <v>Осень 2026</v>
      </c>
      <c r="N1689" s="54">
        <f>VLOOKUP(_stats[[#This Row],[tournament]],tournaments_n_rules[],4,0)</f>
        <v>46285</v>
      </c>
      <c r="O1689" s="54">
        <f>VLOOKUP(_stats[[#This Row],[tournament]],tournaments_n_rules[],5,0)</f>
        <v>46356</v>
      </c>
    </row>
    <row r="1690" spans="1:15" x14ac:dyDescent="0.25">
      <c r="A1690" s="6">
        <v>46306</v>
      </c>
      <c r="B1690" s="72">
        <v>3</v>
      </c>
      <c r="C1690" s="104" t="s">
        <v>13</v>
      </c>
      <c r="D1690" s="10" t="str">
        <f>IFERROR(VLOOKUP(_stats[[#This Row],[player_id]],_players[[player_id]:[player_name]],2,0),"")</f>
        <v>Нурик</v>
      </c>
      <c r="E1690" s="72">
        <v>3</v>
      </c>
      <c r="F1690" s="102">
        <v>1</v>
      </c>
      <c r="G1690" s="10">
        <f>SUMIFS(_teams[wins_on_date],_teams[date],_stats[[#This Row],[date]],_teams[team_number],_stats[[#This Row],[team_number]])</f>
        <v>3</v>
      </c>
      <c r="H1690" s="10">
        <f>SUMIFS(_teams[draws_on_date],_teams[date],_stats[[#This Row],[date]],_teams[team_number],_stats[[#This Row],[team_number]])</f>
        <v>2</v>
      </c>
      <c r="I1690" s="72">
        <v>0</v>
      </c>
      <c r="J1690" s="104">
        <v>0</v>
      </c>
      <c r="K1690" s="72">
        <v>9</v>
      </c>
      <c r="L1690" s="53">
        <f>VLOOKUP(_stats[[#This Row],[tournament]],tournaments_n_rules[],2,0)</f>
        <v>1747</v>
      </c>
      <c r="M1690" s="53" t="str">
        <f>VLOOKUP(_stats[[#This Row],[tournament]],tournaments_n_rules[],3,0)</f>
        <v>Осень 2026</v>
      </c>
      <c r="N1690" s="54">
        <f>VLOOKUP(_stats[[#This Row],[tournament]],tournaments_n_rules[],4,0)</f>
        <v>46285</v>
      </c>
      <c r="O1690" s="54">
        <f>VLOOKUP(_stats[[#This Row],[tournament]],tournaments_n_rules[],5,0)</f>
        <v>46356</v>
      </c>
    </row>
    <row r="1691" spans="1:15" x14ac:dyDescent="0.25">
      <c r="A1691" s="6">
        <v>46306</v>
      </c>
      <c r="B1691" s="72">
        <v>1</v>
      </c>
      <c r="C1691" s="104" t="s">
        <v>30</v>
      </c>
      <c r="D1691" s="10" t="str">
        <f>IFERROR(VLOOKUP(_stats[[#This Row],[player_id]],_players[[player_id]:[player_name]],2,0),"")</f>
        <v>Кирилл Попов</v>
      </c>
      <c r="E1691" s="72">
        <v>1</v>
      </c>
      <c r="F1691" s="102">
        <v>1</v>
      </c>
      <c r="G1691" s="10">
        <f>SUMIFS(_teams[wins_on_date],_teams[date],_stats[[#This Row],[date]],_teams[team_number],_stats[[#This Row],[team_number]])</f>
        <v>3</v>
      </c>
      <c r="H1691" s="10">
        <f>SUMIFS(_teams[draws_on_date],_teams[date],_stats[[#This Row],[date]],_teams[team_number],_stats[[#This Row],[team_number]])</f>
        <v>3</v>
      </c>
      <c r="I1691" s="72">
        <v>0</v>
      </c>
      <c r="J1691" s="104">
        <v>0</v>
      </c>
      <c r="K1691" s="72">
        <v>9</v>
      </c>
      <c r="L1691" s="53">
        <f>VLOOKUP(_stats[[#This Row],[tournament]],tournaments_n_rules[],2,0)</f>
        <v>1747</v>
      </c>
      <c r="M1691" s="53" t="str">
        <f>VLOOKUP(_stats[[#This Row],[tournament]],tournaments_n_rules[],3,0)</f>
        <v>Осень 2026</v>
      </c>
      <c r="N1691" s="54">
        <f>VLOOKUP(_stats[[#This Row],[tournament]],tournaments_n_rules[],4,0)</f>
        <v>46285</v>
      </c>
      <c r="O1691" s="54">
        <f>VLOOKUP(_stats[[#This Row],[tournament]],tournaments_n_rules[],5,0)</f>
        <v>46356</v>
      </c>
    </row>
    <row r="1692" spans="1:15" x14ac:dyDescent="0.25">
      <c r="A1692" s="6">
        <v>46306</v>
      </c>
      <c r="B1692" s="72">
        <v>2</v>
      </c>
      <c r="C1692" s="104" t="s">
        <v>157</v>
      </c>
      <c r="D1692" s="10" t="str">
        <f>IFERROR(VLOOKUP(_stats[[#This Row],[player_id]],_players[[player_id]:[player_name]],2,0),"")</f>
        <v>Никита (Сурэн+1)</v>
      </c>
      <c r="E1692" s="72">
        <v>4</v>
      </c>
      <c r="F1692" s="102">
        <v>1</v>
      </c>
      <c r="G1692" s="10">
        <f>SUMIFS(_teams[wins_on_date],_teams[date],_stats[[#This Row],[date]],_teams[team_number],_stats[[#This Row],[team_number]])</f>
        <v>9</v>
      </c>
      <c r="H1692" s="10">
        <f>SUMIFS(_teams[draws_on_date],_teams[date],_stats[[#This Row],[date]],_teams[team_number],_stats[[#This Row],[team_number]])</f>
        <v>2</v>
      </c>
      <c r="I1692" s="72">
        <v>0</v>
      </c>
      <c r="J1692" s="104">
        <v>0</v>
      </c>
      <c r="K1692" s="72">
        <v>9</v>
      </c>
      <c r="L1692" s="53">
        <f>VLOOKUP(_stats[[#This Row],[tournament]],tournaments_n_rules[],2,0)</f>
        <v>1747</v>
      </c>
      <c r="M1692" s="53" t="str">
        <f>VLOOKUP(_stats[[#This Row],[tournament]],tournaments_n_rules[],3,0)</f>
        <v>Осень 2026</v>
      </c>
      <c r="N1692" s="54">
        <f>VLOOKUP(_stats[[#This Row],[tournament]],tournaments_n_rules[],4,0)</f>
        <v>46285</v>
      </c>
      <c r="O1692" s="54">
        <f>VLOOKUP(_stats[[#This Row],[tournament]],tournaments_n_rules[],5,0)</f>
        <v>46356</v>
      </c>
    </row>
    <row r="1693" spans="1:15" x14ac:dyDescent="0.25">
      <c r="A1693" s="6">
        <v>46306</v>
      </c>
      <c r="B1693" s="72">
        <v>1</v>
      </c>
      <c r="C1693" s="104" t="s">
        <v>26</v>
      </c>
      <c r="D1693" s="10" t="str">
        <f>IFERROR(VLOOKUP(_stats[[#This Row],[player_id]],_players[[player_id]:[player_name]],2,0),"")</f>
        <v>Игорь Фомичев</v>
      </c>
      <c r="E1693" s="72">
        <v>0</v>
      </c>
      <c r="F1693" s="102">
        <v>0</v>
      </c>
      <c r="G1693" s="10">
        <f>SUMIFS(_teams[wins_on_date],_teams[date],_stats[[#This Row],[date]],_teams[team_number],_stats[[#This Row],[team_number]])</f>
        <v>3</v>
      </c>
      <c r="H1693" s="10">
        <f>SUMIFS(_teams[draws_on_date],_teams[date],_stats[[#This Row],[date]],_teams[team_number],_stats[[#This Row],[team_number]])</f>
        <v>3</v>
      </c>
      <c r="I1693" s="72">
        <v>0</v>
      </c>
      <c r="J1693" s="104">
        <v>0</v>
      </c>
      <c r="K1693" s="72">
        <v>9</v>
      </c>
      <c r="L1693" s="53">
        <f>VLOOKUP(_stats[[#This Row],[tournament]],tournaments_n_rules[],2,0)</f>
        <v>1747</v>
      </c>
      <c r="M1693" s="53" t="str">
        <f>VLOOKUP(_stats[[#This Row],[tournament]],tournaments_n_rules[],3,0)</f>
        <v>Осень 2026</v>
      </c>
      <c r="N1693" s="54">
        <f>VLOOKUP(_stats[[#This Row],[tournament]],tournaments_n_rules[],4,0)</f>
        <v>46285</v>
      </c>
      <c r="O1693" s="54">
        <f>VLOOKUP(_stats[[#This Row],[tournament]],tournaments_n_rules[],5,0)</f>
        <v>46356</v>
      </c>
    </row>
    <row r="1694" spans="1:15" x14ac:dyDescent="0.25">
      <c r="A1694" s="6">
        <v>46306</v>
      </c>
      <c r="B1694" s="72">
        <v>4</v>
      </c>
      <c r="C1694" s="104" t="s">
        <v>323</v>
      </c>
      <c r="D1694" s="10" t="str">
        <f>IFERROR(VLOOKUP(_stats[[#This Row],[player_id]],_players[[player_id]:[player_name]],2,0),"")</f>
        <v>Дима (Рашид+1)</v>
      </c>
      <c r="E1694" s="72">
        <v>0</v>
      </c>
      <c r="F1694" s="102">
        <v>0</v>
      </c>
      <c r="G1694" s="10">
        <f>SUMIFS(_teams[wins_on_date],_teams[date],_stats[[#This Row],[date]],_teams[team_number],_stats[[#This Row],[team_number]])</f>
        <v>1</v>
      </c>
      <c r="H1694" s="10">
        <f>SUMIFS(_teams[draws_on_date],_teams[date],_stats[[#This Row],[date]],_teams[team_number],_stats[[#This Row],[team_number]])</f>
        <v>1</v>
      </c>
      <c r="I1694" s="72">
        <v>0</v>
      </c>
      <c r="J1694" s="104">
        <v>0</v>
      </c>
      <c r="K1694" s="72">
        <v>9</v>
      </c>
      <c r="L1694" s="53">
        <f>VLOOKUP(_stats[[#This Row],[tournament]],tournaments_n_rules[],2,0)</f>
        <v>1747</v>
      </c>
      <c r="M1694" s="53" t="str">
        <f>VLOOKUP(_stats[[#This Row],[tournament]],tournaments_n_rules[],3,0)</f>
        <v>Осень 2026</v>
      </c>
      <c r="N1694" s="54">
        <f>VLOOKUP(_stats[[#This Row],[tournament]],tournaments_n_rules[],4,0)</f>
        <v>46285</v>
      </c>
      <c r="O1694" s="54">
        <f>VLOOKUP(_stats[[#This Row],[tournament]],tournaments_n_rules[],5,0)</f>
        <v>46356</v>
      </c>
    </row>
    <row r="1695" spans="1:15" x14ac:dyDescent="0.25">
      <c r="A1695" s="6">
        <v>46306</v>
      </c>
      <c r="B1695" s="72">
        <v>2</v>
      </c>
      <c r="C1695" s="104" t="s">
        <v>28</v>
      </c>
      <c r="D1695" s="10" t="str">
        <f>IFERROR(VLOOKUP(_stats[[#This Row],[player_id]],_players[[player_id]:[player_name]],2,0),"")</f>
        <v>Витя</v>
      </c>
      <c r="E1695" s="72">
        <v>1</v>
      </c>
      <c r="F1695" s="102">
        <v>1</v>
      </c>
      <c r="G1695" s="10">
        <f>SUMIFS(_teams[wins_on_date],_teams[date],_stats[[#This Row],[date]],_teams[team_number],_stats[[#This Row],[team_number]])</f>
        <v>9</v>
      </c>
      <c r="H1695" s="10">
        <f>SUMIFS(_teams[draws_on_date],_teams[date],_stats[[#This Row],[date]],_teams[team_number],_stats[[#This Row],[team_number]])</f>
        <v>2</v>
      </c>
      <c r="I1695" s="72">
        <v>0</v>
      </c>
      <c r="J1695" s="104">
        <v>0</v>
      </c>
      <c r="K1695" s="72">
        <v>9</v>
      </c>
      <c r="L1695" s="53">
        <f>VLOOKUP(_stats[[#This Row],[tournament]],tournaments_n_rules[],2,0)</f>
        <v>1747</v>
      </c>
      <c r="M1695" s="53" t="str">
        <f>VLOOKUP(_stats[[#This Row],[tournament]],tournaments_n_rules[],3,0)</f>
        <v>Осень 2026</v>
      </c>
      <c r="N1695" s="54">
        <f>VLOOKUP(_stats[[#This Row],[tournament]],tournaments_n_rules[],4,0)</f>
        <v>46285</v>
      </c>
      <c r="O1695" s="54">
        <f>VLOOKUP(_stats[[#This Row],[tournament]],tournaments_n_rules[],5,0)</f>
        <v>46356</v>
      </c>
    </row>
    <row r="1696" spans="1:15" x14ac:dyDescent="0.25">
      <c r="A1696" s="6">
        <v>46306</v>
      </c>
      <c r="B1696" s="72">
        <v>4</v>
      </c>
      <c r="C1696" s="104" t="s">
        <v>53</v>
      </c>
      <c r="D1696" s="10" t="str">
        <f>IFERROR(VLOOKUP(_stats[[#This Row],[player_id]],_players[[player_id]:[player_name]],2,0),"")</f>
        <v>Даня (сын Вити)</v>
      </c>
      <c r="E1696" s="72">
        <v>0</v>
      </c>
      <c r="F1696" s="102">
        <v>0</v>
      </c>
      <c r="G1696" s="10">
        <f>SUMIFS(_teams[wins_on_date],_teams[date],_stats[[#This Row],[date]],_teams[team_number],_stats[[#This Row],[team_number]])</f>
        <v>1</v>
      </c>
      <c r="H1696" s="10">
        <f>SUMIFS(_teams[draws_on_date],_teams[date],_stats[[#This Row],[date]],_teams[team_number],_stats[[#This Row],[team_number]])</f>
        <v>1</v>
      </c>
      <c r="I1696" s="72">
        <v>0</v>
      </c>
      <c r="J1696" s="104">
        <v>0</v>
      </c>
      <c r="K1696" s="72">
        <v>9</v>
      </c>
      <c r="L1696" s="53">
        <f>VLOOKUP(_stats[[#This Row],[tournament]],tournaments_n_rules[],2,0)</f>
        <v>1747</v>
      </c>
      <c r="M1696" s="53" t="str">
        <f>VLOOKUP(_stats[[#This Row],[tournament]],tournaments_n_rules[],3,0)</f>
        <v>Осень 2026</v>
      </c>
      <c r="N1696" s="54">
        <f>VLOOKUP(_stats[[#This Row],[tournament]],tournaments_n_rules[],4,0)</f>
        <v>46285</v>
      </c>
      <c r="O1696" s="54">
        <f>VLOOKUP(_stats[[#This Row],[tournament]],tournaments_n_rules[],5,0)</f>
        <v>46356</v>
      </c>
    </row>
    <row r="1697" spans="1:15" x14ac:dyDescent="0.25">
      <c r="A1697" s="6">
        <v>46306</v>
      </c>
      <c r="B1697" s="72">
        <v>4</v>
      </c>
      <c r="C1697" s="104" t="s">
        <v>46</v>
      </c>
      <c r="D1697" s="10" t="str">
        <f>IFERROR(VLOOKUP(_stats[[#This Row],[player_id]],_players[[player_id]:[player_name]],2,0),"")</f>
        <v>Рома Сурнин</v>
      </c>
      <c r="E1697" s="72">
        <v>0</v>
      </c>
      <c r="F1697" s="102">
        <v>1</v>
      </c>
      <c r="G1697" s="10">
        <f>SUMIFS(_teams[wins_on_date],_teams[date],_stats[[#This Row],[date]],_teams[team_number],_stats[[#This Row],[team_number]])</f>
        <v>1</v>
      </c>
      <c r="H1697" s="10">
        <f>SUMIFS(_teams[draws_on_date],_teams[date],_stats[[#This Row],[date]],_teams[team_number],_stats[[#This Row],[team_number]])</f>
        <v>1</v>
      </c>
      <c r="I1697" s="72">
        <v>0</v>
      </c>
      <c r="J1697" s="104">
        <v>0</v>
      </c>
      <c r="K1697" s="72">
        <v>9</v>
      </c>
      <c r="L1697" s="53">
        <f>VLOOKUP(_stats[[#This Row],[tournament]],tournaments_n_rules[],2,0)</f>
        <v>1747</v>
      </c>
      <c r="M1697" s="53" t="str">
        <f>VLOOKUP(_stats[[#This Row],[tournament]],tournaments_n_rules[],3,0)</f>
        <v>Осень 2026</v>
      </c>
      <c r="N1697" s="54">
        <f>VLOOKUP(_stats[[#This Row],[tournament]],tournaments_n_rules[],4,0)</f>
        <v>46285</v>
      </c>
      <c r="O1697" s="54">
        <f>VLOOKUP(_stats[[#This Row],[tournament]],tournaments_n_rules[],5,0)</f>
        <v>46356</v>
      </c>
    </row>
    <row r="1698" spans="1:15" x14ac:dyDescent="0.25">
      <c r="A1698" s="6">
        <v>46306</v>
      </c>
      <c r="B1698" s="72">
        <v>2</v>
      </c>
      <c r="C1698" s="104" t="s">
        <v>81</v>
      </c>
      <c r="D1698" s="10" t="str">
        <f>IFERROR(VLOOKUP(_stats[[#This Row],[player_id]],_players[[player_id]:[player_name]],2,0),"")</f>
        <v>Зинаддин Алимов</v>
      </c>
      <c r="E1698" s="72">
        <v>3</v>
      </c>
      <c r="F1698" s="102">
        <v>3</v>
      </c>
      <c r="G1698" s="10">
        <f>SUMIFS(_teams[wins_on_date],_teams[date],_stats[[#This Row],[date]],_teams[team_number],_stats[[#This Row],[team_number]])</f>
        <v>9</v>
      </c>
      <c r="H1698" s="10">
        <f>SUMIFS(_teams[draws_on_date],_teams[date],_stats[[#This Row],[date]],_teams[team_number],_stats[[#This Row],[team_number]])</f>
        <v>2</v>
      </c>
      <c r="I1698" s="72">
        <v>0</v>
      </c>
      <c r="J1698" s="104">
        <v>0</v>
      </c>
      <c r="K1698" s="72">
        <v>9</v>
      </c>
      <c r="L1698" s="53">
        <f>VLOOKUP(_stats[[#This Row],[tournament]],tournaments_n_rules[],2,0)</f>
        <v>1747</v>
      </c>
      <c r="M1698" s="53" t="str">
        <f>VLOOKUP(_stats[[#This Row],[tournament]],tournaments_n_rules[],3,0)</f>
        <v>Осень 2026</v>
      </c>
      <c r="N1698" s="54">
        <f>VLOOKUP(_stats[[#This Row],[tournament]],tournaments_n_rules[],4,0)</f>
        <v>46285</v>
      </c>
      <c r="O1698" s="54">
        <f>VLOOKUP(_stats[[#This Row],[tournament]],tournaments_n_rules[],5,0)</f>
        <v>46356</v>
      </c>
    </row>
    <row r="1699" spans="1:15" x14ac:dyDescent="0.25">
      <c r="A1699" s="6">
        <v>46306</v>
      </c>
      <c r="B1699" s="72">
        <v>4</v>
      </c>
      <c r="C1699" s="104" t="s">
        <v>35</v>
      </c>
      <c r="D1699" s="10" t="str">
        <f>IFERROR(VLOOKUP(_stats[[#This Row],[player_id]],_players[[player_id]:[player_name]],2,0),"")</f>
        <v>Рубик</v>
      </c>
      <c r="E1699" s="72">
        <v>1</v>
      </c>
      <c r="F1699" s="102">
        <v>1</v>
      </c>
      <c r="G1699" s="10">
        <f>SUMIFS(_teams[wins_on_date],_teams[date],_stats[[#This Row],[date]],_teams[team_number],_stats[[#This Row],[team_number]])</f>
        <v>1</v>
      </c>
      <c r="H1699" s="10">
        <f>SUMIFS(_teams[draws_on_date],_teams[date],_stats[[#This Row],[date]],_teams[team_number],_stats[[#This Row],[team_number]])</f>
        <v>1</v>
      </c>
      <c r="I1699" s="72">
        <v>0</v>
      </c>
      <c r="J1699" s="104">
        <v>0</v>
      </c>
      <c r="K1699" s="72">
        <v>9</v>
      </c>
      <c r="L1699" s="53">
        <f>VLOOKUP(_stats[[#This Row],[tournament]],tournaments_n_rules[],2,0)</f>
        <v>1747</v>
      </c>
      <c r="M1699" s="53" t="str">
        <f>VLOOKUP(_stats[[#This Row],[tournament]],tournaments_n_rules[],3,0)</f>
        <v>Осень 2026</v>
      </c>
      <c r="N1699" s="54">
        <f>VLOOKUP(_stats[[#This Row],[tournament]],tournaments_n_rules[],4,0)</f>
        <v>46285</v>
      </c>
      <c r="O1699" s="54">
        <f>VLOOKUP(_stats[[#This Row],[tournament]],tournaments_n_rules[],5,0)</f>
        <v>46356</v>
      </c>
    </row>
    <row r="1700" spans="1:15" x14ac:dyDescent="0.25">
      <c r="A1700" s="6">
        <v>46306</v>
      </c>
      <c r="B1700" s="72">
        <v>4</v>
      </c>
      <c r="C1700" s="104" t="s">
        <v>322</v>
      </c>
      <c r="D1700" s="10" t="str">
        <f>IFERROR(VLOOKUP(_stats[[#This Row],[player_id]],_players[[player_id]:[player_name]],2,0),"")</f>
        <v>Дима (Богдан+1)</v>
      </c>
      <c r="E1700" s="72">
        <v>2</v>
      </c>
      <c r="F1700" s="102">
        <v>0</v>
      </c>
      <c r="G1700" s="10">
        <f>SUMIFS(_teams[wins_on_date],_teams[date],_stats[[#This Row],[date]],_teams[team_number],_stats[[#This Row],[team_number]])</f>
        <v>1</v>
      </c>
      <c r="H1700" s="10">
        <f>SUMIFS(_teams[draws_on_date],_teams[date],_stats[[#This Row],[date]],_teams[team_number],_stats[[#This Row],[team_number]])</f>
        <v>1</v>
      </c>
      <c r="I1700" s="72">
        <v>0</v>
      </c>
      <c r="J1700" s="104">
        <v>0</v>
      </c>
      <c r="K1700" s="72">
        <v>9</v>
      </c>
      <c r="L1700" s="53">
        <f>VLOOKUP(_stats[[#This Row],[tournament]],tournaments_n_rules[],2,0)</f>
        <v>1747</v>
      </c>
      <c r="M1700" s="53" t="str">
        <f>VLOOKUP(_stats[[#This Row],[tournament]],tournaments_n_rules[],3,0)</f>
        <v>Осень 2026</v>
      </c>
      <c r="N1700" s="54">
        <f>VLOOKUP(_stats[[#This Row],[tournament]],tournaments_n_rules[],4,0)</f>
        <v>46285</v>
      </c>
      <c r="O1700" s="54">
        <f>VLOOKUP(_stats[[#This Row],[tournament]],tournaments_n_rules[],5,0)</f>
        <v>46356</v>
      </c>
    </row>
    <row r="1701" spans="1:15" x14ac:dyDescent="0.25">
      <c r="A1701" s="6">
        <v>46306</v>
      </c>
      <c r="B1701" s="72">
        <v>4</v>
      </c>
      <c r="C1701" s="104" t="s">
        <v>38</v>
      </c>
      <c r="D1701" s="10" t="str">
        <f>IFERROR(VLOOKUP(_stats[[#This Row],[player_id]],_players[[player_id]:[player_name]],2,0),"")</f>
        <v>Рамиль (АК+1)</v>
      </c>
      <c r="E1701" s="72">
        <v>2</v>
      </c>
      <c r="F1701" s="102">
        <v>1</v>
      </c>
      <c r="G1701" s="10">
        <f>SUMIFS(_teams[wins_on_date],_teams[date],_stats[[#This Row],[date]],_teams[team_number],_stats[[#This Row],[team_number]])</f>
        <v>1</v>
      </c>
      <c r="H1701" s="10">
        <f>SUMIFS(_teams[draws_on_date],_teams[date],_stats[[#This Row],[date]],_teams[team_number],_stats[[#This Row],[team_number]])</f>
        <v>1</v>
      </c>
      <c r="I1701" s="72">
        <v>0</v>
      </c>
      <c r="J1701" s="104">
        <v>0</v>
      </c>
      <c r="K1701" s="72">
        <v>9</v>
      </c>
      <c r="L1701" s="53">
        <f>VLOOKUP(_stats[[#This Row],[tournament]],tournaments_n_rules[],2,0)</f>
        <v>1747</v>
      </c>
      <c r="M1701" s="53" t="str">
        <f>VLOOKUP(_stats[[#This Row],[tournament]],tournaments_n_rules[],3,0)</f>
        <v>Осень 2026</v>
      </c>
      <c r="N1701" s="54">
        <f>VLOOKUP(_stats[[#This Row],[tournament]],tournaments_n_rules[],4,0)</f>
        <v>46285</v>
      </c>
      <c r="O1701" s="54">
        <f>VLOOKUP(_stats[[#This Row],[tournament]],tournaments_n_rules[],5,0)</f>
        <v>46356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35"/>
  <sheetViews>
    <sheetView topLeftCell="A196" workbookViewId="0">
      <selection activeCell="E234" sqref="E234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  <row r="227" spans="1:9" x14ac:dyDescent="0.25">
      <c r="A227" s="101">
        <v>46285</v>
      </c>
      <c r="B227" s="72">
        <v>1</v>
      </c>
      <c r="C227" s="102">
        <v>1</v>
      </c>
      <c r="D227" s="102">
        <v>0</v>
      </c>
      <c r="E227" s="72">
        <v>9</v>
      </c>
      <c r="F227" s="53">
        <f>VLOOKUP(_teams[[#This Row],[tournament]],tournaments_n_rules[],2,0)</f>
        <v>1747</v>
      </c>
      <c r="G227" s="53" t="str">
        <f>VLOOKUP(_teams[[#This Row],[tournament]],tournaments_n_rules[],3,0)</f>
        <v>Осень 2026</v>
      </c>
      <c r="H227" s="54">
        <f>VLOOKUP(_teams[[#This Row],[tournament]],tournaments_n_rules[],4,0)</f>
        <v>46285</v>
      </c>
      <c r="I227" s="54">
        <f>VLOOKUP(_teams[[#This Row],[tournament]],tournaments_n_rules[],5,0)</f>
        <v>46356</v>
      </c>
    </row>
    <row r="228" spans="1:9" x14ac:dyDescent="0.25">
      <c r="A228" s="101">
        <v>46285</v>
      </c>
      <c r="B228" s="72">
        <v>2</v>
      </c>
      <c r="C228" s="102">
        <v>0</v>
      </c>
      <c r="D228" s="102">
        <v>0</v>
      </c>
      <c r="E228" s="72">
        <v>9</v>
      </c>
      <c r="F228" s="53">
        <f>VLOOKUP(_teams[[#This Row],[tournament]],tournaments_n_rules[],2,0)</f>
        <v>1747</v>
      </c>
      <c r="G228" s="53" t="str">
        <f>VLOOKUP(_teams[[#This Row],[tournament]],tournaments_n_rules[],3,0)</f>
        <v>Осень 2026</v>
      </c>
      <c r="H228" s="54">
        <f>VLOOKUP(_teams[[#This Row],[tournament]],tournaments_n_rules[],4,0)</f>
        <v>46285</v>
      </c>
      <c r="I228" s="54">
        <f>VLOOKUP(_teams[[#This Row],[tournament]],tournaments_n_rules[],5,0)</f>
        <v>46356</v>
      </c>
    </row>
    <row r="229" spans="1:9" x14ac:dyDescent="0.25">
      <c r="A229" s="101">
        <v>46292</v>
      </c>
      <c r="B229" s="72">
        <v>1</v>
      </c>
      <c r="C229" s="102">
        <v>6</v>
      </c>
      <c r="D229" s="102">
        <v>4</v>
      </c>
      <c r="E229" s="72">
        <v>9</v>
      </c>
      <c r="F229" s="53">
        <f>VLOOKUP(_teams[[#This Row],[tournament]],tournaments_n_rules[],2,0)</f>
        <v>1747</v>
      </c>
      <c r="G229" s="53" t="str">
        <f>VLOOKUP(_teams[[#This Row],[tournament]],tournaments_n_rules[],3,0)</f>
        <v>Осень 2026</v>
      </c>
      <c r="H229" s="54">
        <f>VLOOKUP(_teams[[#This Row],[tournament]],tournaments_n_rules[],4,0)</f>
        <v>46285</v>
      </c>
      <c r="I229" s="54">
        <f>VLOOKUP(_teams[[#This Row],[tournament]],tournaments_n_rules[],5,0)</f>
        <v>46356</v>
      </c>
    </row>
    <row r="230" spans="1:9" x14ac:dyDescent="0.25">
      <c r="A230" s="101">
        <v>46292</v>
      </c>
      <c r="B230" s="72">
        <v>2</v>
      </c>
      <c r="C230" s="102">
        <v>5</v>
      </c>
      <c r="D230" s="102">
        <v>3</v>
      </c>
      <c r="E230" s="72">
        <v>9</v>
      </c>
      <c r="F230" s="53">
        <f>VLOOKUP(_teams[[#This Row],[tournament]],tournaments_n_rules[],2,0)</f>
        <v>1747</v>
      </c>
      <c r="G230" s="53" t="str">
        <f>VLOOKUP(_teams[[#This Row],[tournament]],tournaments_n_rules[],3,0)</f>
        <v>Осень 2026</v>
      </c>
      <c r="H230" s="54">
        <f>VLOOKUP(_teams[[#This Row],[tournament]],tournaments_n_rules[],4,0)</f>
        <v>46285</v>
      </c>
      <c r="I230" s="54">
        <f>VLOOKUP(_teams[[#This Row],[tournament]],tournaments_n_rules[],5,0)</f>
        <v>46356</v>
      </c>
    </row>
    <row r="231" spans="1:9" x14ac:dyDescent="0.25">
      <c r="A231" s="101">
        <v>46292</v>
      </c>
      <c r="B231" s="72">
        <v>3</v>
      </c>
      <c r="C231" s="102">
        <v>1</v>
      </c>
      <c r="D231" s="102">
        <v>3</v>
      </c>
      <c r="E231" s="72">
        <v>9</v>
      </c>
      <c r="F231" s="53">
        <f>VLOOKUP(_teams[[#This Row],[tournament]],tournaments_n_rules[],2,0)</f>
        <v>1747</v>
      </c>
      <c r="G231" s="53" t="str">
        <f>VLOOKUP(_teams[[#This Row],[tournament]],tournaments_n_rules[],3,0)</f>
        <v>Осень 2026</v>
      </c>
      <c r="H231" s="54">
        <f>VLOOKUP(_teams[[#This Row],[tournament]],tournaments_n_rules[],4,0)</f>
        <v>46285</v>
      </c>
      <c r="I231" s="54">
        <f>VLOOKUP(_teams[[#This Row],[tournament]],tournaments_n_rules[],5,0)</f>
        <v>46356</v>
      </c>
    </row>
    <row r="232" spans="1:9" x14ac:dyDescent="0.25">
      <c r="A232" s="101">
        <v>46306</v>
      </c>
      <c r="B232" s="72">
        <v>1</v>
      </c>
      <c r="C232" s="102">
        <v>3</v>
      </c>
      <c r="D232" s="102">
        <v>3</v>
      </c>
      <c r="E232" s="72">
        <v>9</v>
      </c>
      <c r="F232" s="53">
        <f>VLOOKUP(_teams[[#This Row],[tournament]],tournaments_n_rules[],2,0)</f>
        <v>1747</v>
      </c>
      <c r="G232" s="53" t="str">
        <f>VLOOKUP(_teams[[#This Row],[tournament]],tournaments_n_rules[],3,0)</f>
        <v>Осень 2026</v>
      </c>
      <c r="H232" s="54">
        <f>VLOOKUP(_teams[[#This Row],[tournament]],tournaments_n_rules[],4,0)</f>
        <v>46285</v>
      </c>
      <c r="I232" s="54">
        <f>VLOOKUP(_teams[[#This Row],[tournament]],tournaments_n_rules[],5,0)</f>
        <v>46356</v>
      </c>
    </row>
    <row r="233" spans="1:9" x14ac:dyDescent="0.25">
      <c r="A233" s="101">
        <v>46306</v>
      </c>
      <c r="B233" s="72">
        <v>2</v>
      </c>
      <c r="C233" s="102">
        <v>9</v>
      </c>
      <c r="D233" s="102">
        <v>2</v>
      </c>
      <c r="E233" s="72">
        <v>9</v>
      </c>
      <c r="F233" s="53">
        <f>VLOOKUP(_teams[[#This Row],[tournament]],tournaments_n_rules[],2,0)</f>
        <v>1747</v>
      </c>
      <c r="G233" s="53" t="str">
        <f>VLOOKUP(_teams[[#This Row],[tournament]],tournaments_n_rules[],3,0)</f>
        <v>Осень 2026</v>
      </c>
      <c r="H233" s="54">
        <f>VLOOKUP(_teams[[#This Row],[tournament]],tournaments_n_rules[],4,0)</f>
        <v>46285</v>
      </c>
      <c r="I233" s="54">
        <f>VLOOKUP(_teams[[#This Row],[tournament]],tournaments_n_rules[],5,0)</f>
        <v>46356</v>
      </c>
    </row>
    <row r="234" spans="1:9" x14ac:dyDescent="0.25">
      <c r="A234" s="101">
        <v>46306</v>
      </c>
      <c r="B234" s="72">
        <v>3</v>
      </c>
      <c r="C234" s="102">
        <v>3</v>
      </c>
      <c r="D234" s="102">
        <v>2</v>
      </c>
      <c r="E234" s="72">
        <v>9</v>
      </c>
      <c r="F234" s="53">
        <f>VLOOKUP(_teams[[#This Row],[tournament]],tournaments_n_rules[],2,0)</f>
        <v>1747</v>
      </c>
      <c r="G234" s="53" t="str">
        <f>VLOOKUP(_teams[[#This Row],[tournament]],tournaments_n_rules[],3,0)</f>
        <v>Осень 2026</v>
      </c>
      <c r="H234" s="54">
        <f>VLOOKUP(_teams[[#This Row],[tournament]],tournaments_n_rules[],4,0)</f>
        <v>46285</v>
      </c>
      <c r="I234" s="54">
        <f>VLOOKUP(_teams[[#This Row],[tournament]],tournaments_n_rules[],5,0)</f>
        <v>46356</v>
      </c>
    </row>
    <row r="235" spans="1:9" x14ac:dyDescent="0.25">
      <c r="A235" s="101">
        <v>46306</v>
      </c>
      <c r="B235" s="72">
        <v>4</v>
      </c>
      <c r="C235" s="102">
        <v>1</v>
      </c>
      <c r="D235" s="102">
        <v>1</v>
      </c>
      <c r="E235" s="72">
        <v>9</v>
      </c>
      <c r="F235" s="53">
        <f>VLOOKUP(_teams[[#This Row],[tournament]],tournaments_n_rules[],2,0)</f>
        <v>1747</v>
      </c>
      <c r="G235" s="53" t="str">
        <f>VLOOKUP(_teams[[#This Row],[tournament]],tournaments_n_rules[],3,0)</f>
        <v>Осень 2026</v>
      </c>
      <c r="H235" s="54">
        <f>VLOOKUP(_teams[[#This Row],[tournament]],tournaments_n_rules[],4,0)</f>
        <v>46285</v>
      </c>
      <c r="I235" s="54">
        <f>VLOOKUP(_teams[[#This Row],[tournament]],tournaments_n_rules[],5,0)</f>
        <v>46356</v>
      </c>
    </row>
  </sheetData>
  <dataValidations count="1">
    <dataValidation type="list" allowBlank="1" showInputMessage="1" showErrorMessage="1" sqref="B2:B235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10"/>
  <sheetViews>
    <sheetView workbookViewId="0">
      <selection activeCell="E17" sqref="E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9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  <row r="10" spans="1:11" x14ac:dyDescent="0.25">
      <c r="A10" s="44">
        <v>9</v>
      </c>
      <c r="B10" s="9">
        <v>1747</v>
      </c>
      <c r="C10" s="43" t="s">
        <v>319</v>
      </c>
      <c r="D10" s="45">
        <v>46285</v>
      </c>
      <c r="E10" s="45">
        <v>46356</v>
      </c>
      <c r="F10" s="7">
        <v>1</v>
      </c>
      <c r="G10" s="7">
        <v>1</v>
      </c>
      <c r="H10" s="7">
        <v>2</v>
      </c>
      <c r="I10" s="7">
        <v>1</v>
      </c>
      <c r="J10" s="7">
        <v>1</v>
      </c>
      <c r="K10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topLeftCell="A4"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90" workbookViewId="0">
      <selection activeCell="D225" sqref="D225"/>
    </sheetView>
  </sheetViews>
  <sheetFormatPr defaultRowHeight="15" x14ac:dyDescent="0.25"/>
  <cols>
    <col min="1" max="1" width="23.5703125" bestFit="1" customWidth="1"/>
    <col min="2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108" t="s">
        <v>12</v>
      </c>
      <c r="B217" s="109">
        <v>13</v>
      </c>
      <c r="C217" s="110">
        <v>46278</v>
      </c>
      <c r="D217" s="71" t="s">
        <v>317</v>
      </c>
    </row>
    <row r="218" spans="1:4" x14ac:dyDescent="0.25">
      <c r="A218" s="108" t="s">
        <v>69</v>
      </c>
      <c r="B218" s="109">
        <v>2</v>
      </c>
      <c r="C218" s="110">
        <v>46292</v>
      </c>
      <c r="D218" s="71" t="s">
        <v>302</v>
      </c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  <hyperlink ref="D217" r:id="rId8" xr:uid="{C5566EA2-CECF-4670-9DA4-B0DAF3426AD8}"/>
    <hyperlink ref="D216" r:id="rId9" xr:uid="{BC7CAAA1-A1B9-4375-A9C3-849C484493E1}"/>
    <hyperlink ref="D218" r:id="rId10" xr:uid="{5FB21B47-DB38-4CEC-9263-549874BAB77E}"/>
  </hyperlinks>
  <pageMargins left="0.7" right="0.7" top="0.75" bottom="0.75" header="0.3" footer="0.3"/>
  <tableParts count="1"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M14" sqref="M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2026-10-11T12:05:20Z</dcterms:modified>
</cp:coreProperties>
</file>