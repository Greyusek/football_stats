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72B399BF-FB3C-4AB6-B6E4-D512970C8774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590" i="2" l="1"/>
  <c r="G190" i="1"/>
  <c r="F190" i="1"/>
  <c r="D190" i="1"/>
  <c r="C190" i="1"/>
  <c r="G189" i="1"/>
  <c r="F189" i="1"/>
  <c r="E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G1590" i="2"/>
  <c r="E190" i="1" s="1"/>
  <c r="H1589" i="2"/>
  <c r="G1589" i="2"/>
  <c r="H1588" i="2"/>
  <c r="G1588" i="2"/>
  <c r="H1587" i="2"/>
  <c r="G1587" i="2"/>
  <c r="H1586" i="2"/>
  <c r="G1586" i="2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E186" i="1" s="1"/>
  <c r="H1569" i="2"/>
  <c r="F185" i="1" s="1"/>
  <c r="G1569" i="2"/>
  <c r="E185" i="1" s="1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F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L1599" i="2" s="1"/>
  <c r="A4" i="4"/>
  <c r="A3" i="4"/>
  <c r="O1603" i="2" s="1"/>
  <c r="A2" i="4"/>
  <c r="L1600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G1463" i="2"/>
  <c r="E176" i="1" s="1"/>
  <c r="D1463" i="2"/>
  <c r="H1462" i="2"/>
  <c r="F175" i="1" s="1"/>
  <c r="G1462" i="2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G1455" i="2"/>
  <c r="E165" i="1" s="1"/>
  <c r="D1455" i="2"/>
  <c r="H1454" i="2"/>
  <c r="F164" i="1" s="1"/>
  <c r="G1454" i="2"/>
  <c r="E164" i="1" s="1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E149" i="1" s="1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F98" i="1" s="1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E86" i="1" s="1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F176" i="1"/>
  <c r="D176" i="1"/>
  <c r="C176" i="1"/>
  <c r="G175" i="1"/>
  <c r="E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F169" i="1"/>
  <c r="E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F165" i="1"/>
  <c r="D165" i="1"/>
  <c r="C165" i="1"/>
  <c r="G164" i="1"/>
  <c r="D164" i="1"/>
  <c r="C164" i="1"/>
  <c r="G163" i="1"/>
  <c r="E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F158" i="1"/>
  <c r="D158" i="1"/>
  <c r="C158" i="1"/>
  <c r="G157" i="1"/>
  <c r="D157" i="1"/>
  <c r="C157" i="1"/>
  <c r="G156" i="1"/>
  <c r="D156" i="1"/>
  <c r="C156" i="1"/>
  <c r="G155" i="1"/>
  <c r="E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F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E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E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E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M1582" i="2" l="1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<sst xmlns="http://schemas.openxmlformats.org/spreadsheetml/2006/main" count="2518" uniqueCount="311">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</sst>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90" headerRowDxfId="25" totalsRowDxfId="22" headerRowBorderDxfId="24" tableBorderDxfId="23">
  <autoFilter ref="A1:G190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603">
  <autoFilter ref="A1:O1603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3">
  <autoFilter ref="A1:I223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9">
  <autoFilter ref="A1:K9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03" totalsRowShown="0" headerRowDxfId="8" dataDxfId="6" headerRowBorderDxfId="7" tableBorderDxfId="5" totalsRowBorderDxfId="4">
  <autoFilter ref="A1:D203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table" Target="../tables/table6.xm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5" Type="http://schemas.openxmlformats.org/officeDocument/2006/relationships/hyperlink" Target="https://mitino.streamlit.app/" TargetMode="Externa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90"/>
  <sheetViews>
    <sheetView topLeftCell="A172" workbookViewId="0">
      <selection activeCell="J195" sqref="J195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77</v>
      </c>
      <c r="D3" s="11">
        <f>SUMIFS(_stats[assists_on_date],_stats[player_id],_players[[#This Row],[player_id]])</f>
        <v>49</v>
      </c>
      <c r="E3" s="11">
        <f>SUMIFS(_stats[wins_on_date],_stats[player_id],_players[[#This Row],[player_id]])</f>
        <v>205</v>
      </c>
      <c r="F3" s="11">
        <f>SUMIFS(_stats[draws_on_date],_stats[player_id],_players[[#This Row],[player_id]])</f>
        <v>48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22</v>
      </c>
      <c r="E6" s="16">
        <f>SUMIFS(_stats[wins_on_date],_stats[player_id],_players[[#This Row],[player_id]])</f>
        <v>219</v>
      </c>
      <c r="F6" s="16">
        <f>SUMIFS(_stats[draws_on_date],_stats[player_id],_players[[#This Row],[player_id]])</f>
        <v>59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54</v>
      </c>
      <c r="D8" s="11">
        <f>SUMIFS(_stats[assists_on_date],_stats[player_id],_players[[#This Row],[player_id]])</f>
        <v>28</v>
      </c>
      <c r="E8" s="11">
        <f>SUMIFS(_stats[wins_on_date],_stats[player_id],_players[[#This Row],[player_id]])</f>
        <v>178</v>
      </c>
      <c r="F8" s="11">
        <f>SUMIFS(_stats[draws_on_date],_stats[player_id],_players[[#This Row],[player_id]])</f>
        <v>53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89</v>
      </c>
      <c r="E12" s="16">
        <f>SUMIFS(_stats[wins_on_date],_stats[player_id],_players[[#This Row],[player_id]])</f>
        <v>163</v>
      </c>
      <c r="F12" s="16">
        <f>SUMIFS(_stats[draws_on_date],_stats[player_id],_players[[#This Row],[player_id]])</f>
        <v>52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181</v>
      </c>
      <c r="F14" s="11">
        <f>SUMIFS(_stats[draws_on_date],_stats[player_id],_players[[#This Row],[player_id]])</f>
        <v>51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73</v>
      </c>
      <c r="F17" s="11">
        <f>SUMIFS(_stats[draws_on_date],_stats[player_id],_players[[#This Row],[player_id]])</f>
        <v>20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17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32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42</v>
      </c>
      <c r="D21" s="11">
        <f>SUMIFS(_stats[assists_on_date],_stats[player_id],_players[[#This Row],[player_id]])</f>
        <v>55</v>
      </c>
      <c r="E21" s="11">
        <f>SUMIFS(_stats[wins_on_date],_stats[player_id],_players[[#This Row],[player_id]])</f>
        <v>146</v>
      </c>
      <c r="F21" s="11">
        <f>SUMIFS(_stats[draws_on_date],_stats[player_id],_players[[#This Row],[player_id]])</f>
        <v>40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133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106</v>
      </c>
      <c r="F27" s="11">
        <f>SUMIFS(_stats[draws_on_date],_stats[player_id],_players[[#This Row],[player_id]])</f>
        <v>24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55</v>
      </c>
      <c r="F30" s="16">
        <f>SUMIFS(_stats[draws_on_date],_stats[player_id],_players[[#This Row],[player_id]])</f>
        <v>14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33</v>
      </c>
      <c r="F33" s="11">
        <f>SUMIFS(_stats[draws_on_date],_stats[player_id],_players[[#This Row],[player_id]])</f>
        <v>17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22</v>
      </c>
      <c r="E38" s="11">
        <f>SUMIFS(_stats[wins_on_date],_stats[player_id],_players[[#This Row],[player_id]])</f>
        <v>83</v>
      </c>
      <c r="F38" s="11">
        <f>SUMIFS(_stats[draws_on_date],_stats[player_id],_players[[#This Row],[player_id]])</f>
        <v>32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182</v>
      </c>
      <c r="F39" s="11">
        <f>SUMIFS(_stats[draws_on_date],_stats[player_id],_players[[#This Row],[player_id]])</f>
        <v>69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90</v>
      </c>
      <c r="F41" s="11">
        <f>SUMIFS(_stats[draws_on_date],_stats[player_id],_players[[#This Row],[player_id]])</f>
        <v>30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62</v>
      </c>
      <c r="F43" s="11">
        <f>SUMIFS(_stats[draws_on_date],_stats[player_id],_players[[#This Row],[player_id]])</f>
        <v>25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49</v>
      </c>
      <c r="F50" s="11">
        <f>SUMIFS(_stats[draws_on_date],_stats[player_id],_players[[#This Row],[player_id]])</f>
        <v>17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5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15</v>
      </c>
      <c r="F55" s="11">
        <f>SUMIFS(_stats[draws_on_date],_stats[player_id],_players[[#This Row],[player_id]])</f>
        <v>8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21</v>
      </c>
      <c r="D59" s="16">
        <f>SUMIFS(_stats[assists_on_date],_stats[player_id],_players[[#This Row],[player_id]])</f>
        <v>8</v>
      </c>
      <c r="E59" s="16">
        <f>SUMIFS(_stats[wins_on_date],_stats[player_id],_players[[#This Row],[player_id]])</f>
        <v>52</v>
      </c>
      <c r="F59" s="16">
        <f>SUMIFS(_stats[draws_on_date],_stats[player_id],_players[[#This Row],[player_id]])</f>
        <v>18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6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129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10</v>
      </c>
      <c r="F106" s="16">
        <f>SUMIFS(_stats[draws_on_date],_stats[player_id],_players[[#This Row],[player_id]])</f>
        <v>11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20</v>
      </c>
      <c r="D120" s="16">
        <f>SUMIFS(_stats[assists_on_date],_stats[player_id],_players[[#This Row],[player_id]])</f>
        <v>11</v>
      </c>
      <c r="E120" s="16">
        <f>SUMIFS(_stats[wins_on_date],_stats[player_id],_players[[#This Row],[player_id]])</f>
        <v>58</v>
      </c>
      <c r="F120" s="16">
        <f>SUMIFS(_stats[draws_on_date],_stats[player_id],_players[[#This Row],[player_id]])</f>
        <v>25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16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72</v>
      </c>
      <c r="F121" s="16">
        <f>SUMIFS(_stats[draws_on_date],_stats[player_id],_players[[#This Row],[player_id]])</f>
        <v>27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33</v>
      </c>
      <c r="F126" s="16">
        <f>SUMIFS(_stats[draws_on_date],_stats[player_id],_players[[#This Row],[player_id]])</f>
        <v>19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6</v>
      </c>
      <c r="F130" s="16">
        <f>SUMIFS(_stats[draws_on_date],_stats[player_id],_players[[#This Row],[player_id]])</f>
        <v>7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3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7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6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26</v>
      </c>
      <c r="F152" s="16">
        <f>SUMIFS(_stats[draws_on_date],_stats[player_id],_players[[#This Row],[player_id]])</f>
        <v>7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603"/>
  <sheetViews>
    <sheetView topLeftCell="A1561" workbookViewId="0">
      <selection activeCell="G1594" sqref="G1594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</sheetData>
  <dataValidations disablePrompts="1"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3"/>
  <sheetViews>
    <sheetView topLeftCell="A190" workbookViewId="0">
      <selection activeCell="G238" sqref="G238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23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9"/>
  <sheetViews>
    <sheetView workbookViewId="0">
      <selection activeCell="F23" sqref="F23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34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topLeftCell="A169" workbookViewId="0">
      <selection activeCell="D200" sqref="D200:D203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60"/>
      <c r="B204" s="60"/>
      <c r="C204" s="62"/>
      <c r="D204" s="60"/>
    </row>
    <row r="205" spans="1:4" x14ac:dyDescent="0.25">
      <c r="A205" s="60"/>
      <c r="B205" s="60"/>
      <c r="C205" s="62"/>
      <c r="D205" s="60"/>
    </row>
    <row r="206" spans="1:4" x14ac:dyDescent="0.25">
      <c r="A206" s="60"/>
      <c r="B206" s="60"/>
      <c r="C206" s="62"/>
      <c r="D206" s="60"/>
    </row>
    <row r="207" spans="1:4" x14ac:dyDescent="0.25">
      <c r="A207" s="60"/>
      <c r="B207" s="60"/>
      <c r="C207" s="62"/>
      <c r="D207" s="60"/>
    </row>
    <row r="208" spans="1:4" x14ac:dyDescent="0.25">
      <c r="A208" s="60"/>
      <c r="B208" s="60"/>
      <c r="C208" s="62"/>
      <c r="D208" s="60"/>
    </row>
    <row r="209" spans="1:4" x14ac:dyDescent="0.25">
      <c r="A209" s="60"/>
      <c r="B209" s="60"/>
      <c r="C209" s="62"/>
      <c r="D209" s="60"/>
    </row>
    <row r="210" spans="1:4" x14ac:dyDescent="0.25">
      <c r="A210" s="60"/>
      <c r="B210" s="60"/>
      <c r="C210" s="62"/>
      <c r="D210" s="60"/>
    </row>
    <row r="211" spans="1:4" x14ac:dyDescent="0.25">
      <c r="A211" s="60"/>
      <c r="B211" s="60"/>
      <c r="C211" s="62"/>
      <c r="D211" s="60"/>
    </row>
    <row r="212" spans="1:4" x14ac:dyDescent="0.25">
      <c r="A212" s="60"/>
      <c r="B212" s="60"/>
      <c r="C212" s="62"/>
      <c r="D212" s="60"/>
    </row>
    <row r="213" spans="1:4" x14ac:dyDescent="0.25">
      <c r="A213" s="60"/>
      <c r="B213" s="60"/>
      <c r="C213" s="62"/>
      <c r="D213" s="60"/>
    </row>
    <row r="214" spans="1:4" x14ac:dyDescent="0.25">
      <c r="A214" s="60"/>
      <c r="B214" s="60"/>
      <c r="C214" s="62"/>
      <c r="D214" s="60"/>
    </row>
    <row r="215" spans="1:4" x14ac:dyDescent="0.25">
      <c r="A215" s="60"/>
      <c r="B215" s="60"/>
      <c r="C215" s="62"/>
      <c r="D215" s="60"/>
    </row>
    <row r="216" spans="1:4" x14ac:dyDescent="0.25">
      <c r="A216" s="60"/>
      <c r="B216" s="60"/>
      <c r="C216" s="62"/>
      <c r="D216" s="60"/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2026-08-02T11:21:14Z</dcterms:modified>
</cp:coreProperties>
</file>