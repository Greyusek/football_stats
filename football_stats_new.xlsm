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09082798-6689-4545-A738-C13CED7E64E5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717" i="2" l="1"/>
  <c r="H1727" i="2"/>
  <c r="G1727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H1726" i="2"/>
  <c r="G1726" i="2"/>
  <c r="H1725" i="2"/>
  <c r="G1725" i="2"/>
  <c r="H1724" i="2"/>
  <c r="G1724" i="2"/>
  <c r="H1723" i="2"/>
  <c r="G1723" i="2"/>
  <c r="H1722" i="2"/>
  <c r="G1722" i="2"/>
  <c r="H1721" i="2"/>
  <c r="G1721" i="2"/>
  <c r="H1720" i="2"/>
  <c r="G1720" i="2"/>
  <c r="H1719" i="2"/>
  <c r="G1719" i="2"/>
  <c r="H1718" i="2"/>
  <c r="G1718" i="2"/>
  <c r="H1717" i="2"/>
  <c r="H1716" i="2"/>
  <c r="G1716" i="2"/>
  <c r="H1715" i="2"/>
  <c r="G1715" i="2"/>
  <c r="H1714" i="2"/>
  <c r="G1714" i="2"/>
  <c r="H1713" i="2"/>
  <c r="G1713" i="2"/>
  <c r="H1712" i="2"/>
  <c r="G1712" i="2"/>
  <c r="H1711" i="2"/>
  <c r="G1711" i="2"/>
  <c r="H1710" i="2"/>
  <c r="G1710" i="2"/>
  <c r="H1709" i="2"/>
  <c r="G1709" i="2"/>
  <c r="H1708" i="2"/>
  <c r="G1708" i="2"/>
  <c r="H1707" i="2"/>
  <c r="G1707" i="2"/>
  <c r="H1706" i="2"/>
  <c r="G1706" i="2"/>
  <c r="H1705" i="2"/>
  <c r="G1705" i="2"/>
  <c r="H1704" i="2"/>
  <c r="G1704" i="2"/>
  <c r="H1703" i="2"/>
  <c r="G1703" i="2"/>
  <c r="H1702" i="2"/>
  <c r="G1702" i="2"/>
  <c r="G201" i="1"/>
  <c r="F201" i="1"/>
  <c r="E201" i="1"/>
  <c r="D201" i="1"/>
  <c r="C201" i="1"/>
  <c r="G200" i="1"/>
  <c r="E200" i="1"/>
  <c r="D200" i="1"/>
  <c r="C200" i="1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H1701" i="2"/>
  <c r="G1701" i="2"/>
  <c r="H1700" i="2"/>
  <c r="G1700" i="2"/>
  <c r="H1699" i="2"/>
  <c r="G1699" i="2"/>
  <c r="H1698" i="2"/>
  <c r="G1698" i="2"/>
  <c r="H1697" i="2"/>
  <c r="G1697" i="2"/>
  <c r="H1696" i="2"/>
  <c r="G1696" i="2"/>
  <c r="H1695" i="2"/>
  <c r="G1695" i="2"/>
  <c r="H1694" i="2"/>
  <c r="F200" i="1" s="1"/>
  <c r="G1694" i="2"/>
  <c r="H1693" i="2"/>
  <c r="G1693" i="2"/>
  <c r="H1692" i="2"/>
  <c r="G1692" i="2"/>
  <c r="H1691" i="2"/>
  <c r="G1691" i="2"/>
  <c r="H1690" i="2"/>
  <c r="G1690" i="2"/>
  <c r="H1689" i="2"/>
  <c r="G1689" i="2"/>
  <c r="H1688" i="2"/>
  <c r="G1688" i="2"/>
  <c r="H1687" i="2"/>
  <c r="G1687" i="2"/>
  <c r="H1686" i="2"/>
  <c r="G1686" i="2"/>
  <c r="H1685" i="2"/>
  <c r="G1685" i="2"/>
  <c r="H1684" i="2"/>
  <c r="G1684" i="2"/>
  <c r="H1683" i="2"/>
  <c r="G1683" i="2"/>
  <c r="H1682" i="2"/>
  <c r="G1682" i="2"/>
  <c r="H1681" i="2"/>
  <c r="G1681" i="2"/>
  <c r="H1680" i="2"/>
  <c r="G1680" i="2"/>
  <c r="H1679" i="2"/>
  <c r="G1679" i="2"/>
  <c r="H1678" i="2"/>
  <c r="G1678" i="2"/>
  <c r="H1677" i="2"/>
  <c r="G1677" i="2"/>
  <c r="H1676" i="2"/>
  <c r="G1676" i="2"/>
  <c r="H1675" i="2"/>
  <c r="G1675" i="2"/>
  <c r="H1674" i="2"/>
  <c r="G1674" i="2"/>
  <c r="G199" i="1"/>
  <c r="D199" i="1"/>
  <c r="C199" i="1"/>
  <c r="H1668" i="2"/>
  <c r="G1668" i="2"/>
  <c r="D1668" i="2"/>
  <c r="G198" i="1"/>
  <c r="D198" i="1"/>
  <c r="C198" i="1"/>
  <c r="G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F198" i="1" s="1"/>
  <c r="G1672" i="2"/>
  <c r="H1671" i="2"/>
  <c r="G1671" i="2"/>
  <c r="H1670" i="2"/>
  <c r="F197" i="1" s="1"/>
  <c r="G1670" i="2"/>
  <c r="E197" i="1" s="1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N188" i="2" s="1"/>
  <c r="A2" i="4"/>
  <c r="M1723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H777" i="2"/>
  <c r="G777" i="2"/>
  <c r="D777" i="2"/>
  <c r="N776" i="2"/>
  <c r="H776" i="2"/>
  <c r="G776" i="2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H755" i="2"/>
  <c r="G755" i="2"/>
  <c r="D755" i="2"/>
  <c r="H754" i="2"/>
  <c r="G754" i="2"/>
  <c r="D754" i="2"/>
  <c r="O753" i="2"/>
  <c r="H753" i="2"/>
  <c r="G753" i="2"/>
  <c r="D753" i="2"/>
  <c r="H752" i="2"/>
  <c r="G752" i="2"/>
  <c r="D752" i="2"/>
  <c r="H751" i="2"/>
  <c r="G751" i="2"/>
  <c r="D751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H601" i="2"/>
  <c r="F99" i="1" s="1"/>
  <c r="G601" i="2"/>
  <c r="E99" i="1" s="1"/>
  <c r="D601" i="2"/>
  <c r="H600" i="2"/>
  <c r="G600" i="2"/>
  <c r="D600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N512" i="2"/>
  <c r="H512" i="2"/>
  <c r="G512" i="2"/>
  <c r="D512" i="2"/>
  <c r="H511" i="2"/>
  <c r="G511" i="2"/>
  <c r="D511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H489" i="2"/>
  <c r="G489" i="2"/>
  <c r="D489" i="2"/>
  <c r="H488" i="2"/>
  <c r="G488" i="2"/>
  <c r="D488" i="2"/>
  <c r="N487" i="2"/>
  <c r="M487" i="2"/>
  <c r="H487" i="2"/>
  <c r="G487" i="2"/>
  <c r="D487" i="2"/>
  <c r="O486" i="2"/>
  <c r="N486" i="2"/>
  <c r="M486" i="2"/>
  <c r="H486" i="2"/>
  <c r="G486" i="2"/>
  <c r="D486" i="2"/>
  <c r="O485" i="2"/>
  <c r="N485" i="2"/>
  <c r="M485" i="2"/>
  <c r="L485" i="2"/>
  <c r="H485" i="2"/>
  <c r="G485" i="2"/>
  <c r="D485" i="2"/>
  <c r="N484" i="2"/>
  <c r="H484" i="2"/>
  <c r="G484" i="2"/>
  <c r="D484" i="2"/>
  <c r="O483" i="2"/>
  <c r="N483" i="2"/>
  <c r="L483" i="2"/>
  <c r="H483" i="2"/>
  <c r="G483" i="2"/>
  <c r="D483" i="2"/>
  <c r="O482" i="2"/>
  <c r="N482" i="2"/>
  <c r="L482" i="2"/>
  <c r="H482" i="2"/>
  <c r="G482" i="2"/>
  <c r="D482" i="2"/>
  <c r="N481" i="2"/>
  <c r="M481" i="2"/>
  <c r="H481" i="2"/>
  <c r="G481" i="2"/>
  <c r="D481" i="2"/>
  <c r="O480" i="2"/>
  <c r="N480" i="2"/>
  <c r="H480" i="2"/>
  <c r="G480" i="2"/>
  <c r="D480" i="2"/>
  <c r="O479" i="2"/>
  <c r="N479" i="2"/>
  <c r="M479" i="2"/>
  <c r="L479" i="2"/>
  <c r="H479" i="2"/>
  <c r="G479" i="2"/>
  <c r="D479" i="2"/>
  <c r="O478" i="2"/>
  <c r="M478" i="2"/>
  <c r="H478" i="2"/>
  <c r="G478" i="2"/>
  <c r="D478" i="2"/>
  <c r="O477" i="2"/>
  <c r="N477" i="2"/>
  <c r="L477" i="2"/>
  <c r="H477" i="2"/>
  <c r="G477" i="2"/>
  <c r="D477" i="2"/>
  <c r="O476" i="2"/>
  <c r="L476" i="2"/>
  <c r="H476" i="2"/>
  <c r="G476" i="2"/>
  <c r="D476" i="2"/>
  <c r="O475" i="2"/>
  <c r="N475" i="2"/>
  <c r="M475" i="2"/>
  <c r="L475" i="2"/>
  <c r="H475" i="2"/>
  <c r="G475" i="2"/>
  <c r="D475" i="2"/>
  <c r="N474" i="2"/>
  <c r="L474" i="2"/>
  <c r="H474" i="2"/>
  <c r="G474" i="2"/>
  <c r="D474" i="2"/>
  <c r="O473" i="2"/>
  <c r="M473" i="2"/>
  <c r="L473" i="2"/>
  <c r="H473" i="2"/>
  <c r="G473" i="2"/>
  <c r="D473" i="2"/>
  <c r="N472" i="2"/>
  <c r="M472" i="2"/>
  <c r="H472" i="2"/>
  <c r="G472" i="2"/>
  <c r="D472" i="2"/>
  <c r="O471" i="2"/>
  <c r="N471" i="2"/>
  <c r="L471" i="2"/>
  <c r="H471" i="2"/>
  <c r="G471" i="2"/>
  <c r="D471" i="2"/>
  <c r="O470" i="2"/>
  <c r="M470" i="2"/>
  <c r="H470" i="2"/>
  <c r="G470" i="2"/>
  <c r="D470" i="2"/>
  <c r="N469" i="2"/>
  <c r="M469" i="2"/>
  <c r="L469" i="2"/>
  <c r="H469" i="2"/>
  <c r="G469" i="2"/>
  <c r="D469" i="2"/>
  <c r="O468" i="2"/>
  <c r="N468" i="2"/>
  <c r="L468" i="2"/>
  <c r="H468" i="2"/>
  <c r="G468" i="2"/>
  <c r="D468" i="2"/>
  <c r="O467" i="2"/>
  <c r="M467" i="2"/>
  <c r="L467" i="2"/>
  <c r="H467" i="2"/>
  <c r="G467" i="2"/>
  <c r="D467" i="2"/>
  <c r="N466" i="2"/>
  <c r="H466" i="2"/>
  <c r="G466" i="2"/>
  <c r="D466" i="2"/>
  <c r="O465" i="2"/>
  <c r="N465" i="2"/>
  <c r="M465" i="2"/>
  <c r="L465" i="2"/>
  <c r="H465" i="2"/>
  <c r="G465" i="2"/>
  <c r="D465" i="2"/>
  <c r="O464" i="2"/>
  <c r="L464" i="2"/>
  <c r="H464" i="2"/>
  <c r="G464" i="2"/>
  <c r="D464" i="2"/>
  <c r="N463" i="2"/>
  <c r="M463" i="2"/>
  <c r="H463" i="2"/>
  <c r="G463" i="2"/>
  <c r="D463" i="2"/>
  <c r="O462" i="2"/>
  <c r="N462" i="2"/>
  <c r="L462" i="2"/>
  <c r="H462" i="2"/>
  <c r="G462" i="2"/>
  <c r="D462" i="2"/>
  <c r="O461" i="2"/>
  <c r="N461" i="2"/>
  <c r="M461" i="2"/>
  <c r="L461" i="2"/>
  <c r="H461" i="2"/>
  <c r="G461" i="2"/>
  <c r="D461" i="2"/>
  <c r="M460" i="2"/>
  <c r="H460" i="2"/>
  <c r="G460" i="2"/>
  <c r="D460" i="2"/>
  <c r="O459" i="2"/>
  <c r="N459" i="2"/>
  <c r="L459" i="2"/>
  <c r="H459" i="2"/>
  <c r="G459" i="2"/>
  <c r="D459" i="2"/>
  <c r="O458" i="2"/>
  <c r="M458" i="2"/>
  <c r="L458" i="2"/>
  <c r="H458" i="2"/>
  <c r="G458" i="2"/>
  <c r="D458" i="2"/>
  <c r="N457" i="2"/>
  <c r="M457" i="2"/>
  <c r="H457" i="2"/>
  <c r="G457" i="2"/>
  <c r="D457" i="2"/>
  <c r="O456" i="2"/>
  <c r="L456" i="2"/>
  <c r="H456" i="2"/>
  <c r="G456" i="2"/>
  <c r="D456" i="2"/>
  <c r="O455" i="2"/>
  <c r="N455" i="2"/>
  <c r="M455" i="2"/>
  <c r="L455" i="2"/>
  <c r="H455" i="2"/>
  <c r="G455" i="2"/>
  <c r="D455" i="2"/>
  <c r="N454" i="2"/>
  <c r="M454" i="2"/>
  <c r="H454" i="2"/>
  <c r="G454" i="2"/>
  <c r="D454" i="2"/>
  <c r="O453" i="2"/>
  <c r="N453" i="2"/>
  <c r="L453" i="2"/>
  <c r="H453" i="2"/>
  <c r="G453" i="2"/>
  <c r="D453" i="2"/>
  <c r="M452" i="2"/>
  <c r="L452" i="2"/>
  <c r="H452" i="2"/>
  <c r="G452" i="2"/>
  <c r="D452" i="2"/>
  <c r="O451" i="2"/>
  <c r="N451" i="2"/>
  <c r="M451" i="2"/>
  <c r="H451" i="2"/>
  <c r="G451" i="2"/>
  <c r="D451" i="2"/>
  <c r="O450" i="2"/>
  <c r="N450" i="2"/>
  <c r="L450" i="2"/>
  <c r="H450" i="2"/>
  <c r="G450" i="2"/>
  <c r="D450" i="2"/>
  <c r="O449" i="2"/>
  <c r="M449" i="2"/>
  <c r="H449" i="2"/>
  <c r="G449" i="2"/>
  <c r="D449" i="2"/>
  <c r="O448" i="2"/>
  <c r="N448" i="2"/>
  <c r="M448" i="2"/>
  <c r="L448" i="2"/>
  <c r="H448" i="2"/>
  <c r="G448" i="2"/>
  <c r="D448" i="2"/>
  <c r="O447" i="2"/>
  <c r="L447" i="2"/>
  <c r="H447" i="2"/>
  <c r="G447" i="2"/>
  <c r="D447" i="2"/>
  <c r="O446" i="2"/>
  <c r="M446" i="2"/>
  <c r="L446" i="2"/>
  <c r="H446" i="2"/>
  <c r="G446" i="2"/>
  <c r="D446" i="2"/>
  <c r="N445" i="2"/>
  <c r="L445" i="2"/>
  <c r="H445" i="2"/>
  <c r="G445" i="2"/>
  <c r="D445" i="2"/>
  <c r="O444" i="2"/>
  <c r="N444" i="2"/>
  <c r="M444" i="2"/>
  <c r="L444" i="2"/>
  <c r="H444" i="2"/>
  <c r="G444" i="2"/>
  <c r="D444" i="2"/>
  <c r="M443" i="2"/>
  <c r="L443" i="2"/>
  <c r="H443" i="2"/>
  <c r="G443" i="2"/>
  <c r="D443" i="2"/>
  <c r="N442" i="2"/>
  <c r="M442" i="2"/>
  <c r="H442" i="2"/>
  <c r="G442" i="2"/>
  <c r="D442" i="2"/>
  <c r="O441" i="2"/>
  <c r="M441" i="2"/>
  <c r="L441" i="2"/>
  <c r="H441" i="2"/>
  <c r="G441" i="2"/>
  <c r="D441" i="2"/>
  <c r="O440" i="2"/>
  <c r="M440" i="2"/>
  <c r="L440" i="2"/>
  <c r="H440" i="2"/>
  <c r="G440" i="2"/>
  <c r="D440" i="2"/>
  <c r="M439" i="2"/>
  <c r="H439" i="2"/>
  <c r="G439" i="2"/>
  <c r="D439" i="2"/>
  <c r="O438" i="2"/>
  <c r="N438" i="2"/>
  <c r="M438" i="2"/>
  <c r="L438" i="2"/>
  <c r="H438" i="2"/>
  <c r="G438" i="2"/>
  <c r="D438" i="2"/>
  <c r="N437" i="2"/>
  <c r="M437" i="2"/>
  <c r="H437" i="2"/>
  <c r="G437" i="2"/>
  <c r="D437" i="2"/>
  <c r="N436" i="2"/>
  <c r="M436" i="2"/>
  <c r="H436" i="2"/>
  <c r="G436" i="2"/>
  <c r="D436" i="2"/>
  <c r="N435" i="2"/>
  <c r="L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L432" i="2"/>
  <c r="H432" i="2"/>
  <c r="G432" i="2"/>
  <c r="D432" i="2"/>
  <c r="N431" i="2"/>
  <c r="M431" i="2"/>
  <c r="H431" i="2"/>
  <c r="G431" i="2"/>
  <c r="D431" i="2"/>
  <c r="O430" i="2"/>
  <c r="N430" i="2"/>
  <c r="M430" i="2"/>
  <c r="H430" i="2"/>
  <c r="G430" i="2"/>
  <c r="D430" i="2"/>
  <c r="O429" i="2"/>
  <c r="N429" i="2"/>
  <c r="H429" i="2"/>
  <c r="G429" i="2"/>
  <c r="D429" i="2"/>
  <c r="O428" i="2"/>
  <c r="M428" i="2"/>
  <c r="L428" i="2"/>
  <c r="H428" i="2"/>
  <c r="G428" i="2"/>
  <c r="D428" i="2"/>
  <c r="O427" i="2"/>
  <c r="N427" i="2"/>
  <c r="L427" i="2"/>
  <c r="H427" i="2"/>
  <c r="G427" i="2"/>
  <c r="D427" i="2"/>
  <c r="O426" i="2"/>
  <c r="N426" i="2"/>
  <c r="L426" i="2"/>
  <c r="H426" i="2"/>
  <c r="G426" i="2"/>
  <c r="D426" i="2"/>
  <c r="O425" i="2"/>
  <c r="L425" i="2"/>
  <c r="H425" i="2"/>
  <c r="G425" i="2"/>
  <c r="D425" i="2"/>
  <c r="O424" i="2"/>
  <c r="N424" i="2"/>
  <c r="M424" i="2"/>
  <c r="L424" i="2"/>
  <c r="H424" i="2"/>
  <c r="G424" i="2"/>
  <c r="D424" i="2"/>
  <c r="N423" i="2"/>
  <c r="L423" i="2"/>
  <c r="H423" i="2"/>
  <c r="G423" i="2"/>
  <c r="D423" i="2"/>
  <c r="O422" i="2"/>
  <c r="M422" i="2"/>
  <c r="L422" i="2"/>
  <c r="H422" i="2"/>
  <c r="G422" i="2"/>
  <c r="D422" i="2"/>
  <c r="M421" i="2"/>
  <c r="L421" i="2"/>
  <c r="H421" i="2"/>
  <c r="G421" i="2"/>
  <c r="D421" i="2"/>
  <c r="O420" i="2"/>
  <c r="N420" i="2"/>
  <c r="M420" i="2"/>
  <c r="H420" i="2"/>
  <c r="G420" i="2"/>
  <c r="D420" i="2"/>
  <c r="O419" i="2"/>
  <c r="M419" i="2"/>
  <c r="L419" i="2"/>
  <c r="H419" i="2"/>
  <c r="G419" i="2"/>
  <c r="D419" i="2"/>
  <c r="N418" i="2"/>
  <c r="M418" i="2"/>
  <c r="H418" i="2"/>
  <c r="G418" i="2"/>
  <c r="D418" i="2"/>
  <c r="N417" i="2"/>
  <c r="M417" i="2"/>
  <c r="L417" i="2"/>
  <c r="H417" i="2"/>
  <c r="G417" i="2"/>
  <c r="D417" i="2"/>
  <c r="O416" i="2"/>
  <c r="M416" i="2"/>
  <c r="H416" i="2"/>
  <c r="G416" i="2"/>
  <c r="D416" i="2"/>
  <c r="N415" i="2"/>
  <c r="M415" i="2"/>
  <c r="H415" i="2"/>
  <c r="G415" i="2"/>
  <c r="D415" i="2"/>
  <c r="O414" i="2"/>
  <c r="N414" i="2"/>
  <c r="M414" i="2"/>
  <c r="H414" i="2"/>
  <c r="G414" i="2"/>
  <c r="D414" i="2"/>
  <c r="O413" i="2"/>
  <c r="N413" i="2"/>
  <c r="M413" i="2"/>
  <c r="L413" i="2"/>
  <c r="H413" i="2"/>
  <c r="G413" i="2"/>
  <c r="D413" i="2"/>
  <c r="N412" i="2"/>
  <c r="H412" i="2"/>
  <c r="G412" i="2"/>
  <c r="D412" i="2"/>
  <c r="O411" i="2"/>
  <c r="N411" i="2"/>
  <c r="L411" i="2"/>
  <c r="H411" i="2"/>
  <c r="G411" i="2"/>
  <c r="D411" i="2"/>
  <c r="O410" i="2"/>
  <c r="N410" i="2"/>
  <c r="L410" i="2"/>
  <c r="H410" i="2"/>
  <c r="G410" i="2"/>
  <c r="D410" i="2"/>
  <c r="N409" i="2"/>
  <c r="M409" i="2"/>
  <c r="H409" i="2"/>
  <c r="G409" i="2"/>
  <c r="D409" i="2"/>
  <c r="O408" i="2"/>
  <c r="N408" i="2"/>
  <c r="H408" i="2"/>
  <c r="G408" i="2"/>
  <c r="D408" i="2"/>
  <c r="O407" i="2"/>
  <c r="N407" i="2"/>
  <c r="M407" i="2"/>
  <c r="L407" i="2"/>
  <c r="H407" i="2"/>
  <c r="G407" i="2"/>
  <c r="D407" i="2"/>
  <c r="O406" i="2"/>
  <c r="M406" i="2"/>
  <c r="H406" i="2"/>
  <c r="G406" i="2"/>
  <c r="D406" i="2"/>
  <c r="O405" i="2"/>
  <c r="N405" i="2"/>
  <c r="L405" i="2"/>
  <c r="H405" i="2"/>
  <c r="G405" i="2"/>
  <c r="D405" i="2"/>
  <c r="O404" i="2"/>
  <c r="L404" i="2"/>
  <c r="H404" i="2"/>
  <c r="G404" i="2"/>
  <c r="D404" i="2"/>
  <c r="O403" i="2"/>
  <c r="N403" i="2"/>
  <c r="M403" i="2"/>
  <c r="L403" i="2"/>
  <c r="H403" i="2"/>
  <c r="G403" i="2"/>
  <c r="D403" i="2"/>
  <c r="N402" i="2"/>
  <c r="L402" i="2"/>
  <c r="H402" i="2"/>
  <c r="G402" i="2"/>
  <c r="D402" i="2"/>
  <c r="O401" i="2"/>
  <c r="M401" i="2"/>
  <c r="L401" i="2"/>
  <c r="H401" i="2"/>
  <c r="G401" i="2"/>
  <c r="D401" i="2"/>
  <c r="N400" i="2"/>
  <c r="M400" i="2"/>
  <c r="H400" i="2"/>
  <c r="F86" i="1" s="1"/>
  <c r="G400" i="2"/>
  <c r="E86" i="1" s="1"/>
  <c r="D400" i="2"/>
  <c r="O399" i="2"/>
  <c r="N399" i="2"/>
  <c r="L399" i="2"/>
  <c r="H399" i="2"/>
  <c r="G399" i="2"/>
  <c r="D399" i="2"/>
  <c r="O398" i="2"/>
  <c r="M398" i="2"/>
  <c r="H398" i="2"/>
  <c r="G398" i="2"/>
  <c r="D398" i="2"/>
  <c r="N397" i="2"/>
  <c r="M397" i="2"/>
  <c r="L397" i="2"/>
  <c r="H397" i="2"/>
  <c r="G397" i="2"/>
  <c r="D397" i="2"/>
  <c r="O396" i="2"/>
  <c r="N396" i="2"/>
  <c r="L396" i="2"/>
  <c r="H396" i="2"/>
  <c r="G396" i="2"/>
  <c r="D396" i="2"/>
  <c r="O395" i="2"/>
  <c r="M395" i="2"/>
  <c r="L395" i="2"/>
  <c r="H395" i="2"/>
  <c r="G395" i="2"/>
  <c r="D395" i="2"/>
  <c r="N394" i="2"/>
  <c r="H394" i="2"/>
  <c r="G394" i="2"/>
  <c r="D394" i="2"/>
  <c r="O393" i="2"/>
  <c r="N393" i="2"/>
  <c r="M393" i="2"/>
  <c r="L393" i="2"/>
  <c r="H393" i="2"/>
  <c r="G393" i="2"/>
  <c r="D393" i="2"/>
  <c r="O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L390" i="2"/>
  <c r="H390" i="2"/>
  <c r="G390" i="2"/>
  <c r="D390" i="2"/>
  <c r="O389" i="2"/>
  <c r="N389" i="2"/>
  <c r="M389" i="2"/>
  <c r="L389" i="2"/>
  <c r="H389" i="2"/>
  <c r="G389" i="2"/>
  <c r="D389" i="2"/>
  <c r="N388" i="2"/>
  <c r="M388" i="2"/>
  <c r="H388" i="2"/>
  <c r="G388" i="2"/>
  <c r="D388" i="2"/>
  <c r="O387" i="2"/>
  <c r="N387" i="2"/>
  <c r="L387" i="2"/>
  <c r="H387" i="2"/>
  <c r="G387" i="2"/>
  <c r="D387" i="2"/>
  <c r="N386" i="2"/>
  <c r="M386" i="2"/>
  <c r="L386" i="2"/>
  <c r="H386" i="2"/>
  <c r="G386" i="2"/>
  <c r="D386" i="2"/>
  <c r="N385" i="2"/>
  <c r="M385" i="2"/>
  <c r="H385" i="2"/>
  <c r="G385" i="2"/>
  <c r="D385" i="2"/>
  <c r="O384" i="2"/>
  <c r="N384" i="2"/>
  <c r="L384" i="2"/>
  <c r="H384" i="2"/>
  <c r="G384" i="2"/>
  <c r="D384" i="2"/>
  <c r="O383" i="2"/>
  <c r="N383" i="2"/>
  <c r="L383" i="2"/>
  <c r="H383" i="2"/>
  <c r="G383" i="2"/>
  <c r="D383" i="2"/>
  <c r="O382" i="2"/>
  <c r="N382" i="2"/>
  <c r="M382" i="2"/>
  <c r="H382" i="2"/>
  <c r="G382" i="2"/>
  <c r="D382" i="2"/>
  <c r="O381" i="2"/>
  <c r="L381" i="2"/>
  <c r="H381" i="2"/>
  <c r="G381" i="2"/>
  <c r="D381" i="2"/>
  <c r="O380" i="2"/>
  <c r="M380" i="2"/>
  <c r="L380" i="2"/>
  <c r="H380" i="2"/>
  <c r="G380" i="2"/>
  <c r="D380" i="2"/>
  <c r="O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M377" i="2"/>
  <c r="H377" i="2"/>
  <c r="G377" i="2"/>
  <c r="D377" i="2"/>
  <c r="O376" i="2"/>
  <c r="N376" i="2"/>
  <c r="M376" i="2"/>
  <c r="L376" i="2"/>
  <c r="H376" i="2"/>
  <c r="G376" i="2"/>
  <c r="D376" i="2"/>
  <c r="O375" i="2"/>
  <c r="L375" i="2"/>
  <c r="H375" i="2"/>
  <c r="G375" i="2"/>
  <c r="D375" i="2"/>
  <c r="O374" i="2"/>
  <c r="M374" i="2"/>
  <c r="L374" i="2"/>
  <c r="H374" i="2"/>
  <c r="G374" i="2"/>
  <c r="D374" i="2"/>
  <c r="N373" i="2"/>
  <c r="L373" i="2"/>
  <c r="H373" i="2"/>
  <c r="G373" i="2"/>
  <c r="D373" i="2"/>
  <c r="O372" i="2"/>
  <c r="N372" i="2"/>
  <c r="M372" i="2"/>
  <c r="L372" i="2"/>
  <c r="H372" i="2"/>
  <c r="G372" i="2"/>
  <c r="D372" i="2"/>
  <c r="N371" i="2"/>
  <c r="M371" i="2"/>
  <c r="L371" i="2"/>
  <c r="H371" i="2"/>
  <c r="G371" i="2"/>
  <c r="D371" i="2"/>
  <c r="N370" i="2"/>
  <c r="M370" i="2"/>
  <c r="H370" i="2"/>
  <c r="G370" i="2"/>
  <c r="D370" i="2"/>
  <c r="N369" i="2"/>
  <c r="M369" i="2"/>
  <c r="L369" i="2"/>
  <c r="H369" i="2"/>
  <c r="G369" i="2"/>
  <c r="D369" i="2"/>
  <c r="O368" i="2"/>
  <c r="M368" i="2"/>
  <c r="H368" i="2"/>
  <c r="G368" i="2"/>
  <c r="D368" i="2"/>
  <c r="N367" i="2"/>
  <c r="M367" i="2"/>
  <c r="H367" i="2"/>
  <c r="G367" i="2"/>
  <c r="D367" i="2"/>
  <c r="O366" i="2"/>
  <c r="N366" i="2"/>
  <c r="M366" i="2"/>
  <c r="H366" i="2"/>
  <c r="G366" i="2"/>
  <c r="D366" i="2"/>
  <c r="O365" i="2"/>
  <c r="N365" i="2"/>
  <c r="M365" i="2"/>
  <c r="L365" i="2"/>
  <c r="H365" i="2"/>
  <c r="G365" i="2"/>
  <c r="D365" i="2"/>
  <c r="O364" i="2"/>
  <c r="M364" i="2"/>
  <c r="H364" i="2"/>
  <c r="G364" i="2"/>
  <c r="D364" i="2"/>
  <c r="O363" i="2"/>
  <c r="N363" i="2"/>
  <c r="L363" i="2"/>
  <c r="H363" i="2"/>
  <c r="G363" i="2"/>
  <c r="D363" i="2"/>
  <c r="O362" i="2"/>
  <c r="M362" i="2"/>
  <c r="L362" i="2"/>
  <c r="H362" i="2"/>
  <c r="G362" i="2"/>
  <c r="D362" i="2"/>
  <c r="N361" i="2"/>
  <c r="M361" i="2"/>
  <c r="L361" i="2"/>
  <c r="H361" i="2"/>
  <c r="G361" i="2"/>
  <c r="D361" i="2"/>
  <c r="N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H358" i="2"/>
  <c r="G358" i="2"/>
  <c r="D358" i="2"/>
  <c r="O357" i="2"/>
  <c r="N357" i="2"/>
  <c r="L357" i="2"/>
  <c r="H357" i="2"/>
  <c r="G357" i="2"/>
  <c r="D357" i="2"/>
  <c r="O356" i="2"/>
  <c r="M356" i="2"/>
  <c r="H356" i="2"/>
  <c r="G356" i="2"/>
  <c r="D356" i="2"/>
  <c r="O355" i="2"/>
  <c r="N355" i="2"/>
  <c r="M355" i="2"/>
  <c r="L355" i="2"/>
  <c r="H355" i="2"/>
  <c r="G355" i="2"/>
  <c r="D355" i="2"/>
  <c r="O354" i="2"/>
  <c r="M354" i="2"/>
  <c r="L354" i="2"/>
  <c r="H354" i="2"/>
  <c r="G354" i="2"/>
  <c r="D354" i="2"/>
  <c r="O353" i="2"/>
  <c r="M353" i="2"/>
  <c r="L353" i="2"/>
  <c r="H353" i="2"/>
  <c r="G353" i="2"/>
  <c r="D353" i="2"/>
  <c r="N352" i="2"/>
  <c r="M352" i="2"/>
  <c r="L352" i="2"/>
  <c r="H352" i="2"/>
  <c r="G352" i="2"/>
  <c r="D352" i="2"/>
  <c r="O351" i="2"/>
  <c r="N351" i="2"/>
  <c r="H351" i="2"/>
  <c r="G351" i="2"/>
  <c r="D351" i="2"/>
  <c r="O350" i="2"/>
  <c r="M350" i="2"/>
  <c r="L350" i="2"/>
  <c r="H350" i="2"/>
  <c r="G350" i="2"/>
  <c r="D350" i="2"/>
  <c r="N349" i="2"/>
  <c r="M349" i="2"/>
  <c r="H349" i="2"/>
  <c r="G349" i="2"/>
  <c r="D349" i="2"/>
  <c r="O348" i="2"/>
  <c r="N348" i="2"/>
  <c r="M348" i="2"/>
  <c r="L348" i="2"/>
  <c r="H348" i="2"/>
  <c r="G348" i="2"/>
  <c r="D348" i="2"/>
  <c r="O347" i="2"/>
  <c r="M347" i="2"/>
  <c r="L347" i="2"/>
  <c r="H347" i="2"/>
  <c r="G347" i="2"/>
  <c r="D347" i="2"/>
  <c r="N346" i="2"/>
  <c r="M346" i="2"/>
  <c r="H346" i="2"/>
  <c r="G346" i="2"/>
  <c r="D346" i="2"/>
  <c r="O345" i="2"/>
  <c r="M345" i="2"/>
  <c r="L345" i="2"/>
  <c r="H345" i="2"/>
  <c r="G345" i="2"/>
  <c r="D345" i="2"/>
  <c r="O344" i="2"/>
  <c r="M344" i="2"/>
  <c r="L344" i="2"/>
  <c r="H344" i="2"/>
  <c r="G344" i="2"/>
  <c r="D344" i="2"/>
  <c r="M343" i="2"/>
  <c r="H343" i="2"/>
  <c r="G343" i="2"/>
  <c r="D343" i="2"/>
  <c r="O342" i="2"/>
  <c r="N342" i="2"/>
  <c r="M342" i="2"/>
  <c r="L342" i="2"/>
  <c r="H342" i="2"/>
  <c r="G342" i="2"/>
  <c r="D342" i="2"/>
  <c r="N341" i="2"/>
  <c r="M341" i="2"/>
  <c r="H341" i="2"/>
  <c r="G341" i="2"/>
  <c r="D341" i="2"/>
  <c r="O340" i="2"/>
  <c r="N340" i="2"/>
  <c r="M340" i="2"/>
  <c r="H340" i="2"/>
  <c r="G340" i="2"/>
  <c r="D340" i="2"/>
  <c r="O339" i="2"/>
  <c r="N339" i="2"/>
  <c r="H339" i="2"/>
  <c r="G339" i="2"/>
  <c r="D339" i="2"/>
  <c r="O338" i="2"/>
  <c r="N338" i="2"/>
  <c r="M338" i="2"/>
  <c r="L338" i="2"/>
  <c r="H338" i="2"/>
  <c r="G338" i="2"/>
  <c r="D338" i="2"/>
  <c r="N337" i="2"/>
  <c r="L337" i="2"/>
  <c r="H337" i="2"/>
  <c r="G337" i="2"/>
  <c r="D337" i="2"/>
  <c r="O336" i="2"/>
  <c r="N336" i="2"/>
  <c r="L336" i="2"/>
  <c r="H336" i="2"/>
  <c r="F82" i="1" s="1"/>
  <c r="G336" i="2"/>
  <c r="E82" i="1" s="1"/>
  <c r="D336" i="2"/>
  <c r="O335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N333" i="2"/>
  <c r="L333" i="2"/>
  <c r="H333" i="2"/>
  <c r="G333" i="2"/>
  <c r="D333" i="2"/>
  <c r="O332" i="2"/>
  <c r="M332" i="2"/>
  <c r="L332" i="2"/>
  <c r="H332" i="2"/>
  <c r="G332" i="2"/>
  <c r="D332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M329" i="2"/>
  <c r="L329" i="2"/>
  <c r="H329" i="2"/>
  <c r="G329" i="2"/>
  <c r="D329" i="2"/>
  <c r="O328" i="2"/>
  <c r="M328" i="2"/>
  <c r="L328" i="2"/>
  <c r="H328" i="2"/>
  <c r="G328" i="2"/>
  <c r="D328" i="2"/>
  <c r="O327" i="2"/>
  <c r="N327" i="2"/>
  <c r="L327" i="2"/>
  <c r="H327" i="2"/>
  <c r="G327" i="2"/>
  <c r="D327" i="2"/>
  <c r="O326" i="2"/>
  <c r="M326" i="2"/>
  <c r="L326" i="2"/>
  <c r="H326" i="2"/>
  <c r="G326" i="2"/>
  <c r="D326" i="2"/>
  <c r="N325" i="2"/>
  <c r="M325" i="2"/>
  <c r="L325" i="2"/>
  <c r="H325" i="2"/>
  <c r="G325" i="2"/>
  <c r="D325" i="2"/>
  <c r="N324" i="2"/>
  <c r="M324" i="2"/>
  <c r="H324" i="2"/>
  <c r="G324" i="2"/>
  <c r="D324" i="2"/>
  <c r="O323" i="2"/>
  <c r="N323" i="2"/>
  <c r="M323" i="2"/>
  <c r="L323" i="2"/>
  <c r="H323" i="2"/>
  <c r="G323" i="2"/>
  <c r="D323" i="2"/>
  <c r="N322" i="2"/>
  <c r="H322" i="2"/>
  <c r="G322" i="2"/>
  <c r="D322" i="2"/>
  <c r="O321" i="2"/>
  <c r="N321" i="2"/>
  <c r="M321" i="2"/>
  <c r="L321" i="2"/>
  <c r="H321" i="2"/>
  <c r="G321" i="2"/>
  <c r="D321" i="2"/>
  <c r="O320" i="2"/>
  <c r="M320" i="2"/>
  <c r="L320" i="2"/>
  <c r="H320" i="2"/>
  <c r="G320" i="2"/>
  <c r="D320" i="2"/>
  <c r="N319" i="2"/>
  <c r="M319" i="2"/>
  <c r="H319" i="2"/>
  <c r="G319" i="2"/>
  <c r="D319" i="2"/>
  <c r="O318" i="2"/>
  <c r="M318" i="2"/>
  <c r="L318" i="2"/>
  <c r="H318" i="2"/>
  <c r="G318" i="2"/>
  <c r="D318" i="2"/>
  <c r="O317" i="2"/>
  <c r="N317" i="2"/>
  <c r="M317" i="2"/>
  <c r="H317" i="2"/>
  <c r="G317" i="2"/>
  <c r="D317" i="2"/>
  <c r="O316" i="2"/>
  <c r="N316" i="2"/>
  <c r="M316" i="2"/>
  <c r="H316" i="2"/>
  <c r="G316" i="2"/>
  <c r="D316" i="2"/>
  <c r="O315" i="2"/>
  <c r="N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M313" i="2"/>
  <c r="L313" i="2"/>
  <c r="H313" i="2"/>
  <c r="G313" i="2"/>
  <c r="D313" i="2"/>
  <c r="O312" i="2"/>
  <c r="N312" i="2"/>
  <c r="L312" i="2"/>
  <c r="H312" i="2"/>
  <c r="G312" i="2"/>
  <c r="D312" i="2"/>
  <c r="O311" i="2"/>
  <c r="N311" i="2"/>
  <c r="M311" i="2"/>
  <c r="H311" i="2"/>
  <c r="G311" i="2"/>
  <c r="D311" i="2"/>
  <c r="O310" i="2"/>
  <c r="N310" i="2"/>
  <c r="M310" i="2"/>
  <c r="L310" i="2"/>
  <c r="H310" i="2"/>
  <c r="G310" i="2"/>
  <c r="D310" i="2"/>
  <c r="O309" i="2"/>
  <c r="L309" i="2"/>
  <c r="H309" i="2"/>
  <c r="G309" i="2"/>
  <c r="D309" i="2"/>
  <c r="O308" i="2"/>
  <c r="M308" i="2"/>
  <c r="L308" i="2"/>
  <c r="H308" i="2"/>
  <c r="G308" i="2"/>
  <c r="D308" i="2"/>
  <c r="O307" i="2"/>
  <c r="M307" i="2"/>
  <c r="L307" i="2"/>
  <c r="H307" i="2"/>
  <c r="G307" i="2"/>
  <c r="D307" i="2"/>
  <c r="O306" i="2"/>
  <c r="N306" i="2"/>
  <c r="M306" i="2"/>
  <c r="H306" i="2"/>
  <c r="G306" i="2"/>
  <c r="D306" i="2"/>
  <c r="O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M302" i="2"/>
  <c r="L302" i="2"/>
  <c r="H302" i="2"/>
  <c r="G302" i="2"/>
  <c r="D302" i="2"/>
  <c r="N301" i="2"/>
  <c r="M301" i="2"/>
  <c r="L301" i="2"/>
  <c r="H301" i="2"/>
  <c r="G301" i="2"/>
  <c r="D301" i="2"/>
  <c r="O300" i="2"/>
  <c r="N300" i="2"/>
  <c r="M300" i="2"/>
  <c r="H300" i="2"/>
  <c r="G300" i="2"/>
  <c r="D300" i="2"/>
  <c r="O299" i="2"/>
  <c r="N299" i="2"/>
  <c r="M299" i="2"/>
  <c r="L299" i="2"/>
  <c r="H299" i="2"/>
  <c r="G299" i="2"/>
  <c r="D299" i="2"/>
  <c r="N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M296" i="2"/>
  <c r="L296" i="2"/>
  <c r="H296" i="2"/>
  <c r="F77" i="1" s="1"/>
  <c r="G296" i="2"/>
  <c r="E77" i="1" s="1"/>
  <c r="D296" i="2"/>
  <c r="N295" i="2"/>
  <c r="M295" i="2"/>
  <c r="H295" i="2"/>
  <c r="G295" i="2"/>
  <c r="D295" i="2"/>
  <c r="O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O291" i="2"/>
  <c r="N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L288" i="2"/>
  <c r="H288" i="2"/>
  <c r="G288" i="2"/>
  <c r="D288" i="2"/>
  <c r="N287" i="2"/>
  <c r="M287" i="2"/>
  <c r="H287" i="2"/>
  <c r="G287" i="2"/>
  <c r="D287" i="2"/>
  <c r="O286" i="2"/>
  <c r="N286" i="2"/>
  <c r="M286" i="2"/>
  <c r="L286" i="2"/>
  <c r="H286" i="2"/>
  <c r="G286" i="2"/>
  <c r="D286" i="2"/>
  <c r="O285" i="2"/>
  <c r="L285" i="2"/>
  <c r="H285" i="2"/>
  <c r="G285" i="2"/>
  <c r="D285" i="2"/>
  <c r="O284" i="2"/>
  <c r="M284" i="2"/>
  <c r="L284" i="2"/>
  <c r="H284" i="2"/>
  <c r="G284" i="2"/>
  <c r="D284" i="2"/>
  <c r="O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N276" i="2"/>
  <c r="M276" i="2"/>
  <c r="H276" i="2"/>
  <c r="G276" i="2"/>
  <c r="D276" i="2"/>
  <c r="O275" i="2"/>
  <c r="N275" i="2"/>
  <c r="M275" i="2"/>
  <c r="L275" i="2"/>
  <c r="H275" i="2"/>
  <c r="G275" i="2"/>
  <c r="D275" i="2"/>
  <c r="N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M272" i="2"/>
  <c r="L272" i="2"/>
  <c r="H272" i="2"/>
  <c r="G272" i="2"/>
  <c r="D272" i="2"/>
  <c r="N271" i="2"/>
  <c r="M271" i="2"/>
  <c r="H271" i="2"/>
  <c r="G271" i="2"/>
  <c r="D271" i="2"/>
  <c r="O270" i="2"/>
  <c r="M270" i="2"/>
  <c r="L270" i="2"/>
  <c r="H270" i="2"/>
  <c r="G270" i="2"/>
  <c r="D270" i="2"/>
  <c r="O269" i="2"/>
  <c r="N269" i="2"/>
  <c r="M269" i="2"/>
  <c r="H269" i="2"/>
  <c r="G269" i="2"/>
  <c r="D269" i="2"/>
  <c r="O268" i="2"/>
  <c r="N268" i="2"/>
  <c r="M268" i="2"/>
  <c r="H268" i="2"/>
  <c r="G268" i="2"/>
  <c r="D268" i="2"/>
  <c r="O267" i="2"/>
  <c r="N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M263" i="2"/>
  <c r="H263" i="2"/>
  <c r="G263" i="2"/>
  <c r="D263" i="2"/>
  <c r="O262" i="2"/>
  <c r="N262" i="2"/>
  <c r="M262" i="2"/>
  <c r="L262" i="2"/>
  <c r="H262" i="2"/>
  <c r="G262" i="2"/>
  <c r="D262" i="2"/>
  <c r="O261" i="2"/>
  <c r="L261" i="2"/>
  <c r="H261" i="2"/>
  <c r="G261" i="2"/>
  <c r="D261" i="2"/>
  <c r="O260" i="2"/>
  <c r="M260" i="2"/>
  <c r="L260" i="2"/>
  <c r="H260" i="2"/>
  <c r="G260" i="2"/>
  <c r="D260" i="2"/>
  <c r="O259" i="2"/>
  <c r="M259" i="2"/>
  <c r="L259" i="2"/>
  <c r="H259" i="2"/>
  <c r="G259" i="2"/>
  <c r="D259" i="2"/>
  <c r="O258" i="2"/>
  <c r="N258" i="2"/>
  <c r="M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M254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H252" i="2"/>
  <c r="G252" i="2"/>
  <c r="D252" i="2"/>
  <c r="O251" i="2"/>
  <c r="N251" i="2"/>
  <c r="M251" i="2"/>
  <c r="L251" i="2"/>
  <c r="H251" i="2"/>
  <c r="G251" i="2"/>
  <c r="D251" i="2"/>
  <c r="N250" i="2"/>
  <c r="H250" i="2"/>
  <c r="G250" i="2"/>
  <c r="D250" i="2"/>
  <c r="O249" i="2"/>
  <c r="N249" i="2"/>
  <c r="M249" i="2"/>
  <c r="L249" i="2"/>
  <c r="H249" i="2"/>
  <c r="G249" i="2"/>
  <c r="D249" i="2"/>
  <c r="O248" i="2"/>
  <c r="M248" i="2"/>
  <c r="L248" i="2"/>
  <c r="H248" i="2"/>
  <c r="G248" i="2"/>
  <c r="D248" i="2"/>
  <c r="N247" i="2"/>
  <c r="M247" i="2"/>
  <c r="H247" i="2"/>
  <c r="G247" i="2"/>
  <c r="D247" i="2"/>
  <c r="O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N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L240" i="2"/>
  <c r="H240" i="2"/>
  <c r="G240" i="2"/>
  <c r="D240" i="2"/>
  <c r="N239" i="2"/>
  <c r="M239" i="2"/>
  <c r="H239" i="2"/>
  <c r="G239" i="2"/>
  <c r="D239" i="2"/>
  <c r="O238" i="2"/>
  <c r="N238" i="2"/>
  <c r="M238" i="2"/>
  <c r="L238" i="2"/>
  <c r="H238" i="2"/>
  <c r="G238" i="2"/>
  <c r="D238" i="2"/>
  <c r="O237" i="2"/>
  <c r="L237" i="2"/>
  <c r="H237" i="2"/>
  <c r="G237" i="2"/>
  <c r="D237" i="2"/>
  <c r="O236" i="2"/>
  <c r="M236" i="2"/>
  <c r="L236" i="2"/>
  <c r="H236" i="2"/>
  <c r="G236" i="2"/>
  <c r="D236" i="2"/>
  <c r="O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L233" i="2"/>
  <c r="H233" i="2"/>
  <c r="G233" i="2"/>
  <c r="D233" i="2"/>
  <c r="O232" i="2"/>
  <c r="N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L229" i="2"/>
  <c r="H229" i="2"/>
  <c r="G229" i="2"/>
  <c r="D229" i="2"/>
  <c r="N228" i="2"/>
  <c r="M228" i="2"/>
  <c r="H228" i="2"/>
  <c r="G228" i="2"/>
  <c r="D228" i="2"/>
  <c r="O227" i="2"/>
  <c r="N227" i="2"/>
  <c r="M227" i="2"/>
  <c r="L227" i="2"/>
  <c r="H227" i="2"/>
  <c r="G227" i="2"/>
  <c r="D227" i="2"/>
  <c r="N226" i="2"/>
  <c r="H226" i="2"/>
  <c r="G226" i="2"/>
  <c r="D226" i="2"/>
  <c r="O225" i="2"/>
  <c r="N225" i="2"/>
  <c r="M225" i="2"/>
  <c r="L225" i="2"/>
  <c r="H225" i="2"/>
  <c r="G225" i="2"/>
  <c r="D225" i="2"/>
  <c r="O224" i="2"/>
  <c r="M224" i="2"/>
  <c r="L224" i="2"/>
  <c r="H224" i="2"/>
  <c r="G224" i="2"/>
  <c r="D224" i="2"/>
  <c r="N223" i="2"/>
  <c r="M223" i="2"/>
  <c r="H223" i="2"/>
  <c r="G223" i="2"/>
  <c r="D223" i="2"/>
  <c r="O222" i="2"/>
  <c r="M222" i="2"/>
  <c r="L222" i="2"/>
  <c r="H222" i="2"/>
  <c r="G222" i="2"/>
  <c r="D222" i="2"/>
  <c r="O221" i="2"/>
  <c r="N221" i="2"/>
  <c r="M221" i="2"/>
  <c r="H221" i="2"/>
  <c r="G221" i="2"/>
  <c r="D221" i="2"/>
  <c r="O220" i="2"/>
  <c r="N220" i="2"/>
  <c r="M220" i="2"/>
  <c r="H220" i="2"/>
  <c r="G220" i="2"/>
  <c r="D220" i="2"/>
  <c r="O219" i="2"/>
  <c r="N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M217" i="2"/>
  <c r="L217" i="2"/>
  <c r="H217" i="2"/>
  <c r="G217" i="2"/>
  <c r="D217" i="2"/>
  <c r="O216" i="2"/>
  <c r="N216" i="2"/>
  <c r="L216" i="2"/>
  <c r="H216" i="2"/>
  <c r="G216" i="2"/>
  <c r="D216" i="2"/>
  <c r="O215" i="2"/>
  <c r="N215" i="2"/>
  <c r="M215" i="2"/>
  <c r="H215" i="2"/>
  <c r="G215" i="2"/>
  <c r="D215" i="2"/>
  <c r="O214" i="2"/>
  <c r="N214" i="2"/>
  <c r="M214" i="2"/>
  <c r="L214" i="2"/>
  <c r="H214" i="2"/>
  <c r="G214" i="2"/>
  <c r="D214" i="2"/>
  <c r="O213" i="2"/>
  <c r="L213" i="2"/>
  <c r="H213" i="2"/>
  <c r="G213" i="2"/>
  <c r="D213" i="2"/>
  <c r="O212" i="2"/>
  <c r="M212" i="2"/>
  <c r="L212" i="2"/>
  <c r="H212" i="2"/>
  <c r="G212" i="2"/>
  <c r="D212" i="2"/>
  <c r="O211" i="2"/>
  <c r="M211" i="2"/>
  <c r="L211" i="2"/>
  <c r="H211" i="2"/>
  <c r="G211" i="2"/>
  <c r="D211" i="2"/>
  <c r="O210" i="2"/>
  <c r="N210" i="2"/>
  <c r="M210" i="2"/>
  <c r="H210" i="2"/>
  <c r="G210" i="2"/>
  <c r="D210" i="2"/>
  <c r="O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M204" i="2"/>
  <c r="H204" i="2"/>
  <c r="G204" i="2"/>
  <c r="D204" i="2"/>
  <c r="O203" i="2"/>
  <c r="N203" i="2"/>
  <c r="M203" i="2"/>
  <c r="L203" i="2"/>
  <c r="H203" i="2"/>
  <c r="G203" i="2"/>
  <c r="D203" i="2"/>
  <c r="N202" i="2"/>
  <c r="H202" i="2"/>
  <c r="G202" i="2"/>
  <c r="D202" i="2"/>
  <c r="O201" i="2"/>
  <c r="N201" i="2"/>
  <c r="M201" i="2"/>
  <c r="L201" i="2"/>
  <c r="H201" i="2"/>
  <c r="G201" i="2"/>
  <c r="D201" i="2"/>
  <c r="O200" i="2"/>
  <c r="M200" i="2"/>
  <c r="L200" i="2"/>
  <c r="H200" i="2"/>
  <c r="G200" i="2"/>
  <c r="D200" i="2"/>
  <c r="N199" i="2"/>
  <c r="M199" i="2"/>
  <c r="H199" i="2"/>
  <c r="G199" i="2"/>
  <c r="D199" i="2"/>
  <c r="O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H196" i="2"/>
  <c r="G196" i="2"/>
  <c r="D196" i="2"/>
  <c r="O195" i="2"/>
  <c r="N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L192" i="2"/>
  <c r="H192" i="2"/>
  <c r="F58" i="1" s="1"/>
  <c r="G192" i="2"/>
  <c r="E58" i="1" s="1"/>
  <c r="D192" i="2"/>
  <c r="N191" i="2"/>
  <c r="M191" i="2"/>
  <c r="H191" i="2"/>
  <c r="G191" i="2"/>
  <c r="D191" i="2"/>
  <c r="O190" i="2"/>
  <c r="N190" i="2"/>
  <c r="M190" i="2"/>
  <c r="L190" i="2"/>
  <c r="H190" i="2"/>
  <c r="G190" i="2"/>
  <c r="D190" i="2"/>
  <c r="O189" i="2"/>
  <c r="L189" i="2"/>
  <c r="H189" i="2"/>
  <c r="G189" i="2"/>
  <c r="D189" i="2"/>
  <c r="O188" i="2"/>
  <c r="M188" i="2"/>
  <c r="L188" i="2"/>
  <c r="H188" i="2"/>
  <c r="G188" i="2"/>
  <c r="D188" i="2"/>
  <c r="O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N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L180" i="2"/>
  <c r="H180" i="2"/>
  <c r="G180" i="2"/>
  <c r="D180" i="2"/>
  <c r="O179" i="2"/>
  <c r="N179" i="2"/>
  <c r="M179" i="2"/>
  <c r="L179" i="2"/>
  <c r="H179" i="2"/>
  <c r="G179" i="2"/>
  <c r="D179" i="2"/>
  <c r="M178" i="2"/>
  <c r="L178" i="2"/>
  <c r="H178" i="2"/>
  <c r="G178" i="2"/>
  <c r="D178" i="2"/>
  <c r="O177" i="2"/>
  <c r="N177" i="2"/>
  <c r="M177" i="2"/>
  <c r="H177" i="2"/>
  <c r="G177" i="2"/>
  <c r="D177" i="2"/>
  <c r="O176" i="2"/>
  <c r="N176" i="2"/>
  <c r="M176" i="2"/>
  <c r="L176" i="2"/>
  <c r="H176" i="2"/>
  <c r="G176" i="2"/>
  <c r="D176" i="2"/>
  <c r="N175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M173" i="2"/>
  <c r="L173" i="2"/>
  <c r="H173" i="2"/>
  <c r="G173" i="2"/>
  <c r="D173" i="2"/>
  <c r="O172" i="2"/>
  <c r="N172" i="2"/>
  <c r="M172" i="2"/>
  <c r="H172" i="2"/>
  <c r="G172" i="2"/>
  <c r="D172" i="2"/>
  <c r="O171" i="2"/>
  <c r="N171" i="2"/>
  <c r="M171" i="2"/>
  <c r="H171" i="2"/>
  <c r="G171" i="2"/>
  <c r="D171" i="2"/>
  <c r="O170" i="2"/>
  <c r="N170" i="2"/>
  <c r="M170" i="2"/>
  <c r="L170" i="2"/>
  <c r="H170" i="2"/>
  <c r="G170" i="2"/>
  <c r="D170" i="2"/>
  <c r="O169" i="2"/>
  <c r="M169" i="2"/>
  <c r="L169" i="2"/>
  <c r="H169" i="2"/>
  <c r="G169" i="2"/>
  <c r="D169" i="2"/>
  <c r="O168" i="2"/>
  <c r="N168" i="2"/>
  <c r="L168" i="2"/>
  <c r="H168" i="2"/>
  <c r="G168" i="2"/>
  <c r="D168" i="2"/>
  <c r="N167" i="2"/>
  <c r="M167" i="2"/>
  <c r="L167" i="2"/>
  <c r="H167" i="2"/>
  <c r="G167" i="2"/>
  <c r="D167" i="2"/>
  <c r="O166" i="2"/>
  <c r="N166" i="2"/>
  <c r="L166" i="2"/>
  <c r="H166" i="2"/>
  <c r="G166" i="2"/>
  <c r="D166" i="2"/>
  <c r="O165" i="2"/>
  <c r="N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M160" i="2"/>
  <c r="L160" i="2"/>
  <c r="H160" i="2"/>
  <c r="G160" i="2"/>
  <c r="D160" i="2"/>
  <c r="O159" i="2"/>
  <c r="N159" i="2"/>
  <c r="M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N155" i="2"/>
  <c r="M155" i="2"/>
  <c r="H155" i="2"/>
  <c r="G155" i="2"/>
  <c r="D155" i="2"/>
  <c r="N154" i="2"/>
  <c r="M154" i="2"/>
  <c r="L154" i="2"/>
  <c r="H154" i="2"/>
  <c r="G154" i="2"/>
  <c r="D154" i="2"/>
  <c r="O153" i="2"/>
  <c r="N153" i="2"/>
  <c r="L153" i="2"/>
  <c r="H153" i="2"/>
  <c r="G153" i="2"/>
  <c r="D153" i="2"/>
  <c r="O152" i="2"/>
  <c r="N152" i="2"/>
  <c r="M152" i="2"/>
  <c r="L152" i="2"/>
  <c r="H152" i="2"/>
  <c r="G152" i="2"/>
  <c r="D152" i="2"/>
  <c r="M151" i="2"/>
  <c r="H151" i="2"/>
  <c r="G151" i="2"/>
  <c r="D151" i="2"/>
  <c r="O150" i="2"/>
  <c r="N150" i="2"/>
  <c r="M150" i="2"/>
  <c r="L150" i="2"/>
  <c r="H150" i="2"/>
  <c r="G150" i="2"/>
  <c r="D150" i="2"/>
  <c r="N149" i="2"/>
  <c r="M149" i="2"/>
  <c r="L149" i="2"/>
  <c r="H149" i="2"/>
  <c r="G149" i="2"/>
  <c r="D149" i="2"/>
  <c r="O148" i="2"/>
  <c r="N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H144" i="2"/>
  <c r="G144" i="2"/>
  <c r="D144" i="2"/>
  <c r="O143" i="2"/>
  <c r="N143" i="2"/>
  <c r="M143" i="2"/>
  <c r="L143" i="2"/>
  <c r="H143" i="2"/>
  <c r="G143" i="2"/>
  <c r="D143" i="2"/>
  <c r="O142" i="2"/>
  <c r="M142" i="2"/>
  <c r="L142" i="2"/>
  <c r="H142" i="2"/>
  <c r="G142" i="2"/>
  <c r="D142" i="2"/>
  <c r="O141" i="2"/>
  <c r="N141" i="2"/>
  <c r="L141" i="2"/>
  <c r="H141" i="2"/>
  <c r="G141" i="2"/>
  <c r="D141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L135" i="2"/>
  <c r="H135" i="2"/>
  <c r="G135" i="2"/>
  <c r="D135" i="2"/>
  <c r="O134" i="2"/>
  <c r="M134" i="2"/>
  <c r="L134" i="2"/>
  <c r="H134" i="2"/>
  <c r="G134" i="2"/>
  <c r="D134" i="2"/>
  <c r="O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N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H128" i="2"/>
  <c r="G128" i="2"/>
  <c r="D128" i="2"/>
  <c r="N127" i="2"/>
  <c r="M127" i="2"/>
  <c r="H127" i="2"/>
  <c r="G127" i="2"/>
  <c r="D127" i="2"/>
  <c r="N126" i="2"/>
  <c r="M126" i="2"/>
  <c r="H126" i="2"/>
  <c r="G126" i="2"/>
  <c r="D126" i="2"/>
  <c r="O125" i="2"/>
  <c r="N125" i="2"/>
  <c r="M125" i="2"/>
  <c r="L125" i="2"/>
  <c r="H125" i="2"/>
  <c r="G125" i="2"/>
  <c r="D125" i="2"/>
  <c r="O124" i="2"/>
  <c r="M124" i="2"/>
  <c r="H124" i="2"/>
  <c r="G124" i="2"/>
  <c r="D124" i="2"/>
  <c r="O123" i="2"/>
  <c r="N123" i="2"/>
  <c r="M123" i="2"/>
  <c r="L123" i="2"/>
  <c r="H123" i="2"/>
  <c r="G123" i="2"/>
  <c r="D123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H117" i="2"/>
  <c r="G117" i="2"/>
  <c r="D117" i="2"/>
  <c r="O116" i="2"/>
  <c r="N116" i="2"/>
  <c r="M116" i="2"/>
  <c r="L116" i="2"/>
  <c r="H116" i="2"/>
  <c r="G116" i="2"/>
  <c r="D116" i="2"/>
  <c r="O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L108" i="2"/>
  <c r="H108" i="2"/>
  <c r="G108" i="2"/>
  <c r="D108" i="2"/>
  <c r="O107" i="2"/>
  <c r="N107" i="2"/>
  <c r="M107" i="2"/>
  <c r="L107" i="2"/>
  <c r="H107" i="2"/>
  <c r="G107" i="2"/>
  <c r="D107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L81" i="2"/>
  <c r="H81" i="2"/>
  <c r="G81" i="2"/>
  <c r="D81" i="2"/>
  <c r="O80" i="2"/>
  <c r="N80" i="2"/>
  <c r="M80" i="2"/>
  <c r="L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N77" i="2"/>
  <c r="M77" i="2"/>
  <c r="L77" i="2"/>
  <c r="H77" i="2"/>
  <c r="G77" i="2"/>
  <c r="D77" i="2"/>
  <c r="O76" i="2"/>
  <c r="N76" i="2"/>
  <c r="M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L72" i="2"/>
  <c r="H72" i="2"/>
  <c r="G72" i="2"/>
  <c r="D72" i="2"/>
  <c r="O71" i="2"/>
  <c r="N71" i="2"/>
  <c r="M71" i="2"/>
  <c r="L71" i="2"/>
  <c r="H71" i="2"/>
  <c r="G71" i="2"/>
  <c r="D71" i="2"/>
  <c r="O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I238" i="3" l="1"/>
  <c r="N1705" i="2"/>
  <c r="N1711" i="2"/>
  <c r="N1717" i="2"/>
  <c r="N1723" i="2"/>
  <c r="O341" i="2"/>
  <c r="N345" i="2"/>
  <c r="L349" i="2"/>
  <c r="O360" i="2"/>
  <c r="N364" i="2"/>
  <c r="L368" i="2"/>
  <c r="N379" i="2"/>
  <c r="M383" i="2"/>
  <c r="O402" i="2"/>
  <c r="N406" i="2"/>
  <c r="M410" i="2"/>
  <c r="L414" i="2"/>
  <c r="O437" i="2"/>
  <c r="N441" i="2"/>
  <c r="M445" i="2"/>
  <c r="L449" i="2"/>
  <c r="O472" i="2"/>
  <c r="M476" i="2"/>
  <c r="L480" i="2"/>
  <c r="M484" i="2"/>
  <c r="N488" i="2"/>
  <c r="L510" i="2"/>
  <c r="O609" i="2"/>
  <c r="O645" i="2"/>
  <c r="M659" i="2"/>
  <c r="L666" i="2"/>
  <c r="O673" i="2"/>
  <c r="F239" i="3"/>
  <c r="O1705" i="2"/>
  <c r="O1711" i="2"/>
  <c r="O1717" i="2"/>
  <c r="O1723" i="2"/>
  <c r="G239" i="3"/>
  <c r="L1706" i="2"/>
  <c r="L1712" i="2"/>
  <c r="L1718" i="2"/>
  <c r="L1724" i="2"/>
  <c r="H239" i="3"/>
  <c r="M1706" i="2"/>
  <c r="M1712" i="2"/>
  <c r="M1718" i="2"/>
  <c r="M1724" i="2"/>
  <c r="O769" i="2"/>
  <c r="N784" i="2"/>
  <c r="M791" i="2"/>
  <c r="L798" i="2"/>
  <c r="I239" i="3"/>
  <c r="N1706" i="2"/>
  <c r="N1712" i="2"/>
  <c r="N1718" i="2"/>
  <c r="N1724" i="2"/>
  <c r="O1706" i="2"/>
  <c r="O1712" i="2"/>
  <c r="O1718" i="2"/>
  <c r="O1724" i="2"/>
  <c r="L1707" i="2"/>
  <c r="L1713" i="2"/>
  <c r="L1719" i="2"/>
  <c r="L1725" i="2"/>
  <c r="M1707" i="2"/>
  <c r="M1713" i="2"/>
  <c r="M1719" i="2"/>
  <c r="M1725" i="2"/>
  <c r="N1707" i="2"/>
  <c r="N1713" i="2"/>
  <c r="N1719" i="2"/>
  <c r="N1725" i="2"/>
  <c r="O1707" i="2"/>
  <c r="O1713" i="2"/>
  <c r="O1719" i="2"/>
  <c r="O1725" i="2"/>
  <c r="M108" i="2"/>
  <c r="N115" i="2"/>
  <c r="O122" i="2"/>
  <c r="L126" i="2"/>
  <c r="N133" i="2"/>
  <c r="O140" i="2"/>
  <c r="L144" i="2"/>
  <c r="N151" i="2"/>
  <c r="L155" i="2"/>
  <c r="M162" i="2"/>
  <c r="N169" i="2"/>
  <c r="M180" i="2"/>
  <c r="N187" i="2"/>
  <c r="L191" i="2"/>
  <c r="N198" i="2"/>
  <c r="M202" i="2"/>
  <c r="N213" i="2"/>
  <c r="N224" i="2"/>
  <c r="L228" i="2"/>
  <c r="N235" i="2"/>
  <c r="L239" i="2"/>
  <c r="N246" i="2"/>
  <c r="M250" i="2"/>
  <c r="N261" i="2"/>
  <c r="N272" i="2"/>
  <c r="L276" i="2"/>
  <c r="N283" i="2"/>
  <c r="L287" i="2"/>
  <c r="N294" i="2"/>
  <c r="M298" i="2"/>
  <c r="N309" i="2"/>
  <c r="N320" i="2"/>
  <c r="L324" i="2"/>
  <c r="O331" i="2"/>
  <c r="N335" i="2"/>
  <c r="L339" i="2"/>
  <c r="N354" i="2"/>
  <c r="M358" i="2"/>
  <c r="O369" i="2"/>
  <c r="M373" i="2"/>
  <c r="L377" i="2"/>
  <c r="O388" i="2"/>
  <c r="M392" i="2"/>
  <c r="M396" i="2"/>
  <c r="L400" i="2"/>
  <c r="O423" i="2"/>
  <c r="M427" i="2"/>
  <c r="L431" i="2"/>
  <c r="O454" i="2"/>
  <c r="N458" i="2"/>
  <c r="M462" i="2"/>
  <c r="M466" i="2"/>
  <c r="L470" i="2"/>
  <c r="M683" i="2"/>
  <c r="L1702" i="2"/>
  <c r="L1708" i="2"/>
  <c r="L1714" i="2"/>
  <c r="L1720" i="2"/>
  <c r="L1726" i="2"/>
  <c r="M1702" i="2"/>
  <c r="M1708" i="2"/>
  <c r="M1714" i="2"/>
  <c r="M1720" i="2"/>
  <c r="M1726" i="2"/>
  <c r="N1702" i="2"/>
  <c r="N1708" i="2"/>
  <c r="N1714" i="2"/>
  <c r="N1720" i="2"/>
  <c r="N1726" i="2"/>
  <c r="O126" i="2"/>
  <c r="M130" i="2"/>
  <c r="O137" i="2"/>
  <c r="M148" i="2"/>
  <c r="O155" i="2"/>
  <c r="L159" i="2"/>
  <c r="M166" i="2"/>
  <c r="N173" i="2"/>
  <c r="L177" i="2"/>
  <c r="M184" i="2"/>
  <c r="O191" i="2"/>
  <c r="L195" i="2"/>
  <c r="O206" i="2"/>
  <c r="L210" i="2"/>
  <c r="N217" i="2"/>
  <c r="L221" i="2"/>
  <c r="O228" i="2"/>
  <c r="M232" i="2"/>
  <c r="O239" i="2"/>
  <c r="L243" i="2"/>
  <c r="O254" i="2"/>
  <c r="L258" i="2"/>
  <c r="N265" i="2"/>
  <c r="L269" i="2"/>
  <c r="O276" i="2"/>
  <c r="M280" i="2"/>
  <c r="O287" i="2"/>
  <c r="L291" i="2"/>
  <c r="O302" i="2"/>
  <c r="L306" i="2"/>
  <c r="N313" i="2"/>
  <c r="L317" i="2"/>
  <c r="O324" i="2"/>
  <c r="N328" i="2"/>
  <c r="N343" i="2"/>
  <c r="N347" i="2"/>
  <c r="L351" i="2"/>
  <c r="N362" i="2"/>
  <c r="L366" i="2"/>
  <c r="N381" i="2"/>
  <c r="L385" i="2"/>
  <c r="O400" i="2"/>
  <c r="M404" i="2"/>
  <c r="L408" i="2"/>
  <c r="M412" i="2"/>
  <c r="L416" i="2"/>
  <c r="L420" i="2"/>
  <c r="O431" i="2"/>
  <c r="O435" i="2"/>
  <c r="N439" i="2"/>
  <c r="O443" i="2"/>
  <c r="N447" i="2"/>
  <c r="L451" i="2"/>
  <c r="O474" i="2"/>
  <c r="N478" i="2"/>
  <c r="M482" i="2"/>
  <c r="L486" i="2"/>
  <c r="N556" i="2"/>
  <c r="N859" i="2"/>
  <c r="F236" i="3"/>
  <c r="O1702" i="2"/>
  <c r="O1708" i="2"/>
  <c r="O1714" i="2"/>
  <c r="O1720" i="2"/>
  <c r="O1726" i="2"/>
  <c r="G236" i="3"/>
  <c r="L1703" i="2"/>
  <c r="L1709" i="2"/>
  <c r="L1715" i="2"/>
  <c r="L1721" i="2"/>
  <c r="H236" i="3"/>
  <c r="M1703" i="2"/>
  <c r="M1709" i="2"/>
  <c r="M1715" i="2"/>
  <c r="M1721" i="2"/>
  <c r="I236" i="3"/>
  <c r="N1703" i="2"/>
  <c r="N1709" i="2"/>
  <c r="N1715" i="2"/>
  <c r="N1721" i="2"/>
  <c r="F237" i="3"/>
  <c r="O1703" i="2"/>
  <c r="O1709" i="2"/>
  <c r="O1715" i="2"/>
  <c r="O1721" i="2"/>
  <c r="O825" i="2"/>
  <c r="G237" i="3"/>
  <c r="L1704" i="2"/>
  <c r="L1710" i="2"/>
  <c r="L1716" i="2"/>
  <c r="L1722" i="2"/>
  <c r="O777" i="2"/>
  <c r="H237" i="3"/>
  <c r="M1704" i="2"/>
  <c r="M1710" i="2"/>
  <c r="M1716" i="2"/>
  <c r="M1722" i="2"/>
  <c r="L1727" i="2"/>
  <c r="I237" i="3"/>
  <c r="N1704" i="2"/>
  <c r="N1710" i="2"/>
  <c r="N1716" i="2"/>
  <c r="N1722" i="2"/>
  <c r="M1727" i="2"/>
  <c r="F238" i="3"/>
  <c r="O1704" i="2"/>
  <c r="O1710" i="2"/>
  <c r="O1716" i="2"/>
  <c r="O1722" i="2"/>
  <c r="N1727" i="2"/>
  <c r="N63" i="2"/>
  <c r="N70" i="2"/>
  <c r="O77" i="2"/>
  <c r="M81" i="2"/>
  <c r="N88" i="2"/>
  <c r="O95" i="2"/>
  <c r="L99" i="2"/>
  <c r="N106" i="2"/>
  <c r="L117" i="2"/>
  <c r="N124" i="2"/>
  <c r="L128" i="2"/>
  <c r="M135" i="2"/>
  <c r="N142" i="2"/>
  <c r="O149" i="2"/>
  <c r="M153" i="2"/>
  <c r="N160" i="2"/>
  <c r="O167" i="2"/>
  <c r="L171" i="2"/>
  <c r="N178" i="2"/>
  <c r="N189" i="2"/>
  <c r="N200" i="2"/>
  <c r="L204" i="2"/>
  <c r="N211" i="2"/>
  <c r="L215" i="2"/>
  <c r="N222" i="2"/>
  <c r="M226" i="2"/>
  <c r="N237" i="2"/>
  <c r="N248" i="2"/>
  <c r="L252" i="2"/>
  <c r="N259" i="2"/>
  <c r="L263" i="2"/>
  <c r="N270" i="2"/>
  <c r="M274" i="2"/>
  <c r="N285" i="2"/>
  <c r="N296" i="2"/>
  <c r="L300" i="2"/>
  <c r="N307" i="2"/>
  <c r="L311" i="2"/>
  <c r="N318" i="2"/>
  <c r="M322" i="2"/>
  <c r="O333" i="2"/>
  <c r="M337" i="2"/>
  <c r="L341" i="2"/>
  <c r="O352" i="2"/>
  <c r="L356" i="2"/>
  <c r="O371" i="2"/>
  <c r="N375" i="2"/>
  <c r="O386" i="2"/>
  <c r="M390" i="2"/>
  <c r="M394" i="2"/>
  <c r="L398" i="2"/>
  <c r="O417" i="2"/>
  <c r="N421" i="2"/>
  <c r="M425" i="2"/>
  <c r="L429" i="2"/>
  <c r="L437" i="2"/>
  <c r="O452" i="2"/>
  <c r="N456" i="2"/>
  <c r="N460" i="2"/>
  <c r="M464" i="2"/>
  <c r="M468" i="2"/>
  <c r="L472" i="2"/>
  <c r="L594" i="2"/>
  <c r="O601" i="2"/>
  <c r="N760" i="2"/>
  <c r="M803" i="2"/>
  <c r="L810" i="2"/>
  <c r="G238" i="3"/>
  <c r="L1705" i="2"/>
  <c r="L1711" i="2"/>
  <c r="L1717" i="2"/>
  <c r="L1723" i="2"/>
  <c r="O1727" i="2"/>
  <c r="H238" i="3"/>
  <c r="M1705" i="2"/>
  <c r="M1711" i="2"/>
  <c r="M1717" i="2"/>
  <c r="E198" i="1"/>
  <c r="N1696" i="2"/>
  <c r="L902" i="2"/>
  <c r="M755" i="2"/>
  <c r="F232" i="3"/>
  <c r="L1674" i="2"/>
  <c r="L1680" i="2"/>
  <c r="L1686" i="2"/>
  <c r="L1692" i="2"/>
  <c r="L1698" i="2"/>
  <c r="G232" i="3"/>
  <c r="M1674" i="2"/>
  <c r="M1680" i="2"/>
  <c r="M1686" i="2"/>
  <c r="M1692" i="2"/>
  <c r="M1698" i="2"/>
  <c r="H232" i="3"/>
  <c r="N1674" i="2"/>
  <c r="N1680" i="2"/>
  <c r="N1686" i="2"/>
  <c r="N1692" i="2"/>
  <c r="N1698" i="2"/>
  <c r="I232" i="3"/>
  <c r="O1674" i="2"/>
  <c r="O1680" i="2"/>
  <c r="O1686" i="2"/>
  <c r="O1692" i="2"/>
  <c r="O1698" i="2"/>
  <c r="F233" i="3"/>
  <c r="L1675" i="2"/>
  <c r="L1681" i="2"/>
  <c r="L1687" i="2"/>
  <c r="L1693" i="2"/>
  <c r="L1699" i="2"/>
  <c r="G233" i="3"/>
  <c r="M1675" i="2"/>
  <c r="M1681" i="2"/>
  <c r="M1687" i="2"/>
  <c r="M1693" i="2"/>
  <c r="M1699" i="2"/>
  <c r="H233" i="3"/>
  <c r="N1675" i="2"/>
  <c r="N1681" i="2"/>
  <c r="N1687" i="2"/>
  <c r="N1693" i="2"/>
  <c r="N1699" i="2"/>
  <c r="I233" i="3"/>
  <c r="O1675" i="2"/>
  <c r="O1681" i="2"/>
  <c r="O1687" i="2"/>
  <c r="O1693" i="2"/>
  <c r="O1699" i="2"/>
  <c r="F234" i="3"/>
  <c r="L1676" i="2"/>
  <c r="L1682" i="2"/>
  <c r="L1688" i="2"/>
  <c r="L1694" i="2"/>
  <c r="L1700" i="2"/>
  <c r="G234" i="3"/>
  <c r="M1676" i="2"/>
  <c r="M1682" i="2"/>
  <c r="M1688" i="2"/>
  <c r="M1694" i="2"/>
  <c r="M1700" i="2"/>
  <c r="H234" i="3"/>
  <c r="N1676" i="2"/>
  <c r="N1682" i="2"/>
  <c r="N1688" i="2"/>
  <c r="N1694" i="2"/>
  <c r="N1700" i="2"/>
  <c r="I234" i="3"/>
  <c r="O1676" i="2"/>
  <c r="O1682" i="2"/>
  <c r="O1688" i="2"/>
  <c r="O1694" i="2"/>
  <c r="O1700" i="2"/>
  <c r="F235" i="3"/>
  <c r="L1677" i="2"/>
  <c r="L1683" i="2"/>
  <c r="L1689" i="2"/>
  <c r="L1695" i="2"/>
  <c r="L1701" i="2"/>
  <c r="L750" i="2"/>
  <c r="G235" i="3"/>
  <c r="M1677" i="2"/>
  <c r="M1683" i="2"/>
  <c r="M1689" i="2"/>
  <c r="M1695" i="2"/>
  <c r="M1701" i="2"/>
  <c r="H235" i="3"/>
  <c r="N1677" i="2"/>
  <c r="N1683" i="2"/>
  <c r="N1689" i="2"/>
  <c r="N1695" i="2"/>
  <c r="N1701" i="2"/>
  <c r="I235" i="3"/>
  <c r="O1677" i="2"/>
  <c r="O1683" i="2"/>
  <c r="O1689" i="2"/>
  <c r="O1695" i="2"/>
  <c r="O1701" i="2"/>
  <c r="L1678" i="2"/>
  <c r="L1684" i="2"/>
  <c r="L1690" i="2"/>
  <c r="L1696" i="2"/>
  <c r="M1678" i="2"/>
  <c r="M1684" i="2"/>
  <c r="M1690" i="2"/>
  <c r="M1696" i="2"/>
  <c r="N1678" i="2"/>
  <c r="N1684" i="2"/>
  <c r="N1690" i="2"/>
  <c r="L718" i="2"/>
  <c r="O1678" i="2"/>
  <c r="O1684" i="2"/>
  <c r="O1690" i="2"/>
  <c r="O1696" i="2"/>
  <c r="L1679" i="2"/>
  <c r="L1685" i="2"/>
  <c r="L1691" i="2"/>
  <c r="L1697" i="2"/>
  <c r="M1679" i="2"/>
  <c r="M1685" i="2"/>
  <c r="M1691" i="2"/>
  <c r="M1697" i="2"/>
  <c r="N1679" i="2"/>
  <c r="N1685" i="2"/>
  <c r="N1691" i="2"/>
  <c r="N1697" i="2"/>
  <c r="O1679" i="2"/>
  <c r="O1685" i="2"/>
  <c r="O1691" i="2"/>
  <c r="O1697" i="2"/>
  <c r="F149" i="1"/>
  <c r="F61" i="1"/>
  <c r="E108" i="1"/>
  <c r="F108" i="1"/>
  <c r="E61" i="1"/>
  <c r="E193" i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<sst xmlns="http://schemas.openxmlformats.org/spreadsheetml/2006/main" count="2695" uniqueCount="325">
  <si>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</si>
  <si>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</si>
  <si>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</si>
  <si>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</si>
  <si>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</si>
  <si>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</si>
  <si>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</si>
  <si>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</si>
  <si>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</si>
  <si>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</si>
  <si>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</si>
  <si>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</si>
  <si>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</si>
  <si>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</si>
  <si>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</si>
  <si>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</si>
  <si>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</si>
  <si>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</si>
  <si>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</si>
  <si>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</si>
  <si>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</si>
  <si>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</si>
  <si>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</si>
  <si>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</si>
  <si>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</si>
  <si>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</si>
  <si>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</si>
  <si>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</si>
  <si>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</si>
  <si>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</si>
  <si>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</si>
  <si>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</si>
  <si>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</si>
  <si>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</si>
  <si>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</si>
  <si>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</si>
  <si>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</si>
  <si>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</si>
  <si>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</si>
  <si>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</si>
  <si>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</si>
  <si>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</si>
  <si>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</si>
  <si>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</si>
  <si>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</si>
  <si>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</si>
  <si>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</si>
  <si>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</si>
  <si>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</si>
  <si>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</si>
  <si>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</si>
  <si>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</si>
  <si>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</si>
  <si>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</si>
  <si>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</si>
  <si>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</si>
  <si>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</si>
  <si>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</si>
  <si>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</si>
  <si>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</si>
  <si>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</si>
  <si>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</si>
  <si>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</si>
  <si>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</si>
  <si>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</si>
  <si>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</si>
  <si>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</si>
  <si>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</si>
  <si>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</si>
  <si>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</si>
  <si>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</si>
  <si>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</si>
  <si>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</si>
  <si>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</si>
  <si>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</si>
  <si>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</si>
  <si>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</si>
  <si>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</si>
  <si>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</si>
  <si>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</si>
  <si>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</si>
  <si>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</si>
  <si>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</si>
  <si>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</si>
  <si>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</si>
  <si>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</si>
  <si>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</si>
  <si>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</si>
  <si>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</si>
  <si>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</si>
  <si>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</si>
  <si>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</si>
  <si>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</si>
  <si>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</si>
  <si>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</si>
  <si>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</si>
  <si>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</si>
  <si>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</si>
  <si>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</si>
  <si>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</si>
  <si>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</si>
  <si>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</si>
  <si>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</si>
  <si>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</si>
  <si>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</si>
  <si>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</si>
  <si>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</si>
  <si>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</si>
  <si>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</si>
  <si>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</si>
  <si>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</si>
  <si>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</si>
  <si>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</si>
  <si>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</si>
  <si>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</si>
  <si>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</si>
  <si>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</si>
  <si>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</si>
  <si>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</si>
  <si>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</si>
  <si>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</si>
  <si>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</si>
  <si>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</si>
  <si>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</si>
  <si>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</si>
  <si>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</si>
  <si>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</si>
  <si>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</si>
  <si>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</si>
  <si>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</si>
  <si>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</si>
  <si>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</si>
  <si>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</si>
  <si>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</si>
  <si>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</si>
  <si>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</si>
  <si>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</si>
  <si>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</si>
  <si>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</si>
  <si>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</si>
  <si>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</si>
  <si>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</si>
  <si>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</si>
  <si>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</si>
  <si>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</si>
  <si>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</si>
  <si>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</si>
  <si>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</si>
  <si>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</si>
  <si>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</si>
  <si>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</si>
  <si>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</si>
  <si>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</si>
  <si>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</si>
  <si>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</si>
  <si>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</si>
  <si>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</si>
  <si>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</si>
  <si>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</si>
  <si>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</si>
  <si>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</si>
  <si>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</si>
  <si>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</si>
  <si>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</si>
  <si>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</si>
  <si>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</si>
  <si>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</si>
  <si>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</si>
  <si>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</si>
  <si>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</si>
  <si>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</si>
  <si>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</si>
  <si>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</si>
  <si>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</si>
  <si>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</si>
  <si>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</si>
  <si>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</si>
  <si>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</si>
  <si>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</si>
  <si>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</si>
  <si>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</si>
  <si>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</si>
  <si>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</si>
  <si>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</si>
  <si>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</si>
  <si>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</si>
  <si>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</si>
  <si>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</si>
  <si>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</si>
  <si>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</si>
  <si>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</si>
  <si>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</si>
  <si>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</si>
  <si>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</si>
  <si>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</si>
  <si>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</si>
  <si>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</si>
  <si>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</si>
  <si>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</si>
  <si>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</si>
  <si>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</si>
  <si>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</si>
  <si>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</si>
  <si>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</si>
  <si>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</si>
  <si>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</si>
  <si>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</si>
  <si>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</si>
  <si>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</si>
  <si>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</si>
  <si>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</si>
  <si>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</si>
  <si>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</si>
  <si>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</si>
  <si>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</si>
  <si>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</si>
  <si>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</si>
  <si>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</si>
  <si>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</si>
  <si>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</si>
  <si>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</si>
  <si>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</si>
  <si>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</si>
  <si>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</si>
  <si>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</si>
  <si>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</si>
  <si>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</si>
  <si>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</si>
  <si>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</si>
  <si>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</si>
  <si>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</si>
  <si>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</si>
  <si>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</si>
  <si>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</si>
  <si>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</si>
  <si>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</si>
  <si>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</si>
  <si>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</si>
  <si>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</si>
  <si>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</si>
  <si>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</si>
  <si>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</si>
  <si>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</si>
  <si>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</si>
  <si>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</si>
  <si>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</si>
  <si>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</si>
  <si>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</si>
  <si>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</si>
  <si>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</si>
  <si>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</si>
  <si>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</si>
  <si>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</si>
  <si>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</si>
  <si>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</si>
  <si>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</si>
  <si>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</si>
  <si>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</si>
  <si>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</si>
  <si>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</si>
  <si>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</si>
  <si>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</si>
  <si>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</si>
  <si>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</si>
  <si>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</si>
  <si>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</si>
  <si>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</si>
  <si>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</si>
  <si>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</si>
  <si>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</si>
  <si>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</si>
  <si>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</si>
  <si>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</si>
  <si>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</si>
  <si>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</si>
  <si>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</si>
  <si>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</si>
  <si>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</si>
  <si>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</si>
  <si>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</si>
  <si>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</si>
  <si>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</si>
  <si>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</si>
  <si>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</si>
  <si>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</si>
  <si>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</si>
  <si>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</si>
  <si>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</si>
  <si>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</si>
  <si>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</si>
  <si>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</si>
  <si>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</si>
  <si>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</si>
  <si>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</si>
  <si>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</si>
  <si>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</si>
  <si>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</si>
  <si>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</si>
  <si>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</si>
  <si>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</si>
  <si>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</si>
  <si>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</si>
  <si>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</si>
  <si>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</si>
  <si>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</si>
  <si>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</si>
  <si>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</si>
  <si>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</si>
  <si>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</si>
  <si>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</si>
  <si>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</si>
  <si>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</si>
  <si>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</si>
  <si>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</si>
  <si>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</si>
  <si>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</si>
  <si>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</si>
  <si>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</si>
  <si>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</si>
  <si>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</si>
  <si>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</si>
  <si>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</si>
  <si>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</si>
  <si>
    <t>Дима (Рашид+1)</t>
  </si>
  <si>
    <t>Ислам (Умар+1)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</si>
</sst>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201" headerRowDxfId="25" totalsRowDxfId="22" headerRowBorderDxfId="24" tableBorderDxfId="23">
  <autoFilter ref="A1:G201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727">
  <autoFilter ref="A1:O1727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39">
  <autoFilter ref="A1:I239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201"/>
  <sheetViews>
    <sheetView topLeftCell="A169" workbookViewId="0">
      <selection activeCell="B201" sqref="B201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87</v>
      </c>
      <c r="D3" s="11">
        <f>SUMIFS(_stats[assists_on_date],_stats[player_id],_players[[#This Row],[player_id]])</f>
        <v>56</v>
      </c>
      <c r="E3" s="11">
        <f>SUMIFS(_stats[wins_on_date],_stats[player_id],_players[[#This Row],[player_id]])</f>
        <v>227</v>
      </c>
      <c r="F3" s="11">
        <f>SUMIFS(_stats[draws_on_date],_stats[player_id],_players[[#This Row],[player_id]])</f>
        <v>58</v>
      </c>
      <c r="G3" s="12">
        <f>SUMIFS(_stats[foul_on_date],_stats[player_id],_players[[#This Row],[player_id]])</f>
        <v>4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43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240</v>
      </c>
      <c r="F6" s="16">
        <f>SUMIFS(_stats[draws_on_date],_stats[player_id],_players[[#This Row],[player_id]])</f>
        <v>69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62</v>
      </c>
      <c r="D8" s="11">
        <f>SUMIFS(_stats[assists_on_date],_stats[player_id],_players[[#This Row],[player_id]])</f>
        <v>31</v>
      </c>
      <c r="E8" s="11">
        <f>SUMIFS(_stats[wins_on_date],_stats[player_id],_players[[#This Row],[player_id]])</f>
        <v>187</v>
      </c>
      <c r="F8" s="11">
        <f>SUMIFS(_stats[draws_on_date],_stats[player_id],_players[[#This Row],[player_id]])</f>
        <v>63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5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86</v>
      </c>
      <c r="F10" s="16">
        <f>SUMIFS(_stats[draws_on_date],_stats[player_id],_players[[#This Row],[player_id]])</f>
        <v>26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89</v>
      </c>
      <c r="D12" s="16">
        <f>SUMIFS(_stats[assists_on_date],_stats[player_id],_players[[#This Row],[player_id]])</f>
        <v>101</v>
      </c>
      <c r="E12" s="16">
        <f>SUMIFS(_stats[wins_on_date],_stats[player_id],_players[[#This Row],[player_id]])</f>
        <v>182</v>
      </c>
      <c r="F12" s="16">
        <f>SUMIFS(_stats[draws_on_date],_stats[player_id],_players[[#This Row],[player_id]])</f>
        <v>62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200</v>
      </c>
      <c r="F14" s="11">
        <f>SUMIFS(_stats[draws_on_date],_stats[player_id],_players[[#This Row],[player_id]])</f>
        <v>63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25</v>
      </c>
      <c r="D16" s="11">
        <f>SUMIFS(_stats[assists_on_date],_stats[player_id],_players[[#This Row],[player_id]])</f>
        <v>37</v>
      </c>
      <c r="E16" s="11">
        <f>SUMIFS(_stats[wins_on_date],_stats[player_id],_players[[#This Row],[player_id]])</f>
        <v>76</v>
      </c>
      <c r="F16" s="11">
        <f>SUMIFS(_stats[draws_on_date],_stats[player_id],_players[[#This Row],[player_id]])</f>
        <v>14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29</v>
      </c>
      <c r="E17" s="11">
        <f>SUMIFS(_stats[wins_on_date],_stats[player_id],_players[[#This Row],[player_id]])</f>
        <v>79</v>
      </c>
      <c r="F17" s="11">
        <f>SUMIFS(_stats[draws_on_date],_stats[player_id],_players[[#This Row],[player_id]])</f>
        <v>27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58</v>
      </c>
      <c r="E21" s="11">
        <f>SUMIFS(_stats[wins_on_date],_stats[player_id],_players[[#This Row],[player_id]])</f>
        <v>160</v>
      </c>
      <c r="F21" s="11">
        <f>SUMIFS(_stats[draws_on_date],_stats[player_id],_players[[#This Row],[player_id]])</f>
        <v>47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5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137</v>
      </c>
      <c r="F22" s="16">
        <f>SUMIFS(_stats[draws_on_date],_stats[player_id],_players[[#This Row],[player_id]])</f>
        <v>32</v>
      </c>
      <c r="G22" s="17">
        <f>SUMIFS(_stats[foul_on_date],_stats[player_id],_players[[#This Row],[player_id]])</f>
        <v>1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42</v>
      </c>
      <c r="D23" s="11">
        <f>SUMIFS(_stats[assists_on_date],_stats[player_id],_players[[#This Row],[player_id]])</f>
        <v>42</v>
      </c>
      <c r="E23" s="11">
        <f>SUMIFS(_stats[wins_on_date],_stats[player_id],_players[[#This Row],[player_id]])</f>
        <v>149</v>
      </c>
      <c r="F23" s="11">
        <f>SUMIFS(_stats[draws_on_date],_stats[player_id],_players[[#This Row],[player_id]])</f>
        <v>37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20</v>
      </c>
      <c r="D25" s="11">
        <f>SUMIFS(_stats[assists_on_date],_stats[player_id],_players[[#This Row],[player_id]])</f>
        <v>28</v>
      </c>
      <c r="E25" s="11">
        <f>SUMIFS(_stats[wins_on_date],_stats[player_id],_players[[#This Row],[player_id]])</f>
        <v>126</v>
      </c>
      <c r="F25" s="11">
        <f>SUMIFS(_stats[draws_on_date],_stats[player_id],_players[[#This Row],[player_id]])</f>
        <v>41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11</v>
      </c>
      <c r="E26" s="16">
        <f>SUMIFS(_stats[wins_on_date],_stats[player_id],_players[[#This Row],[player_id]])</f>
        <v>58</v>
      </c>
      <c r="F26" s="16">
        <f>SUMIFS(_stats[draws_on_date],_stats[player_id],_players[[#This Row],[player_id]])</f>
        <v>18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75</v>
      </c>
      <c r="F28" s="11">
        <f>SUMIFS(_stats[draws_on_date],_stats[player_id],_players[[#This Row],[player_id]])</f>
        <v>30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13</v>
      </c>
      <c r="D30" s="16">
        <f>SUMIFS(_stats[assists_on_date],_stats[player_id],_players[[#This Row],[player_id]])</f>
        <v>7</v>
      </c>
      <c r="E30" s="16">
        <f>SUMIFS(_stats[wins_on_date],_stats[player_id],_players[[#This Row],[player_id]])</f>
        <v>58</v>
      </c>
      <c r="F30" s="16">
        <f>SUMIFS(_stats[draws_on_date],_stats[player_id],_players[[#This Row],[player_id]])</f>
        <v>17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12</v>
      </c>
      <c r="E32" s="11">
        <f>SUMIFS(_stats[wins_on_date],_stats[player_id],_players[[#This Row],[player_id]])</f>
        <v>46</v>
      </c>
      <c r="F32" s="11">
        <f>SUMIFS(_stats[draws_on_date],_stats[player_id],_players[[#This Row],[player_id]])</f>
        <v>19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11</v>
      </c>
      <c r="D33" s="11">
        <f>SUMIFS(_stats[assists_on_date],_stats[player_id],_players[[#This Row],[player_id]])</f>
        <v>8</v>
      </c>
      <c r="E33" s="11">
        <f>SUMIFS(_stats[wins_on_date],_stats[player_id],_players[[#This Row],[player_id]])</f>
        <v>34</v>
      </c>
      <c r="F33" s="11">
        <f>SUMIFS(_stats[draws_on_date],_stats[player_id],_players[[#This Row],[player_id]])</f>
        <v>18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14</v>
      </c>
      <c r="E41" s="11">
        <f>SUMIFS(_stats[wins_on_date],_stats[player_id],_players[[#This Row],[player_id]])</f>
        <v>101</v>
      </c>
      <c r="F41" s="11">
        <f>SUMIFS(_stats[draws_on_date],_stats[player_id],_players[[#This Row],[player_id]])</f>
        <v>37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12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75</v>
      </c>
      <c r="F43" s="11">
        <f>SUMIFS(_stats[draws_on_date],_stats[player_id],_players[[#This Row],[player_id]])</f>
        <v>34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74</v>
      </c>
      <c r="F48" s="16">
        <f>SUMIFS(_stats[draws_on_date],_stats[player_id],_players[[#This Row],[player_id]])</f>
        <v>20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33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66</v>
      </c>
      <c r="F59" s="16">
        <f>SUMIFS(_stats[draws_on_date],_stats[player_id],_players[[#This Row],[player_id]])</f>
        <v>25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23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144</v>
      </c>
      <c r="F64" s="16">
        <f>SUMIFS(_stats[draws_on_date],_stats[player_id],_players[[#This Row],[player_id]])</f>
        <v>49</v>
      </c>
      <c r="G64" s="17">
        <f>SUMIFS(_stats[foul_on_date],_stats[player_id],_players[[#This Row],[player_id]])</f>
        <v>3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48</v>
      </c>
      <c r="D76" s="16">
        <f>SUMIFS(_stats[assists_on_date],_stats[player_id],_players[[#This Row],[player_id]])</f>
        <v>24</v>
      </c>
      <c r="E76" s="16">
        <f>SUMIFS(_stats[wins_on_date],_stats[player_id],_players[[#This Row],[player_id]])</f>
        <v>58</v>
      </c>
      <c r="F76" s="16">
        <f>SUMIFS(_stats[draws_on_date],_stats[player_id],_players[[#This Row],[player_id]])</f>
        <v>18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5</v>
      </c>
      <c r="D92" s="16">
        <f>SUMIFS(_stats[assists_on_date],_stats[player_id],_players[[#This Row],[player_id]])</f>
        <v>3</v>
      </c>
      <c r="E92" s="16">
        <f>SUMIFS(_stats[wins_on_date],_stats[player_id],_players[[#This Row],[player_id]])</f>
        <v>13</v>
      </c>
      <c r="F92" s="16">
        <f>SUMIFS(_stats[draws_on_date],_stats[player_id],_players[[#This Row],[player_id]])</f>
        <v>7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21</v>
      </c>
      <c r="D120" s="16">
        <f>SUMIFS(_stats[assists_on_date],_stats[player_id],_players[[#This Row],[player_id]])</f>
        <v>12</v>
      </c>
      <c r="E120" s="16">
        <f>SUMIFS(_stats[wins_on_date],_stats[player_id],_players[[#This Row],[player_id]])</f>
        <v>65</v>
      </c>
      <c r="F120" s="16">
        <f>SUMIFS(_stats[draws_on_date],_stats[player_id],_players[[#This Row],[player_id]])</f>
        <v>32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8</v>
      </c>
      <c r="E126" s="16">
        <f>SUMIFS(_stats[wins_on_date],_stats[player_id],_players[[#This Row],[player_id]])</f>
        <v>37</v>
      </c>
      <c r="F126" s="16">
        <f>SUMIFS(_stats[draws_on_date],_stats[player_id],_players[[#This Row],[player_id]])</f>
        <v>21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2</v>
      </c>
      <c r="D130" s="16">
        <f>SUMIFS(_stats[assists_on_date],_stats[player_id],_players[[#This Row],[player_id]])</f>
        <v>1</v>
      </c>
      <c r="E130" s="16">
        <f>SUMIFS(_stats[wins_on_date],_stats[player_id],_players[[#This Row],[player_id]])</f>
        <v>15</v>
      </c>
      <c r="F130" s="16">
        <f>SUMIFS(_stats[draws_on_date],_stats[player_id],_players[[#This Row],[player_id]])</f>
        <v>12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11</v>
      </c>
      <c r="D137" s="16">
        <f>SUMIFS(_stats[assists_on_date],_stats[player_id],_players[[#This Row],[player_id]])</f>
        <v>9</v>
      </c>
      <c r="E137" s="16">
        <f>SUMIFS(_stats[wins_on_date],_stats[player_id],_players[[#This Row],[player_id]])</f>
        <v>44</v>
      </c>
      <c r="F137" s="16">
        <f>SUMIFS(_stats[draws_on_date],_stats[player_id],_players[[#This Row],[player_id]])</f>
        <v>17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2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30</v>
      </c>
      <c r="F148" s="16">
        <f>SUMIFS(_stats[draws_on_date],_stats[player_id],_players[[#This Row],[player_id]])</f>
        <v>21</v>
      </c>
      <c r="G148" s="17">
        <f>SUMIFS(_stats[foul_on_date],_stats[player_id],_players[[#This Row],[player_id]])</f>
        <v>3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23</v>
      </c>
      <c r="D152" s="16">
        <f>SUMIFS(_stats[assists_on_date],_stats[player_id],_players[[#This Row],[player_id]])</f>
        <v>6</v>
      </c>
      <c r="E152" s="16">
        <f>SUMIFS(_stats[wins_on_date],_stats[player_id],_players[[#This Row],[player_id]])</f>
        <v>47</v>
      </c>
      <c r="F152" s="16">
        <f>SUMIFS(_stats[draws_on_date],_stats[player_id],_players[[#This Row],[player_id]])</f>
        <v>15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1</v>
      </c>
      <c r="E193" s="73">
        <f>SUMIFS(_stats[wins_on_date],_stats[player_id],_players[[#This Row],[player_id]])</f>
        <v>8</v>
      </c>
      <c r="F193" s="73">
        <f>SUMIFS(_stats[draws_on_date],_stats[player_id],_players[[#This Row],[player_id]])</f>
        <v>10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3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6</v>
      </c>
      <c r="F198" s="73">
        <f>SUMIFS(_stats[draws_on_date],_stats[player_id],_players[[#This Row],[player_id]])</f>
        <v>6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1</v>
      </c>
      <c r="D199" s="73">
        <f>SUMIFS(_stats[assists_on_date],_stats[player_id],_players[[#This Row],[player_id]])</f>
        <v>1</v>
      </c>
      <c r="E199" s="73">
        <f>SUMIFS(_stats[wins_on_date],_stats[player_id],_players[[#This Row],[player_id]])</f>
        <v>19</v>
      </c>
      <c r="F199" s="73">
        <f>SUMIFS(_stats[draws_on_date],_stats[player_id],_players[[#This Row],[player_id]])</f>
        <v>8</v>
      </c>
      <c r="G199" s="93">
        <f>SUMIFS(_stats[foul_on_date],_stats[player_id],_players[[#This Row],[player_id]])</f>
        <v>0</v>
      </c>
    </row>
    <row r="200" spans="1:7" x14ac:dyDescent="0.25">
      <c r="A200" s="111" t="s">
        <v>323</v>
      </c>
      <c r="B200" s="111" t="s">
        <v>323</v>
      </c>
      <c r="C200" s="73">
        <f>SUMIFS(_stats[goals_on_date],_stats[player_id],_players[[#This Row],[player_id]])</f>
        <v>0</v>
      </c>
      <c r="D200" s="73">
        <f>SUMIFS(_stats[assists_on_date],_stats[player_id],_players[[#This Row],[player_id]])</f>
        <v>0</v>
      </c>
      <c r="E200" s="73">
        <f>SUMIFS(_stats[wins_on_date],_stats[player_id],_players[[#This Row],[player_id]])</f>
        <v>1</v>
      </c>
      <c r="F200" s="73">
        <f>SUMIFS(_stats[draws_on_date],_stats[player_id],_players[[#This Row],[player_id]])</f>
        <v>1</v>
      </c>
      <c r="G200" s="93">
        <f>SUMIFS(_stats[foul_on_date],_stats[player_id],_players[[#This Row],[player_id]])</f>
        <v>0</v>
      </c>
    </row>
    <row r="201" spans="1:7" x14ac:dyDescent="0.25">
      <c r="A201" s="111" t="s">
        <v>324</v>
      </c>
      <c r="B201" s="112" t="s">
        <v>324</v>
      </c>
      <c r="C201" s="73">
        <f>SUMIFS(_stats[goals_on_date],_stats[player_id],_players[[#This Row],[player_id]])</f>
        <v>0</v>
      </c>
      <c r="D201" s="73">
        <f>SUMIFS(_stats[assists_on_date],_stats[player_id],_players[[#This Row],[player_id]])</f>
        <v>0</v>
      </c>
      <c r="E201" s="73">
        <f>SUMIFS(_stats[wins_on_date],_stats[player_id],_players[[#This Row],[player_id]])</f>
        <v>4</v>
      </c>
      <c r="F201" s="73">
        <f>SUMIFS(_stats[draws_on_date],_stats[player_id],_players[[#This Row],[player_id]])</f>
        <v>3</v>
      </c>
      <c r="G201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727"/>
  <sheetViews>
    <sheetView topLeftCell="A1682" workbookViewId="0">
      <selection activeCell="G1727" sqref="G1727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  <row r="1674" spans="1:15" x14ac:dyDescent="0.25">
      <c r="A1674" s="6">
        <v>46306</v>
      </c>
      <c r="B1674" s="72">
        <v>2</v>
      </c>
      <c r="C1674" s="104" t="s">
        <v>11</v>
      </c>
      <c r="D1674" s="10" t="str">
        <f>IFERROR(VLOOKUP(_stats[[#This Row],[player_id]],_players[[player_id]:[player_name]],2,0),"")</f>
        <v>Сергей Крюков</v>
      </c>
      <c r="E1674" s="72">
        <v>0</v>
      </c>
      <c r="F1674" s="102">
        <v>0</v>
      </c>
      <c r="G1674" s="10">
        <f>SUMIFS(_teams[wins_on_date],_teams[date],_stats[[#This Row],[date]],_teams[team_number],_stats[[#This Row],[team_number]])</f>
        <v>9</v>
      </c>
      <c r="H1674" s="10">
        <f>SUMIFS(_teams[draws_on_date],_teams[date],_stats[[#This Row],[date]],_teams[team_number],_stats[[#This Row],[team_number]])</f>
        <v>2</v>
      </c>
      <c r="I1674" s="72">
        <v>0</v>
      </c>
      <c r="J1674" s="104">
        <v>0</v>
      </c>
      <c r="K1674" s="72">
        <v>9</v>
      </c>
      <c r="L1674" s="53">
        <f>VLOOKUP(_stats[[#This Row],[tournament]],tournaments_n_rules[],2,0)</f>
        <v>1747</v>
      </c>
      <c r="M1674" s="53" t="str">
        <f>VLOOKUP(_stats[[#This Row],[tournament]],tournaments_n_rules[],3,0)</f>
        <v>Осень 2026</v>
      </c>
      <c r="N1674" s="54">
        <f>VLOOKUP(_stats[[#This Row],[tournament]],tournaments_n_rules[],4,0)</f>
        <v>46285</v>
      </c>
      <c r="O1674" s="54">
        <f>VLOOKUP(_stats[[#This Row],[tournament]],tournaments_n_rules[],5,0)</f>
        <v>46356</v>
      </c>
    </row>
    <row r="1675" spans="1:15" x14ac:dyDescent="0.25">
      <c r="A1675" s="6">
        <v>46306</v>
      </c>
      <c r="B1675" s="72">
        <v>1</v>
      </c>
      <c r="C1675" s="104" t="s">
        <v>27</v>
      </c>
      <c r="D1675" s="10" t="str">
        <f>IFERROR(VLOOKUP(_stats[[#This Row],[player_id]],_players[[player_id]:[player_name]],2,0),"")</f>
        <v>Толя Шлаев</v>
      </c>
      <c r="E1675" s="72">
        <v>1</v>
      </c>
      <c r="F1675" s="102">
        <v>0</v>
      </c>
      <c r="G1675" s="10">
        <f>SUMIFS(_teams[wins_on_date],_teams[date],_stats[[#This Row],[date]],_teams[team_number],_stats[[#This Row],[team_number]])</f>
        <v>3</v>
      </c>
      <c r="H1675" s="10">
        <f>SUMIFS(_teams[draws_on_date],_teams[date],_stats[[#This Row],[date]],_teams[team_number],_stats[[#This Row],[team_number]])</f>
        <v>3</v>
      </c>
      <c r="I1675" s="72">
        <v>0</v>
      </c>
      <c r="J1675" s="104">
        <v>1</v>
      </c>
      <c r="K1675" s="72">
        <v>9</v>
      </c>
      <c r="L1675" s="53">
        <f>VLOOKUP(_stats[[#This Row],[tournament]],tournaments_n_rules[],2,0)</f>
        <v>1747</v>
      </c>
      <c r="M1675" s="53" t="str">
        <f>VLOOKUP(_stats[[#This Row],[tournament]],tournaments_n_rules[],3,0)</f>
        <v>Осень 2026</v>
      </c>
      <c r="N1675" s="54">
        <f>VLOOKUP(_stats[[#This Row],[tournament]],tournaments_n_rules[],4,0)</f>
        <v>46285</v>
      </c>
      <c r="O1675" s="54">
        <f>VLOOKUP(_stats[[#This Row],[tournament]],tournaments_n_rules[],5,0)</f>
        <v>46356</v>
      </c>
    </row>
    <row r="1676" spans="1:15" x14ac:dyDescent="0.25">
      <c r="A1676" s="6">
        <v>46306</v>
      </c>
      <c r="B1676" s="72">
        <v>3</v>
      </c>
      <c r="C1676" s="104" t="s">
        <v>153</v>
      </c>
      <c r="D1676" s="10" t="str">
        <f>IFERROR(VLOOKUP(_stats[[#This Row],[player_id]],_players[[player_id]:[player_name]],2,0),"")</f>
        <v>Богдан</v>
      </c>
      <c r="E1676" s="72">
        <v>2</v>
      </c>
      <c r="F1676" s="102">
        <v>0</v>
      </c>
      <c r="G1676" s="10">
        <f>SUMIFS(_teams[wins_on_date],_teams[date],_stats[[#This Row],[date]],_teams[team_number],_stats[[#This Row],[team_number]])</f>
        <v>3</v>
      </c>
      <c r="H1676" s="10">
        <f>SUMIFS(_teams[draws_on_date],_teams[date],_stats[[#This Row],[date]],_teams[team_number],_stats[[#This Row],[team_number]])</f>
        <v>2</v>
      </c>
      <c r="I1676" s="72">
        <v>0</v>
      </c>
      <c r="J1676" s="104">
        <v>1</v>
      </c>
      <c r="K1676" s="72">
        <v>9</v>
      </c>
      <c r="L1676" s="53">
        <f>VLOOKUP(_stats[[#This Row],[tournament]],tournaments_n_rules[],2,0)</f>
        <v>1747</v>
      </c>
      <c r="M1676" s="53" t="str">
        <f>VLOOKUP(_stats[[#This Row],[tournament]],tournaments_n_rules[],3,0)</f>
        <v>Осень 2026</v>
      </c>
      <c r="N1676" s="54">
        <f>VLOOKUP(_stats[[#This Row],[tournament]],tournaments_n_rules[],4,0)</f>
        <v>46285</v>
      </c>
      <c r="O1676" s="54">
        <f>VLOOKUP(_stats[[#This Row],[tournament]],tournaments_n_rules[],5,0)</f>
        <v>46356</v>
      </c>
    </row>
    <row r="1677" spans="1:15" x14ac:dyDescent="0.25">
      <c r="A1677" s="6">
        <v>46306</v>
      </c>
      <c r="B1677" s="72">
        <v>3</v>
      </c>
      <c r="C1677" s="104" t="s">
        <v>314</v>
      </c>
      <c r="D1677" s="10" t="str">
        <f>IFERROR(VLOOKUP(_stats[[#This Row],[player_id]],_players[[player_id]:[player_name]],2,0),"")</f>
        <v>Рашид</v>
      </c>
      <c r="E1677" s="72">
        <v>0</v>
      </c>
      <c r="F1677" s="102">
        <v>0</v>
      </c>
      <c r="G1677" s="10">
        <f>SUMIFS(_teams[wins_on_date],_teams[date],_stats[[#This Row],[date]],_teams[team_number],_stats[[#This Row],[team_number]])</f>
        <v>3</v>
      </c>
      <c r="H1677" s="10">
        <f>SUMIFS(_teams[draws_on_date],_teams[date],_stats[[#This Row],[date]],_teams[team_number],_stats[[#This Row],[team_number]])</f>
        <v>2</v>
      </c>
      <c r="I1677" s="72">
        <v>0</v>
      </c>
      <c r="J1677" s="104">
        <v>0</v>
      </c>
      <c r="K1677" s="72">
        <v>9</v>
      </c>
      <c r="L1677" s="53">
        <f>VLOOKUP(_stats[[#This Row],[tournament]],tournaments_n_rules[],2,0)</f>
        <v>1747</v>
      </c>
      <c r="M1677" s="53" t="str">
        <f>VLOOKUP(_stats[[#This Row],[tournament]],tournaments_n_rules[],3,0)</f>
        <v>Осень 2026</v>
      </c>
      <c r="N1677" s="54">
        <f>VLOOKUP(_stats[[#This Row],[tournament]],tournaments_n_rules[],4,0)</f>
        <v>46285</v>
      </c>
      <c r="O1677" s="54">
        <f>VLOOKUP(_stats[[#This Row],[tournament]],tournaments_n_rules[],5,0)</f>
        <v>46356</v>
      </c>
    </row>
    <row r="1678" spans="1:15" x14ac:dyDescent="0.25">
      <c r="A1678" s="6">
        <v>46306</v>
      </c>
      <c r="B1678" s="72">
        <v>2</v>
      </c>
      <c r="C1678" s="104" t="s">
        <v>8</v>
      </c>
      <c r="D1678" s="10" t="str">
        <f>IFERROR(VLOOKUP(_stats[[#This Row],[player_id]],_players[[player_id]:[player_name]],2,0),"")</f>
        <v>Костя</v>
      </c>
      <c r="E1678" s="72">
        <v>4</v>
      </c>
      <c r="F1678" s="102">
        <v>3</v>
      </c>
      <c r="G1678" s="10">
        <f>SUMIFS(_teams[wins_on_date],_teams[date],_stats[[#This Row],[date]],_teams[team_number],_stats[[#This Row],[team_number]])</f>
        <v>9</v>
      </c>
      <c r="H1678" s="10">
        <f>SUMIFS(_teams[draws_on_date],_teams[date],_stats[[#This Row],[date]],_teams[team_number],_stats[[#This Row],[team_number]])</f>
        <v>2</v>
      </c>
      <c r="I1678" s="72">
        <v>0</v>
      </c>
      <c r="J1678" s="104">
        <v>1</v>
      </c>
      <c r="K1678" s="72">
        <v>9</v>
      </c>
      <c r="L1678" s="53">
        <f>VLOOKUP(_stats[[#This Row],[tournament]],tournaments_n_rules[],2,0)</f>
        <v>1747</v>
      </c>
      <c r="M1678" s="53" t="str">
        <f>VLOOKUP(_stats[[#This Row],[tournament]],tournaments_n_rules[],3,0)</f>
        <v>Осень 2026</v>
      </c>
      <c r="N1678" s="54">
        <f>VLOOKUP(_stats[[#This Row],[tournament]],tournaments_n_rules[],4,0)</f>
        <v>46285</v>
      </c>
      <c r="O1678" s="54">
        <f>VLOOKUP(_stats[[#This Row],[tournament]],tournaments_n_rules[],5,0)</f>
        <v>46356</v>
      </c>
    </row>
    <row r="1679" spans="1:15" x14ac:dyDescent="0.25">
      <c r="A1679" s="6">
        <v>46306</v>
      </c>
      <c r="B1679" s="72">
        <v>1</v>
      </c>
      <c r="C1679" s="104" t="s">
        <v>19</v>
      </c>
      <c r="D1679" s="10" t="str">
        <f>IFERROR(VLOOKUP(_stats[[#This Row],[player_id]],_players[[player_id]:[player_name]],2,0),"")</f>
        <v>Олег Шишкин</v>
      </c>
      <c r="E1679" s="72">
        <v>0</v>
      </c>
      <c r="F1679" s="102">
        <v>0</v>
      </c>
      <c r="G1679" s="10">
        <f>SUMIFS(_teams[wins_on_date],_teams[date],_stats[[#This Row],[date]],_teams[team_number],_stats[[#This Row],[team_number]])</f>
        <v>3</v>
      </c>
      <c r="H1679" s="10">
        <f>SUMIFS(_teams[draws_on_date],_teams[date],_stats[[#This Row],[date]],_teams[team_number],_stats[[#This Row],[team_number]])</f>
        <v>3</v>
      </c>
      <c r="I1679" s="72">
        <v>0</v>
      </c>
      <c r="J1679" s="104">
        <v>0</v>
      </c>
      <c r="K1679" s="72">
        <v>9</v>
      </c>
      <c r="L1679" s="53">
        <f>VLOOKUP(_stats[[#This Row],[tournament]],tournaments_n_rules[],2,0)</f>
        <v>1747</v>
      </c>
      <c r="M1679" s="53" t="str">
        <f>VLOOKUP(_stats[[#This Row],[tournament]],tournaments_n_rules[],3,0)</f>
        <v>Осень 2026</v>
      </c>
      <c r="N1679" s="54">
        <f>VLOOKUP(_stats[[#This Row],[tournament]],tournaments_n_rules[],4,0)</f>
        <v>46285</v>
      </c>
      <c r="O1679" s="54">
        <f>VLOOKUP(_stats[[#This Row],[tournament]],tournaments_n_rules[],5,0)</f>
        <v>46356</v>
      </c>
    </row>
    <row r="1680" spans="1:15" x14ac:dyDescent="0.25">
      <c r="A1680" s="6">
        <v>46306</v>
      </c>
      <c r="B1680" s="72">
        <v>1</v>
      </c>
      <c r="C1680" s="104" t="s">
        <v>48</v>
      </c>
      <c r="D1680" s="10" t="str">
        <f>IFERROR(VLOOKUP(_stats[[#This Row],[player_id]],_players[[player_id]:[player_name]],2,0),"")</f>
        <v>Андрей (АК+1)</v>
      </c>
      <c r="E1680" s="72">
        <v>0</v>
      </c>
      <c r="F1680" s="102">
        <v>0</v>
      </c>
      <c r="G1680" s="10">
        <f>SUMIFS(_teams[wins_on_date],_teams[date],_stats[[#This Row],[date]],_teams[team_number],_stats[[#This Row],[team_number]])</f>
        <v>3</v>
      </c>
      <c r="H1680" s="10">
        <f>SUMIFS(_teams[draws_on_date],_teams[date],_stats[[#This Row],[date]],_teams[team_number],_stats[[#This Row],[team_number]])</f>
        <v>3</v>
      </c>
      <c r="I1680" s="72">
        <v>0</v>
      </c>
      <c r="J1680" s="104">
        <v>0</v>
      </c>
      <c r="K1680" s="72">
        <v>9</v>
      </c>
      <c r="L1680" s="53">
        <f>VLOOKUP(_stats[[#This Row],[tournament]],tournaments_n_rules[],2,0)</f>
        <v>1747</v>
      </c>
      <c r="M1680" s="53" t="str">
        <f>VLOOKUP(_stats[[#This Row],[tournament]],tournaments_n_rules[],3,0)</f>
        <v>Осень 2026</v>
      </c>
      <c r="N1680" s="54">
        <f>VLOOKUP(_stats[[#This Row],[tournament]],tournaments_n_rules[],4,0)</f>
        <v>46285</v>
      </c>
      <c r="O1680" s="54">
        <f>VLOOKUP(_stats[[#This Row],[tournament]],tournaments_n_rules[],5,0)</f>
        <v>46356</v>
      </c>
    </row>
    <row r="1681" spans="1:15" x14ac:dyDescent="0.25">
      <c r="A1681" s="6">
        <v>46306</v>
      </c>
      <c r="B1681" s="72">
        <v>3</v>
      </c>
      <c r="C1681" s="104" t="s">
        <v>69</v>
      </c>
      <c r="D1681" s="10" t="str">
        <f>IFERROR(VLOOKUP(_stats[[#This Row],[player_id]],_players[[player_id]:[player_name]],2,0),"")</f>
        <v>Анашкин</v>
      </c>
      <c r="E1681" s="72">
        <v>1</v>
      </c>
      <c r="F1681" s="102">
        <v>0</v>
      </c>
      <c r="G1681" s="10">
        <f>SUMIFS(_teams[wins_on_date],_teams[date],_stats[[#This Row],[date]],_teams[team_number],_stats[[#This Row],[team_number]])</f>
        <v>3</v>
      </c>
      <c r="H1681" s="10">
        <f>SUMIFS(_teams[draws_on_date],_teams[date],_stats[[#This Row],[date]],_teams[team_number],_stats[[#This Row],[team_number]])</f>
        <v>2</v>
      </c>
      <c r="I1681" s="72">
        <v>0</v>
      </c>
      <c r="J1681" s="104">
        <v>1</v>
      </c>
      <c r="K1681" s="72">
        <v>9</v>
      </c>
      <c r="L1681" s="53">
        <f>VLOOKUP(_stats[[#This Row],[tournament]],tournaments_n_rules[],2,0)</f>
        <v>1747</v>
      </c>
      <c r="M1681" s="53" t="str">
        <f>VLOOKUP(_stats[[#This Row],[tournament]],tournaments_n_rules[],3,0)</f>
        <v>Осень 2026</v>
      </c>
      <c r="N1681" s="54">
        <f>VLOOKUP(_stats[[#This Row],[tournament]],tournaments_n_rules[],4,0)</f>
        <v>46285</v>
      </c>
      <c r="O1681" s="54">
        <f>VLOOKUP(_stats[[#This Row],[tournament]],tournaments_n_rules[],5,0)</f>
        <v>46356</v>
      </c>
    </row>
    <row r="1682" spans="1:15" x14ac:dyDescent="0.25">
      <c r="A1682" s="6">
        <v>46306</v>
      </c>
      <c r="B1682" s="72">
        <v>2</v>
      </c>
      <c r="C1682" s="104" t="s">
        <v>142</v>
      </c>
      <c r="D1682" s="10" t="str">
        <f>IFERROR(VLOOKUP(_stats[[#This Row],[player_id]],_players[[player_id]:[player_name]],2,0),"")</f>
        <v>Сурэн</v>
      </c>
      <c r="E1682" s="72">
        <v>1</v>
      </c>
      <c r="F1682" s="102">
        <v>3</v>
      </c>
      <c r="G1682" s="10">
        <f>SUMIFS(_teams[wins_on_date],_teams[date],_stats[[#This Row],[date]],_teams[team_number],_stats[[#This Row],[team_number]])</f>
        <v>9</v>
      </c>
      <c r="H1682" s="10">
        <f>SUMIFS(_teams[draws_on_date],_teams[date],_stats[[#This Row],[date]],_teams[team_number],_stats[[#This Row],[team_number]])</f>
        <v>2</v>
      </c>
      <c r="I1682" s="72">
        <v>0</v>
      </c>
      <c r="J1682" s="104">
        <v>0</v>
      </c>
      <c r="K1682" s="72">
        <v>9</v>
      </c>
      <c r="L1682" s="53">
        <f>VLOOKUP(_stats[[#This Row],[tournament]],tournaments_n_rules[],2,0)</f>
        <v>1747</v>
      </c>
      <c r="M1682" s="53" t="str">
        <f>VLOOKUP(_stats[[#This Row],[tournament]],tournaments_n_rules[],3,0)</f>
        <v>Осень 2026</v>
      </c>
      <c r="N1682" s="54">
        <f>VLOOKUP(_stats[[#This Row],[tournament]],tournaments_n_rules[],4,0)</f>
        <v>46285</v>
      </c>
      <c r="O1682" s="54">
        <f>VLOOKUP(_stats[[#This Row],[tournament]],tournaments_n_rules[],5,0)</f>
        <v>46356</v>
      </c>
    </row>
    <row r="1683" spans="1:15" x14ac:dyDescent="0.25">
      <c r="A1683" s="6">
        <v>46306</v>
      </c>
      <c r="B1683" s="72">
        <v>1</v>
      </c>
      <c r="C1683" s="104" t="s">
        <v>17</v>
      </c>
      <c r="D1683" s="10" t="str">
        <f>IFERROR(VLOOKUP(_stats[[#This Row],[player_id]],_players[[player_id]:[player_name]],2,0),"")</f>
        <v>Юра Пименов</v>
      </c>
      <c r="E1683" s="72">
        <v>1</v>
      </c>
      <c r="F1683" s="102">
        <v>3</v>
      </c>
      <c r="G1683" s="10">
        <f>SUMIFS(_teams[wins_on_date],_teams[date],_stats[[#This Row],[date]],_teams[team_number],_stats[[#This Row],[team_number]])</f>
        <v>3</v>
      </c>
      <c r="H1683" s="10">
        <f>SUMIFS(_teams[draws_on_date],_teams[date],_stats[[#This Row],[date]],_teams[team_number],_stats[[#This Row],[team_number]])</f>
        <v>3</v>
      </c>
      <c r="I1683" s="72">
        <v>0</v>
      </c>
      <c r="J1683" s="104">
        <v>0</v>
      </c>
      <c r="K1683" s="72">
        <v>9</v>
      </c>
      <c r="L1683" s="53">
        <f>VLOOKUP(_stats[[#This Row],[tournament]],tournaments_n_rules[],2,0)</f>
        <v>1747</v>
      </c>
      <c r="M1683" s="53" t="str">
        <f>VLOOKUP(_stats[[#This Row],[tournament]],tournaments_n_rules[],3,0)</f>
        <v>Осень 2026</v>
      </c>
      <c r="N1683" s="54">
        <f>VLOOKUP(_stats[[#This Row],[tournament]],tournaments_n_rules[],4,0)</f>
        <v>46285</v>
      </c>
      <c r="O1683" s="54">
        <f>VLOOKUP(_stats[[#This Row],[tournament]],tournaments_n_rules[],5,0)</f>
        <v>46356</v>
      </c>
    </row>
    <row r="1684" spans="1:15" x14ac:dyDescent="0.25">
      <c r="A1684" s="6">
        <v>46306</v>
      </c>
      <c r="B1684" s="72">
        <v>3</v>
      </c>
      <c r="C1684" s="104" t="s">
        <v>125</v>
      </c>
      <c r="D1684" s="10" t="str">
        <f>IFERROR(VLOOKUP(_stats[[#This Row],[player_id]],_players[[player_id]:[player_name]],2,0),"")</f>
        <v>Арги</v>
      </c>
      <c r="E1684" s="72">
        <v>0</v>
      </c>
      <c r="F1684" s="102">
        <v>0</v>
      </c>
      <c r="G1684" s="10">
        <f>SUMIFS(_teams[wins_on_date],_teams[date],_stats[[#This Row],[date]],_teams[team_number],_stats[[#This Row],[team_number]])</f>
        <v>3</v>
      </c>
      <c r="H1684" s="10">
        <f>SUMIFS(_teams[draws_on_date],_teams[date],_stats[[#This Row],[date]],_teams[team_number],_stats[[#This Row],[team_number]])</f>
        <v>2</v>
      </c>
      <c r="I1684" s="72">
        <v>0</v>
      </c>
      <c r="J1684" s="104">
        <v>0</v>
      </c>
      <c r="K1684" s="72">
        <v>9</v>
      </c>
      <c r="L1684" s="53">
        <f>VLOOKUP(_stats[[#This Row],[tournament]],tournaments_n_rules[],2,0)</f>
        <v>1747</v>
      </c>
      <c r="M1684" s="53" t="str">
        <f>VLOOKUP(_stats[[#This Row],[tournament]],tournaments_n_rules[],3,0)</f>
        <v>Осень 2026</v>
      </c>
      <c r="N1684" s="54">
        <f>VLOOKUP(_stats[[#This Row],[tournament]],tournaments_n_rules[],4,0)</f>
        <v>46285</v>
      </c>
      <c r="O1684" s="54">
        <f>VLOOKUP(_stats[[#This Row],[tournament]],tournaments_n_rules[],5,0)</f>
        <v>46356</v>
      </c>
    </row>
    <row r="1685" spans="1:15" x14ac:dyDescent="0.25">
      <c r="A1685" s="6">
        <v>46306</v>
      </c>
      <c r="B1685" s="72">
        <v>1</v>
      </c>
      <c r="C1685" s="104" t="s">
        <v>64</v>
      </c>
      <c r="D1685" s="10" t="str">
        <f>IFERROR(VLOOKUP(_stats[[#This Row],[player_id]],_players[[player_id]:[player_name]],2,0),"")</f>
        <v>Никита (АК+1)</v>
      </c>
      <c r="E1685" s="72">
        <v>5</v>
      </c>
      <c r="F1685" s="102">
        <v>0</v>
      </c>
      <c r="G1685" s="10">
        <f>SUMIFS(_teams[wins_on_date],_teams[date],_stats[[#This Row],[date]],_teams[team_number],_stats[[#This Row],[team_number]])</f>
        <v>3</v>
      </c>
      <c r="H1685" s="10">
        <f>SUMIFS(_teams[draws_on_date],_teams[date],_stats[[#This Row],[date]],_teams[team_number],_stats[[#This Row],[team_number]])</f>
        <v>3</v>
      </c>
      <c r="I1685" s="72">
        <v>0</v>
      </c>
      <c r="J1685" s="104">
        <v>0</v>
      </c>
      <c r="K1685" s="72">
        <v>9</v>
      </c>
      <c r="L1685" s="53">
        <f>VLOOKUP(_stats[[#This Row],[tournament]],tournaments_n_rules[],2,0)</f>
        <v>1747</v>
      </c>
      <c r="M1685" s="53" t="str">
        <f>VLOOKUP(_stats[[#This Row],[tournament]],tournaments_n_rules[],3,0)</f>
        <v>Осень 2026</v>
      </c>
      <c r="N1685" s="54">
        <f>VLOOKUP(_stats[[#This Row],[tournament]],tournaments_n_rules[],4,0)</f>
        <v>46285</v>
      </c>
      <c r="O1685" s="54">
        <f>VLOOKUP(_stats[[#This Row],[tournament]],tournaments_n_rules[],5,0)</f>
        <v>46356</v>
      </c>
    </row>
    <row r="1686" spans="1:15" x14ac:dyDescent="0.25">
      <c r="A1686" s="6">
        <v>46306</v>
      </c>
      <c r="B1686" s="72">
        <v>4</v>
      </c>
      <c r="C1686" s="104" t="s">
        <v>97</v>
      </c>
      <c r="D1686" s="10" t="str">
        <f>IFERROR(VLOOKUP(_stats[[#This Row],[player_id]],_players[[player_id]:[player_name]],2,0),"")</f>
        <v>Умар (Женя+1)</v>
      </c>
      <c r="E1686" s="72">
        <v>2</v>
      </c>
      <c r="F1686" s="102">
        <v>2</v>
      </c>
      <c r="G1686" s="10">
        <f>SUMIFS(_teams[wins_on_date],_teams[date],_stats[[#This Row],[date]],_teams[team_number],_stats[[#This Row],[team_number]])</f>
        <v>1</v>
      </c>
      <c r="H1686" s="10">
        <f>SUMIFS(_teams[draws_on_date],_teams[date],_stats[[#This Row],[date]],_teams[team_number],_stats[[#This Row],[team_number]])</f>
        <v>1</v>
      </c>
      <c r="I1686" s="72">
        <v>0</v>
      </c>
      <c r="J1686" s="104">
        <v>0</v>
      </c>
      <c r="K1686" s="72">
        <v>9</v>
      </c>
      <c r="L1686" s="53">
        <f>VLOOKUP(_stats[[#This Row],[tournament]],tournaments_n_rules[],2,0)</f>
        <v>1747</v>
      </c>
      <c r="M1686" s="53" t="str">
        <f>VLOOKUP(_stats[[#This Row],[tournament]],tournaments_n_rules[],3,0)</f>
        <v>Осень 2026</v>
      </c>
      <c r="N1686" s="54">
        <f>VLOOKUP(_stats[[#This Row],[tournament]],tournaments_n_rules[],4,0)</f>
        <v>46285</v>
      </c>
      <c r="O1686" s="54">
        <f>VLOOKUP(_stats[[#This Row],[tournament]],tournaments_n_rules[],5,0)</f>
        <v>46356</v>
      </c>
    </row>
    <row r="1687" spans="1:15" x14ac:dyDescent="0.25">
      <c r="A1687" s="6">
        <v>46306</v>
      </c>
      <c r="B1687" s="72">
        <v>3</v>
      </c>
      <c r="C1687" s="104" t="s">
        <v>22</v>
      </c>
      <c r="D1687" s="10" t="str">
        <f>IFERROR(VLOOKUP(_stats[[#This Row],[player_id]],_players[[player_id]:[player_name]],2,0),"")</f>
        <v>Расул</v>
      </c>
      <c r="E1687" s="72">
        <v>0</v>
      </c>
      <c r="F1687" s="102">
        <v>2</v>
      </c>
      <c r="G1687" s="10">
        <f>SUMIFS(_teams[wins_on_date],_teams[date],_stats[[#This Row],[date]],_teams[team_number],_stats[[#This Row],[team_number]])</f>
        <v>3</v>
      </c>
      <c r="H1687" s="10">
        <f>SUMIFS(_teams[draws_on_date],_teams[date],_stats[[#This Row],[date]],_teams[team_number],_stats[[#This Row],[team_number]])</f>
        <v>2</v>
      </c>
      <c r="I1687" s="72">
        <v>0</v>
      </c>
      <c r="J1687" s="104">
        <v>0</v>
      </c>
      <c r="K1687" s="72">
        <v>9</v>
      </c>
      <c r="L1687" s="53">
        <f>VLOOKUP(_stats[[#This Row],[tournament]],tournaments_n_rules[],2,0)</f>
        <v>1747</v>
      </c>
      <c r="M1687" s="53" t="str">
        <f>VLOOKUP(_stats[[#This Row],[tournament]],tournaments_n_rules[],3,0)</f>
        <v>Осень 2026</v>
      </c>
      <c r="N1687" s="54">
        <f>VLOOKUP(_stats[[#This Row],[tournament]],tournaments_n_rules[],4,0)</f>
        <v>46285</v>
      </c>
      <c r="O1687" s="54">
        <f>VLOOKUP(_stats[[#This Row],[tournament]],tournaments_n_rules[],5,0)</f>
        <v>46356</v>
      </c>
    </row>
    <row r="1688" spans="1:15" x14ac:dyDescent="0.25">
      <c r="A1688" s="6">
        <v>46306</v>
      </c>
      <c r="B1688" s="72">
        <v>2</v>
      </c>
      <c r="C1688" s="104" t="s">
        <v>320</v>
      </c>
      <c r="D1688" s="10" t="str">
        <f>IFERROR(VLOOKUP(_stats[[#This Row],[player_id]],_players[[player_id]:[player_name]],2,0),"")</f>
        <v>Сокол</v>
      </c>
      <c r="E1688" s="72">
        <v>1</v>
      </c>
      <c r="F1688" s="102">
        <v>1</v>
      </c>
      <c r="G1688" s="10">
        <f>SUMIFS(_teams[wins_on_date],_teams[date],_stats[[#This Row],[date]],_teams[team_number],_stats[[#This Row],[team_number]])</f>
        <v>9</v>
      </c>
      <c r="H1688" s="10">
        <f>SUMIFS(_teams[draws_on_date],_teams[date],_stats[[#This Row],[date]],_teams[team_number],_stats[[#This Row],[team_number]])</f>
        <v>2</v>
      </c>
      <c r="I1688" s="72">
        <v>0</v>
      </c>
      <c r="J1688" s="104">
        <v>0</v>
      </c>
      <c r="K1688" s="72">
        <v>9</v>
      </c>
      <c r="L1688" s="53">
        <f>VLOOKUP(_stats[[#This Row],[tournament]],tournaments_n_rules[],2,0)</f>
        <v>1747</v>
      </c>
      <c r="M1688" s="53" t="str">
        <f>VLOOKUP(_stats[[#This Row],[tournament]],tournaments_n_rules[],3,0)</f>
        <v>Осень 2026</v>
      </c>
      <c r="N1688" s="54">
        <f>VLOOKUP(_stats[[#This Row],[tournament]],tournaments_n_rules[],4,0)</f>
        <v>46285</v>
      </c>
      <c r="O1688" s="54">
        <f>VLOOKUP(_stats[[#This Row],[tournament]],tournaments_n_rules[],5,0)</f>
        <v>46356</v>
      </c>
    </row>
    <row r="1689" spans="1:15" x14ac:dyDescent="0.25">
      <c r="A1689" s="6">
        <v>46306</v>
      </c>
      <c r="B1689" s="72">
        <v>3</v>
      </c>
      <c r="C1689" s="104" t="s">
        <v>135</v>
      </c>
      <c r="D1689" s="10" t="str">
        <f>IFERROR(VLOOKUP(_stats[[#This Row],[player_id]],_players[[player_id]:[player_name]],2,0),"")</f>
        <v>Мага (Руб+1)</v>
      </c>
      <c r="E1689" s="72">
        <v>1</v>
      </c>
      <c r="F1689" s="102">
        <v>1</v>
      </c>
      <c r="G1689" s="10">
        <f>SUMIFS(_teams[wins_on_date],_teams[date],_stats[[#This Row],[date]],_teams[team_number],_stats[[#This Row],[team_number]])</f>
        <v>3</v>
      </c>
      <c r="H1689" s="10">
        <f>SUMIFS(_teams[draws_on_date],_teams[date],_stats[[#This Row],[date]],_teams[team_number],_stats[[#This Row],[team_number]])</f>
        <v>2</v>
      </c>
      <c r="I1689" s="72">
        <v>1</v>
      </c>
      <c r="J1689" s="104">
        <v>0</v>
      </c>
      <c r="K1689" s="72">
        <v>9</v>
      </c>
      <c r="L1689" s="53">
        <f>VLOOKUP(_stats[[#This Row],[tournament]],tournaments_n_rules[],2,0)</f>
        <v>1747</v>
      </c>
      <c r="M1689" s="53" t="str">
        <f>VLOOKUP(_stats[[#This Row],[tournament]],tournaments_n_rules[],3,0)</f>
        <v>Осень 2026</v>
      </c>
      <c r="N1689" s="54">
        <f>VLOOKUP(_stats[[#This Row],[tournament]],tournaments_n_rules[],4,0)</f>
        <v>46285</v>
      </c>
      <c r="O1689" s="54">
        <f>VLOOKUP(_stats[[#This Row],[tournament]],tournaments_n_rules[],5,0)</f>
        <v>46356</v>
      </c>
    </row>
    <row r="1690" spans="1:15" x14ac:dyDescent="0.25">
      <c r="A1690" s="6">
        <v>46306</v>
      </c>
      <c r="B1690" s="72">
        <v>3</v>
      </c>
      <c r="C1690" s="104" t="s">
        <v>13</v>
      </c>
      <c r="D1690" s="10" t="str">
        <f>IFERROR(VLOOKUP(_stats[[#This Row],[player_id]],_players[[player_id]:[player_name]],2,0),"")</f>
        <v>Нурик</v>
      </c>
      <c r="E1690" s="72">
        <v>3</v>
      </c>
      <c r="F1690" s="102">
        <v>1</v>
      </c>
      <c r="G1690" s="10">
        <f>SUMIFS(_teams[wins_on_date],_teams[date],_stats[[#This Row],[date]],_teams[team_number],_stats[[#This Row],[team_number]])</f>
        <v>3</v>
      </c>
      <c r="H1690" s="10">
        <f>SUMIFS(_teams[draws_on_date],_teams[date],_stats[[#This Row],[date]],_teams[team_number],_stats[[#This Row],[team_number]])</f>
        <v>2</v>
      </c>
      <c r="I1690" s="72">
        <v>0</v>
      </c>
      <c r="J1690" s="104">
        <v>0</v>
      </c>
      <c r="K1690" s="72">
        <v>9</v>
      </c>
      <c r="L1690" s="53">
        <f>VLOOKUP(_stats[[#This Row],[tournament]],tournaments_n_rules[],2,0)</f>
        <v>1747</v>
      </c>
      <c r="M1690" s="53" t="str">
        <f>VLOOKUP(_stats[[#This Row],[tournament]],tournaments_n_rules[],3,0)</f>
        <v>Осень 2026</v>
      </c>
      <c r="N1690" s="54">
        <f>VLOOKUP(_stats[[#This Row],[tournament]],tournaments_n_rules[],4,0)</f>
        <v>46285</v>
      </c>
      <c r="O1690" s="54">
        <f>VLOOKUP(_stats[[#This Row],[tournament]],tournaments_n_rules[],5,0)</f>
        <v>46356</v>
      </c>
    </row>
    <row r="1691" spans="1:15" x14ac:dyDescent="0.25">
      <c r="A1691" s="6">
        <v>46306</v>
      </c>
      <c r="B1691" s="72">
        <v>1</v>
      </c>
      <c r="C1691" s="104" t="s">
        <v>30</v>
      </c>
      <c r="D1691" s="10" t="str">
        <f>IFERROR(VLOOKUP(_stats[[#This Row],[player_id]],_players[[player_id]:[player_name]],2,0),"")</f>
        <v>Кирилл Попов</v>
      </c>
      <c r="E1691" s="72">
        <v>1</v>
      </c>
      <c r="F1691" s="102">
        <v>1</v>
      </c>
      <c r="G1691" s="10">
        <f>SUMIFS(_teams[wins_on_date],_teams[date],_stats[[#This Row],[date]],_teams[team_number],_stats[[#This Row],[team_number]])</f>
        <v>3</v>
      </c>
      <c r="H1691" s="10">
        <f>SUMIFS(_teams[draws_on_date],_teams[date],_stats[[#This Row],[date]],_teams[team_number],_stats[[#This Row],[team_number]])</f>
        <v>3</v>
      </c>
      <c r="I1691" s="72">
        <v>0</v>
      </c>
      <c r="J1691" s="104">
        <v>0</v>
      </c>
      <c r="K1691" s="72">
        <v>9</v>
      </c>
      <c r="L1691" s="53">
        <f>VLOOKUP(_stats[[#This Row],[tournament]],tournaments_n_rules[],2,0)</f>
        <v>1747</v>
      </c>
      <c r="M1691" s="53" t="str">
        <f>VLOOKUP(_stats[[#This Row],[tournament]],tournaments_n_rules[],3,0)</f>
        <v>Осень 2026</v>
      </c>
      <c r="N1691" s="54">
        <f>VLOOKUP(_stats[[#This Row],[tournament]],tournaments_n_rules[],4,0)</f>
        <v>46285</v>
      </c>
      <c r="O1691" s="54">
        <f>VLOOKUP(_stats[[#This Row],[tournament]],tournaments_n_rules[],5,0)</f>
        <v>46356</v>
      </c>
    </row>
    <row r="1692" spans="1:15" x14ac:dyDescent="0.25">
      <c r="A1692" s="6">
        <v>46306</v>
      </c>
      <c r="B1692" s="72">
        <v>2</v>
      </c>
      <c r="C1692" s="104" t="s">
        <v>157</v>
      </c>
      <c r="D1692" s="10" t="str">
        <f>IFERROR(VLOOKUP(_stats[[#This Row],[player_id]],_players[[player_id]:[player_name]],2,0),"")</f>
        <v>Никита (Сурэн+1)</v>
      </c>
      <c r="E1692" s="72">
        <v>4</v>
      </c>
      <c r="F1692" s="102">
        <v>1</v>
      </c>
      <c r="G1692" s="10">
        <f>SUMIFS(_teams[wins_on_date],_teams[date],_stats[[#This Row],[date]],_teams[team_number],_stats[[#This Row],[team_number]])</f>
        <v>9</v>
      </c>
      <c r="H1692" s="10">
        <f>SUMIFS(_teams[draws_on_date],_teams[date],_stats[[#This Row],[date]],_teams[team_number],_stats[[#This Row],[team_number]])</f>
        <v>2</v>
      </c>
      <c r="I1692" s="72">
        <v>0</v>
      </c>
      <c r="J1692" s="104">
        <v>0</v>
      </c>
      <c r="K1692" s="72">
        <v>9</v>
      </c>
      <c r="L1692" s="53">
        <f>VLOOKUP(_stats[[#This Row],[tournament]],tournaments_n_rules[],2,0)</f>
        <v>1747</v>
      </c>
      <c r="M1692" s="53" t="str">
        <f>VLOOKUP(_stats[[#This Row],[tournament]],tournaments_n_rules[],3,0)</f>
        <v>Осень 2026</v>
      </c>
      <c r="N1692" s="54">
        <f>VLOOKUP(_stats[[#This Row],[tournament]],tournaments_n_rules[],4,0)</f>
        <v>46285</v>
      </c>
      <c r="O1692" s="54">
        <f>VLOOKUP(_stats[[#This Row],[tournament]],tournaments_n_rules[],5,0)</f>
        <v>46356</v>
      </c>
    </row>
    <row r="1693" spans="1:15" x14ac:dyDescent="0.25">
      <c r="A1693" s="6">
        <v>46306</v>
      </c>
      <c r="B1693" s="72">
        <v>1</v>
      </c>
      <c r="C1693" s="104" t="s">
        <v>26</v>
      </c>
      <c r="D1693" s="10" t="str">
        <f>IFERROR(VLOOKUP(_stats[[#This Row],[player_id]],_players[[player_id]:[player_name]],2,0),"")</f>
        <v>Игорь Фомичев</v>
      </c>
      <c r="E1693" s="72">
        <v>0</v>
      </c>
      <c r="F1693" s="102">
        <v>0</v>
      </c>
      <c r="G1693" s="10">
        <f>SUMIFS(_teams[wins_on_date],_teams[date],_stats[[#This Row],[date]],_teams[team_number],_stats[[#This Row],[team_number]])</f>
        <v>3</v>
      </c>
      <c r="H1693" s="10">
        <f>SUMIFS(_teams[draws_on_date],_teams[date],_stats[[#This Row],[date]],_teams[team_number],_stats[[#This Row],[team_number]])</f>
        <v>3</v>
      </c>
      <c r="I1693" s="72">
        <v>0</v>
      </c>
      <c r="J1693" s="104">
        <v>0</v>
      </c>
      <c r="K1693" s="72">
        <v>9</v>
      </c>
      <c r="L1693" s="53">
        <f>VLOOKUP(_stats[[#This Row],[tournament]],tournaments_n_rules[],2,0)</f>
        <v>1747</v>
      </c>
      <c r="M1693" s="53" t="str">
        <f>VLOOKUP(_stats[[#This Row],[tournament]],tournaments_n_rules[],3,0)</f>
        <v>Осень 2026</v>
      </c>
      <c r="N1693" s="54">
        <f>VLOOKUP(_stats[[#This Row],[tournament]],tournaments_n_rules[],4,0)</f>
        <v>46285</v>
      </c>
      <c r="O1693" s="54">
        <f>VLOOKUP(_stats[[#This Row],[tournament]],tournaments_n_rules[],5,0)</f>
        <v>46356</v>
      </c>
    </row>
    <row r="1694" spans="1:15" x14ac:dyDescent="0.25">
      <c r="A1694" s="6">
        <v>46306</v>
      </c>
      <c r="B1694" s="72">
        <v>4</v>
      </c>
      <c r="C1694" s="104" t="s">
        <v>323</v>
      </c>
      <c r="D1694" s="10" t="str">
        <f>IFERROR(VLOOKUP(_stats[[#This Row],[player_id]],_players[[player_id]:[player_name]],2,0),"")</f>
        <v>Дима (Рашид+1)</v>
      </c>
      <c r="E1694" s="72">
        <v>0</v>
      </c>
      <c r="F1694" s="102">
        <v>0</v>
      </c>
      <c r="G1694" s="10">
        <f>SUMIFS(_teams[wins_on_date],_teams[date],_stats[[#This Row],[date]],_teams[team_number],_stats[[#This Row],[team_number]])</f>
        <v>1</v>
      </c>
      <c r="H1694" s="10">
        <f>SUMIFS(_teams[draws_on_date],_teams[date],_stats[[#This Row],[date]],_teams[team_number],_stats[[#This Row],[team_number]])</f>
        <v>1</v>
      </c>
      <c r="I1694" s="72">
        <v>0</v>
      </c>
      <c r="J1694" s="104">
        <v>0</v>
      </c>
      <c r="K1694" s="72">
        <v>9</v>
      </c>
      <c r="L1694" s="53">
        <f>VLOOKUP(_stats[[#This Row],[tournament]],tournaments_n_rules[],2,0)</f>
        <v>1747</v>
      </c>
      <c r="M1694" s="53" t="str">
        <f>VLOOKUP(_stats[[#This Row],[tournament]],tournaments_n_rules[],3,0)</f>
        <v>Осень 2026</v>
      </c>
      <c r="N1694" s="54">
        <f>VLOOKUP(_stats[[#This Row],[tournament]],tournaments_n_rules[],4,0)</f>
        <v>46285</v>
      </c>
      <c r="O1694" s="54">
        <f>VLOOKUP(_stats[[#This Row],[tournament]],tournaments_n_rules[],5,0)</f>
        <v>46356</v>
      </c>
    </row>
    <row r="1695" spans="1:15" x14ac:dyDescent="0.25">
      <c r="A1695" s="6">
        <v>46306</v>
      </c>
      <c r="B1695" s="72">
        <v>2</v>
      </c>
      <c r="C1695" s="104" t="s">
        <v>28</v>
      </c>
      <c r="D1695" s="10" t="str">
        <f>IFERROR(VLOOKUP(_stats[[#This Row],[player_id]],_players[[player_id]:[player_name]],2,0),"")</f>
        <v>Витя</v>
      </c>
      <c r="E1695" s="72">
        <v>1</v>
      </c>
      <c r="F1695" s="102">
        <v>1</v>
      </c>
      <c r="G1695" s="10">
        <f>SUMIFS(_teams[wins_on_date],_teams[date],_stats[[#This Row],[date]],_teams[team_number],_stats[[#This Row],[team_number]])</f>
        <v>9</v>
      </c>
      <c r="H1695" s="10">
        <f>SUMIFS(_teams[draws_on_date],_teams[date],_stats[[#This Row],[date]],_teams[team_number],_stats[[#This Row],[team_number]])</f>
        <v>2</v>
      </c>
      <c r="I1695" s="72">
        <v>0</v>
      </c>
      <c r="J1695" s="104">
        <v>0</v>
      </c>
      <c r="K1695" s="72">
        <v>9</v>
      </c>
      <c r="L1695" s="53">
        <f>VLOOKUP(_stats[[#This Row],[tournament]],tournaments_n_rules[],2,0)</f>
        <v>1747</v>
      </c>
      <c r="M1695" s="53" t="str">
        <f>VLOOKUP(_stats[[#This Row],[tournament]],tournaments_n_rules[],3,0)</f>
        <v>Осень 2026</v>
      </c>
      <c r="N1695" s="54">
        <f>VLOOKUP(_stats[[#This Row],[tournament]],tournaments_n_rules[],4,0)</f>
        <v>46285</v>
      </c>
      <c r="O1695" s="54">
        <f>VLOOKUP(_stats[[#This Row],[tournament]],tournaments_n_rules[],5,0)</f>
        <v>46356</v>
      </c>
    </row>
    <row r="1696" spans="1:15" x14ac:dyDescent="0.25">
      <c r="A1696" s="6">
        <v>46306</v>
      </c>
      <c r="B1696" s="72">
        <v>4</v>
      </c>
      <c r="C1696" s="104" t="s">
        <v>53</v>
      </c>
      <c r="D1696" s="10" t="str">
        <f>IFERROR(VLOOKUP(_stats[[#This Row],[player_id]],_players[[player_id]:[player_name]],2,0),"")</f>
        <v>Даня (сын Вити)</v>
      </c>
      <c r="E1696" s="72">
        <v>0</v>
      </c>
      <c r="F1696" s="102">
        <v>0</v>
      </c>
      <c r="G1696" s="10">
        <f>SUMIFS(_teams[wins_on_date],_teams[date],_stats[[#This Row],[date]],_teams[team_number],_stats[[#This Row],[team_number]])</f>
        <v>1</v>
      </c>
      <c r="H1696" s="10">
        <f>SUMIFS(_teams[draws_on_date],_teams[date],_stats[[#This Row],[date]],_teams[team_number],_stats[[#This Row],[team_number]])</f>
        <v>1</v>
      </c>
      <c r="I1696" s="72">
        <v>0</v>
      </c>
      <c r="J1696" s="104">
        <v>0</v>
      </c>
      <c r="K1696" s="72">
        <v>9</v>
      </c>
      <c r="L1696" s="53">
        <f>VLOOKUP(_stats[[#This Row],[tournament]],tournaments_n_rules[],2,0)</f>
        <v>1747</v>
      </c>
      <c r="M1696" s="53" t="str">
        <f>VLOOKUP(_stats[[#This Row],[tournament]],tournaments_n_rules[],3,0)</f>
        <v>Осень 2026</v>
      </c>
      <c r="N1696" s="54">
        <f>VLOOKUP(_stats[[#This Row],[tournament]],tournaments_n_rules[],4,0)</f>
        <v>46285</v>
      </c>
      <c r="O1696" s="54">
        <f>VLOOKUP(_stats[[#This Row],[tournament]],tournaments_n_rules[],5,0)</f>
        <v>46356</v>
      </c>
    </row>
    <row r="1697" spans="1:15" x14ac:dyDescent="0.25">
      <c r="A1697" s="6">
        <v>46306</v>
      </c>
      <c r="B1697" s="72">
        <v>4</v>
      </c>
      <c r="C1697" s="104" t="s">
        <v>46</v>
      </c>
      <c r="D1697" s="10" t="str">
        <f>IFERROR(VLOOKUP(_stats[[#This Row],[player_id]],_players[[player_id]:[player_name]],2,0),"")</f>
        <v>Рома Сурнин</v>
      </c>
      <c r="E1697" s="72">
        <v>0</v>
      </c>
      <c r="F1697" s="102">
        <v>1</v>
      </c>
      <c r="G1697" s="10">
        <f>SUMIFS(_teams[wins_on_date],_teams[date],_stats[[#This Row],[date]],_teams[team_number],_stats[[#This Row],[team_number]])</f>
        <v>1</v>
      </c>
      <c r="H1697" s="10">
        <f>SUMIFS(_teams[draws_on_date],_teams[date],_stats[[#This Row],[date]],_teams[team_number],_stats[[#This Row],[team_number]])</f>
        <v>1</v>
      </c>
      <c r="I1697" s="72">
        <v>0</v>
      </c>
      <c r="J1697" s="104">
        <v>0</v>
      </c>
      <c r="K1697" s="72">
        <v>9</v>
      </c>
      <c r="L1697" s="53">
        <f>VLOOKUP(_stats[[#This Row],[tournament]],tournaments_n_rules[],2,0)</f>
        <v>1747</v>
      </c>
      <c r="M1697" s="53" t="str">
        <f>VLOOKUP(_stats[[#This Row],[tournament]],tournaments_n_rules[],3,0)</f>
        <v>Осень 2026</v>
      </c>
      <c r="N1697" s="54">
        <f>VLOOKUP(_stats[[#This Row],[tournament]],tournaments_n_rules[],4,0)</f>
        <v>46285</v>
      </c>
      <c r="O1697" s="54">
        <f>VLOOKUP(_stats[[#This Row],[tournament]],tournaments_n_rules[],5,0)</f>
        <v>46356</v>
      </c>
    </row>
    <row r="1698" spans="1:15" x14ac:dyDescent="0.25">
      <c r="A1698" s="6">
        <v>46306</v>
      </c>
      <c r="B1698" s="72">
        <v>2</v>
      </c>
      <c r="C1698" s="104" t="s">
        <v>81</v>
      </c>
      <c r="D1698" s="10" t="str">
        <f>IFERROR(VLOOKUP(_stats[[#This Row],[player_id]],_players[[player_id]:[player_name]],2,0),"")</f>
        <v>Зинаддин Алимов</v>
      </c>
      <c r="E1698" s="72">
        <v>3</v>
      </c>
      <c r="F1698" s="102">
        <v>3</v>
      </c>
      <c r="G1698" s="10">
        <f>SUMIFS(_teams[wins_on_date],_teams[date],_stats[[#This Row],[date]],_teams[team_number],_stats[[#This Row],[team_number]])</f>
        <v>9</v>
      </c>
      <c r="H1698" s="10">
        <f>SUMIFS(_teams[draws_on_date],_teams[date],_stats[[#This Row],[date]],_teams[team_number],_stats[[#This Row],[team_number]])</f>
        <v>2</v>
      </c>
      <c r="I1698" s="72">
        <v>0</v>
      </c>
      <c r="J1698" s="104">
        <v>0</v>
      </c>
      <c r="K1698" s="72">
        <v>9</v>
      </c>
      <c r="L1698" s="53">
        <f>VLOOKUP(_stats[[#This Row],[tournament]],tournaments_n_rules[],2,0)</f>
        <v>1747</v>
      </c>
      <c r="M1698" s="53" t="str">
        <f>VLOOKUP(_stats[[#This Row],[tournament]],tournaments_n_rules[],3,0)</f>
        <v>Осень 2026</v>
      </c>
      <c r="N1698" s="54">
        <f>VLOOKUP(_stats[[#This Row],[tournament]],tournaments_n_rules[],4,0)</f>
        <v>46285</v>
      </c>
      <c r="O1698" s="54">
        <f>VLOOKUP(_stats[[#This Row],[tournament]],tournaments_n_rules[],5,0)</f>
        <v>46356</v>
      </c>
    </row>
    <row r="1699" spans="1:15" x14ac:dyDescent="0.25">
      <c r="A1699" s="6">
        <v>46306</v>
      </c>
      <c r="B1699" s="72">
        <v>4</v>
      </c>
      <c r="C1699" s="104" t="s">
        <v>35</v>
      </c>
      <c r="D1699" s="10" t="str">
        <f>IFERROR(VLOOKUP(_stats[[#This Row],[player_id]],_players[[player_id]:[player_name]],2,0),"")</f>
        <v>Рубик</v>
      </c>
      <c r="E1699" s="72">
        <v>1</v>
      </c>
      <c r="F1699" s="102">
        <v>1</v>
      </c>
      <c r="G1699" s="10">
        <f>SUMIFS(_teams[wins_on_date],_teams[date],_stats[[#This Row],[date]],_teams[team_number],_stats[[#This Row],[team_number]])</f>
        <v>1</v>
      </c>
      <c r="H1699" s="10">
        <f>SUMIFS(_teams[draws_on_date],_teams[date],_stats[[#This Row],[date]],_teams[team_number],_stats[[#This Row],[team_number]])</f>
        <v>1</v>
      </c>
      <c r="I1699" s="72">
        <v>0</v>
      </c>
      <c r="J1699" s="104">
        <v>0</v>
      </c>
      <c r="K1699" s="72">
        <v>9</v>
      </c>
      <c r="L1699" s="53">
        <f>VLOOKUP(_stats[[#This Row],[tournament]],tournaments_n_rules[],2,0)</f>
        <v>1747</v>
      </c>
      <c r="M1699" s="53" t="str">
        <f>VLOOKUP(_stats[[#This Row],[tournament]],tournaments_n_rules[],3,0)</f>
        <v>Осень 2026</v>
      </c>
      <c r="N1699" s="54">
        <f>VLOOKUP(_stats[[#This Row],[tournament]],tournaments_n_rules[],4,0)</f>
        <v>46285</v>
      </c>
      <c r="O1699" s="54">
        <f>VLOOKUP(_stats[[#This Row],[tournament]],tournaments_n_rules[],5,0)</f>
        <v>46356</v>
      </c>
    </row>
    <row r="1700" spans="1:15" x14ac:dyDescent="0.25">
      <c r="A1700" s="6">
        <v>46306</v>
      </c>
      <c r="B1700" s="72">
        <v>4</v>
      </c>
      <c r="C1700" s="104" t="s">
        <v>322</v>
      </c>
      <c r="D1700" s="10" t="str">
        <f>IFERROR(VLOOKUP(_stats[[#This Row],[player_id]],_players[[player_id]:[player_name]],2,0),"")</f>
        <v>Дима (Богдан+1)</v>
      </c>
      <c r="E1700" s="72">
        <v>2</v>
      </c>
      <c r="F1700" s="102">
        <v>0</v>
      </c>
      <c r="G1700" s="10">
        <f>SUMIFS(_teams[wins_on_date],_teams[date],_stats[[#This Row],[date]],_teams[team_number],_stats[[#This Row],[team_number]])</f>
        <v>1</v>
      </c>
      <c r="H1700" s="10">
        <f>SUMIFS(_teams[draws_on_date],_teams[date],_stats[[#This Row],[date]],_teams[team_number],_stats[[#This Row],[team_number]])</f>
        <v>1</v>
      </c>
      <c r="I1700" s="72">
        <v>0</v>
      </c>
      <c r="J1700" s="104">
        <v>0</v>
      </c>
      <c r="K1700" s="72">
        <v>9</v>
      </c>
      <c r="L1700" s="53">
        <f>VLOOKUP(_stats[[#This Row],[tournament]],tournaments_n_rules[],2,0)</f>
        <v>1747</v>
      </c>
      <c r="M1700" s="53" t="str">
        <f>VLOOKUP(_stats[[#This Row],[tournament]],tournaments_n_rules[],3,0)</f>
        <v>Осень 2026</v>
      </c>
      <c r="N1700" s="54">
        <f>VLOOKUP(_stats[[#This Row],[tournament]],tournaments_n_rules[],4,0)</f>
        <v>46285</v>
      </c>
      <c r="O1700" s="54">
        <f>VLOOKUP(_stats[[#This Row],[tournament]],tournaments_n_rules[],5,0)</f>
        <v>46356</v>
      </c>
    </row>
    <row r="1701" spans="1:15" x14ac:dyDescent="0.25">
      <c r="A1701" s="6">
        <v>46306</v>
      </c>
      <c r="B1701" s="72">
        <v>4</v>
      </c>
      <c r="C1701" s="104" t="s">
        <v>38</v>
      </c>
      <c r="D1701" s="10" t="str">
        <f>IFERROR(VLOOKUP(_stats[[#This Row],[player_id]],_players[[player_id]:[player_name]],2,0),"")</f>
        <v>Рамиль (АК+1)</v>
      </c>
      <c r="E1701" s="72">
        <v>2</v>
      </c>
      <c r="F1701" s="102">
        <v>1</v>
      </c>
      <c r="G1701" s="10">
        <f>SUMIFS(_teams[wins_on_date],_teams[date],_stats[[#This Row],[date]],_teams[team_number],_stats[[#This Row],[team_number]])</f>
        <v>1</v>
      </c>
      <c r="H1701" s="10">
        <f>SUMIFS(_teams[draws_on_date],_teams[date],_stats[[#This Row],[date]],_teams[team_number],_stats[[#This Row],[team_number]])</f>
        <v>1</v>
      </c>
      <c r="I1701" s="72">
        <v>0</v>
      </c>
      <c r="J1701" s="104">
        <v>0</v>
      </c>
      <c r="K1701" s="72">
        <v>9</v>
      </c>
      <c r="L1701" s="53">
        <f>VLOOKUP(_stats[[#This Row],[tournament]],tournaments_n_rules[],2,0)</f>
        <v>1747</v>
      </c>
      <c r="M1701" s="53" t="str">
        <f>VLOOKUP(_stats[[#This Row],[tournament]],tournaments_n_rules[],3,0)</f>
        <v>Осень 2026</v>
      </c>
      <c r="N1701" s="54">
        <f>VLOOKUP(_stats[[#This Row],[tournament]],tournaments_n_rules[],4,0)</f>
        <v>46285</v>
      </c>
      <c r="O1701" s="54">
        <f>VLOOKUP(_stats[[#This Row],[tournament]],tournaments_n_rules[],5,0)</f>
        <v>46356</v>
      </c>
    </row>
    <row r="1702" spans="1:15" x14ac:dyDescent="0.25">
      <c r="A1702" s="6">
        <v>46313</v>
      </c>
      <c r="B1702" s="72">
        <v>3</v>
      </c>
      <c r="C1702" s="104" t="s">
        <v>314</v>
      </c>
      <c r="D1702" s="10" t="str">
        <f>IFERROR(VLOOKUP(_stats[[#This Row],[player_id]],_players[[player_id]:[player_name]],2,0),"")</f>
        <v>Рашид</v>
      </c>
      <c r="E1702" s="72">
        <v>0</v>
      </c>
      <c r="F1702" s="102">
        <v>1</v>
      </c>
      <c r="G1702" s="10">
        <f>SUMIFS(_teams[wins_on_date],_teams[date],_stats[[#This Row],[date]],_teams[team_number],_stats[[#This Row],[team_number]])</f>
        <v>4</v>
      </c>
      <c r="H1702" s="10">
        <f>SUMIFS(_teams[draws_on_date],_teams[date],_stats[[#This Row],[date]],_teams[team_number],_stats[[#This Row],[team_number]])</f>
        <v>2</v>
      </c>
      <c r="I1702" s="72">
        <v>1</v>
      </c>
      <c r="J1702" s="104">
        <v>0</v>
      </c>
      <c r="K1702" s="72">
        <v>9</v>
      </c>
      <c r="L1702" s="53">
        <f>VLOOKUP(_stats[[#This Row],[tournament]],tournaments_n_rules[],2,0)</f>
        <v>1747</v>
      </c>
      <c r="M1702" s="53" t="str">
        <f>VLOOKUP(_stats[[#This Row],[tournament]],tournaments_n_rules[],3,0)</f>
        <v>Осень 2026</v>
      </c>
      <c r="N1702" s="54">
        <f>VLOOKUP(_stats[[#This Row],[tournament]],tournaments_n_rules[],4,0)</f>
        <v>46285</v>
      </c>
      <c r="O1702" s="54">
        <f>VLOOKUP(_stats[[#This Row],[tournament]],tournaments_n_rules[],5,0)</f>
        <v>46356</v>
      </c>
    </row>
    <row r="1703" spans="1:15" x14ac:dyDescent="0.25">
      <c r="A1703" s="6">
        <v>46313</v>
      </c>
      <c r="B1703" s="72">
        <v>3</v>
      </c>
      <c r="C1703" s="104" t="s">
        <v>19</v>
      </c>
      <c r="D1703" s="10" t="str">
        <f>IFERROR(VLOOKUP(_stats[[#This Row],[player_id]],_players[[player_id]:[player_name]],2,0),"")</f>
        <v>Олег Шишкин</v>
      </c>
      <c r="E1703" s="72">
        <v>0</v>
      </c>
      <c r="F1703" s="102">
        <v>0</v>
      </c>
      <c r="G1703" s="10">
        <f>SUMIFS(_teams[wins_on_date],_teams[date],_stats[[#This Row],[date]],_teams[team_number],_stats[[#This Row],[team_number]])</f>
        <v>4</v>
      </c>
      <c r="H1703" s="10">
        <f>SUMIFS(_teams[draws_on_date],_teams[date],_stats[[#This Row],[date]],_teams[team_number],_stats[[#This Row],[team_number]])</f>
        <v>2</v>
      </c>
      <c r="I1703" s="72">
        <v>0</v>
      </c>
      <c r="J1703" s="104">
        <v>0</v>
      </c>
      <c r="K1703" s="72">
        <v>9</v>
      </c>
      <c r="L1703" s="53">
        <f>VLOOKUP(_stats[[#This Row],[tournament]],tournaments_n_rules[],2,0)</f>
        <v>1747</v>
      </c>
      <c r="M1703" s="53" t="str">
        <f>VLOOKUP(_stats[[#This Row],[tournament]],tournaments_n_rules[],3,0)</f>
        <v>Осень 2026</v>
      </c>
      <c r="N1703" s="54">
        <f>VLOOKUP(_stats[[#This Row],[tournament]],tournaments_n_rules[],4,0)</f>
        <v>46285</v>
      </c>
      <c r="O1703" s="54">
        <f>VLOOKUP(_stats[[#This Row],[tournament]],tournaments_n_rules[],5,0)</f>
        <v>46356</v>
      </c>
    </row>
    <row r="1704" spans="1:15" x14ac:dyDescent="0.25">
      <c r="A1704" s="6">
        <v>46313</v>
      </c>
      <c r="B1704" s="72">
        <v>2</v>
      </c>
      <c r="C1704" s="104" t="s">
        <v>15</v>
      </c>
      <c r="D1704" s="10" t="str">
        <f>IFERROR(VLOOKUP(_stats[[#This Row],[player_id]],_players[[player_id]:[player_name]],2,0),"")</f>
        <v>Тёма</v>
      </c>
      <c r="E1704" s="72">
        <v>1</v>
      </c>
      <c r="F1704" s="102">
        <v>0</v>
      </c>
      <c r="G1704" s="10">
        <f>SUMIFS(_teams[wins_on_date],_teams[date],_stats[[#This Row],[date]],_teams[team_number],_stats[[#This Row],[team_number]])</f>
        <v>4</v>
      </c>
      <c r="H1704" s="10">
        <f>SUMIFS(_teams[draws_on_date],_teams[date],_stats[[#This Row],[date]],_teams[team_number],_stats[[#This Row],[team_number]])</f>
        <v>3</v>
      </c>
      <c r="I1704" s="72">
        <v>0</v>
      </c>
      <c r="J1704" s="104">
        <v>0</v>
      </c>
      <c r="K1704" s="72">
        <v>9</v>
      </c>
      <c r="L1704" s="53">
        <f>VLOOKUP(_stats[[#This Row],[tournament]],tournaments_n_rules[],2,0)</f>
        <v>1747</v>
      </c>
      <c r="M1704" s="53" t="str">
        <f>VLOOKUP(_stats[[#This Row],[tournament]],tournaments_n_rules[],3,0)</f>
        <v>Осень 2026</v>
      </c>
      <c r="N1704" s="54">
        <f>VLOOKUP(_stats[[#This Row],[tournament]],tournaments_n_rules[],4,0)</f>
        <v>46285</v>
      </c>
      <c r="O1704" s="54">
        <f>VLOOKUP(_stats[[#This Row],[tournament]],tournaments_n_rules[],5,0)</f>
        <v>46356</v>
      </c>
    </row>
    <row r="1705" spans="1:15" x14ac:dyDescent="0.25">
      <c r="A1705" s="6">
        <v>46313</v>
      </c>
      <c r="B1705" s="72">
        <v>1</v>
      </c>
      <c r="C1705" s="104" t="s">
        <v>131</v>
      </c>
      <c r="D1705" s="10" t="str">
        <f>IFERROR(VLOOKUP(_stats[[#This Row],[player_id]],_players[[player_id]:[player_name]],2,0),"")</f>
        <v>Коля (АК+1)</v>
      </c>
      <c r="E1705" s="72">
        <v>0</v>
      </c>
      <c r="F1705" s="102">
        <v>2</v>
      </c>
      <c r="G1705" s="10">
        <f>SUMIFS(_teams[wins_on_date],_teams[date],_stats[[#This Row],[date]],_teams[team_number],_stats[[#This Row],[team_number]])</f>
        <v>4</v>
      </c>
      <c r="H1705" s="10">
        <f>SUMIFS(_teams[draws_on_date],_teams[date],_stats[[#This Row],[date]],_teams[team_number],_stats[[#This Row],[team_number]])</f>
        <v>2</v>
      </c>
      <c r="I1705" s="72">
        <v>0</v>
      </c>
      <c r="J1705" s="104">
        <v>0</v>
      </c>
      <c r="K1705" s="72">
        <v>9</v>
      </c>
      <c r="L1705" s="53">
        <f>VLOOKUP(_stats[[#This Row],[tournament]],tournaments_n_rules[],2,0)</f>
        <v>1747</v>
      </c>
      <c r="M1705" s="53" t="str">
        <f>VLOOKUP(_stats[[#This Row],[tournament]],tournaments_n_rules[],3,0)</f>
        <v>Осень 2026</v>
      </c>
      <c r="N1705" s="54">
        <f>VLOOKUP(_stats[[#This Row],[tournament]],tournaments_n_rules[],4,0)</f>
        <v>46285</v>
      </c>
      <c r="O1705" s="54">
        <f>VLOOKUP(_stats[[#This Row],[tournament]],tournaments_n_rules[],5,0)</f>
        <v>46356</v>
      </c>
    </row>
    <row r="1706" spans="1:15" x14ac:dyDescent="0.25">
      <c r="A1706" s="6">
        <v>46313</v>
      </c>
      <c r="B1706" s="72">
        <v>4</v>
      </c>
      <c r="C1706" s="104" t="s">
        <v>17</v>
      </c>
      <c r="D1706" s="10" t="str">
        <f>IFERROR(VLOOKUP(_stats[[#This Row],[player_id]],_players[[player_id]:[player_name]],2,0),"")</f>
        <v>Юра Пименов</v>
      </c>
      <c r="E1706" s="72">
        <v>0</v>
      </c>
      <c r="F1706" s="102">
        <v>3</v>
      </c>
      <c r="G1706" s="10">
        <f>SUMIFS(_teams[wins_on_date],_teams[date],_stats[[#This Row],[date]],_teams[team_number],_stats[[#This Row],[team_number]])</f>
        <v>5</v>
      </c>
      <c r="H1706" s="10">
        <f>SUMIFS(_teams[draws_on_date],_teams[date],_stats[[#This Row],[date]],_teams[team_number],_stats[[#This Row],[team_number]])</f>
        <v>1</v>
      </c>
      <c r="I1706" s="72">
        <v>0</v>
      </c>
      <c r="J1706" s="104">
        <v>0</v>
      </c>
      <c r="K1706" s="72">
        <v>9</v>
      </c>
      <c r="L1706" s="53">
        <f>VLOOKUP(_stats[[#This Row],[tournament]],tournaments_n_rules[],2,0)</f>
        <v>1747</v>
      </c>
      <c r="M1706" s="53" t="str">
        <f>VLOOKUP(_stats[[#This Row],[tournament]],tournaments_n_rules[],3,0)</f>
        <v>Осень 2026</v>
      </c>
      <c r="N1706" s="54">
        <f>VLOOKUP(_stats[[#This Row],[tournament]],tournaments_n_rules[],4,0)</f>
        <v>46285</v>
      </c>
      <c r="O1706" s="54">
        <f>VLOOKUP(_stats[[#This Row],[tournament]],tournaments_n_rules[],5,0)</f>
        <v>46356</v>
      </c>
    </row>
    <row r="1707" spans="1:15" x14ac:dyDescent="0.25">
      <c r="A1707" s="6">
        <v>46313</v>
      </c>
      <c r="B1707" s="72">
        <v>2</v>
      </c>
      <c r="C1707" s="104" t="s">
        <v>48</v>
      </c>
      <c r="D1707" s="10" t="str">
        <f>IFERROR(VLOOKUP(_stats[[#This Row],[player_id]],_players[[player_id]:[player_name]],2,0),"")</f>
        <v>Андрей (АК+1)</v>
      </c>
      <c r="E1707" s="72">
        <v>1</v>
      </c>
      <c r="F1707" s="102">
        <v>0</v>
      </c>
      <c r="G1707" s="10">
        <f>SUMIFS(_teams[wins_on_date],_teams[date],_stats[[#This Row],[date]],_teams[team_number],_stats[[#This Row],[team_number]])</f>
        <v>4</v>
      </c>
      <c r="H1707" s="10">
        <f>SUMIFS(_teams[draws_on_date],_teams[date],_stats[[#This Row],[date]],_teams[team_number],_stats[[#This Row],[team_number]])</f>
        <v>3</v>
      </c>
      <c r="I1707" s="72">
        <v>0</v>
      </c>
      <c r="J1707" s="104">
        <v>0</v>
      </c>
      <c r="K1707" s="72">
        <v>9</v>
      </c>
      <c r="L1707" s="53">
        <f>VLOOKUP(_stats[[#This Row],[tournament]],tournaments_n_rules[],2,0)</f>
        <v>1747</v>
      </c>
      <c r="M1707" s="53" t="str">
        <f>VLOOKUP(_stats[[#This Row],[tournament]],tournaments_n_rules[],3,0)</f>
        <v>Осень 2026</v>
      </c>
      <c r="N1707" s="54">
        <f>VLOOKUP(_stats[[#This Row],[tournament]],tournaments_n_rules[],4,0)</f>
        <v>46285</v>
      </c>
      <c r="O1707" s="54">
        <f>VLOOKUP(_stats[[#This Row],[tournament]],tournaments_n_rules[],5,0)</f>
        <v>46356</v>
      </c>
    </row>
    <row r="1708" spans="1:15" x14ac:dyDescent="0.25">
      <c r="A1708" s="6">
        <v>46313</v>
      </c>
      <c r="B1708" s="72">
        <v>4</v>
      </c>
      <c r="C1708" s="104" t="s">
        <v>69</v>
      </c>
      <c r="D1708" s="10" t="str">
        <f>IFERROR(VLOOKUP(_stats[[#This Row],[player_id]],_players[[player_id]:[player_name]],2,0),"")</f>
        <v>Анашкин</v>
      </c>
      <c r="E1708" s="72">
        <v>0</v>
      </c>
      <c r="F1708" s="102">
        <v>0</v>
      </c>
      <c r="G1708" s="10">
        <f>SUMIFS(_teams[wins_on_date],_teams[date],_stats[[#This Row],[date]],_teams[team_number],_stats[[#This Row],[team_number]])</f>
        <v>5</v>
      </c>
      <c r="H1708" s="10">
        <f>SUMIFS(_teams[draws_on_date],_teams[date],_stats[[#This Row],[date]],_teams[team_number],_stats[[#This Row],[team_number]])</f>
        <v>1</v>
      </c>
      <c r="I1708" s="72">
        <v>0</v>
      </c>
      <c r="J1708" s="104">
        <v>0</v>
      </c>
      <c r="K1708" s="72">
        <v>9</v>
      </c>
      <c r="L1708" s="53">
        <f>VLOOKUP(_stats[[#This Row],[tournament]],tournaments_n_rules[],2,0)</f>
        <v>1747</v>
      </c>
      <c r="M1708" s="53" t="str">
        <f>VLOOKUP(_stats[[#This Row],[tournament]],tournaments_n_rules[],3,0)</f>
        <v>Осень 2026</v>
      </c>
      <c r="N1708" s="54">
        <f>VLOOKUP(_stats[[#This Row],[tournament]],tournaments_n_rules[],4,0)</f>
        <v>46285</v>
      </c>
      <c r="O1708" s="54">
        <f>VLOOKUP(_stats[[#This Row],[tournament]],tournaments_n_rules[],5,0)</f>
        <v>46356</v>
      </c>
    </row>
    <row r="1709" spans="1:15" x14ac:dyDescent="0.25">
      <c r="A1709" s="6">
        <v>46313</v>
      </c>
      <c r="B1709" s="72">
        <v>1</v>
      </c>
      <c r="C1709" s="104" t="s">
        <v>81</v>
      </c>
      <c r="D1709" s="10" t="str">
        <f>IFERROR(VLOOKUP(_stats[[#This Row],[player_id]],_players[[player_id]:[player_name]],2,0),"")</f>
        <v>Зинаддин Алимов</v>
      </c>
      <c r="E1709" s="72">
        <v>2</v>
      </c>
      <c r="F1709" s="102">
        <v>0</v>
      </c>
      <c r="G1709" s="10">
        <f>SUMIFS(_teams[wins_on_date],_teams[date],_stats[[#This Row],[date]],_teams[team_number],_stats[[#This Row],[team_number]])</f>
        <v>4</v>
      </c>
      <c r="H1709" s="10">
        <f>SUMIFS(_teams[draws_on_date],_teams[date],_stats[[#This Row],[date]],_teams[team_number],_stats[[#This Row],[team_number]])</f>
        <v>2</v>
      </c>
      <c r="I1709" s="72">
        <v>0</v>
      </c>
      <c r="J1709" s="104">
        <v>0</v>
      </c>
      <c r="K1709" s="72">
        <v>9</v>
      </c>
      <c r="L1709" s="53">
        <f>VLOOKUP(_stats[[#This Row],[tournament]],tournaments_n_rules[],2,0)</f>
        <v>1747</v>
      </c>
      <c r="M1709" s="53" t="str">
        <f>VLOOKUP(_stats[[#This Row],[tournament]],tournaments_n_rules[],3,0)</f>
        <v>Осень 2026</v>
      </c>
      <c r="N1709" s="54">
        <f>VLOOKUP(_stats[[#This Row],[tournament]],tournaments_n_rules[],4,0)</f>
        <v>46285</v>
      </c>
      <c r="O1709" s="54">
        <f>VLOOKUP(_stats[[#This Row],[tournament]],tournaments_n_rules[],5,0)</f>
        <v>46356</v>
      </c>
    </row>
    <row r="1710" spans="1:15" x14ac:dyDescent="0.25">
      <c r="A1710" s="6">
        <v>46313</v>
      </c>
      <c r="B1710" s="72">
        <v>4</v>
      </c>
      <c r="C1710" s="104" t="s">
        <v>64</v>
      </c>
      <c r="D1710" s="10" t="str">
        <f>IFERROR(VLOOKUP(_stats[[#This Row],[player_id]],_players[[player_id]:[player_name]],2,0),"")</f>
        <v>Никита (АК+1)</v>
      </c>
      <c r="E1710" s="72">
        <v>4</v>
      </c>
      <c r="F1710" s="102">
        <v>0</v>
      </c>
      <c r="G1710" s="10">
        <f>SUMIFS(_teams[wins_on_date],_teams[date],_stats[[#This Row],[date]],_teams[team_number],_stats[[#This Row],[team_number]])</f>
        <v>5</v>
      </c>
      <c r="H1710" s="10">
        <f>SUMIFS(_teams[draws_on_date],_teams[date],_stats[[#This Row],[date]],_teams[team_number],_stats[[#This Row],[team_number]])</f>
        <v>1</v>
      </c>
      <c r="I1710" s="72">
        <v>0</v>
      </c>
      <c r="J1710" s="104">
        <v>0</v>
      </c>
      <c r="K1710" s="72">
        <v>9</v>
      </c>
      <c r="L1710" s="53">
        <f>VLOOKUP(_stats[[#This Row],[tournament]],tournaments_n_rules[],2,0)</f>
        <v>1747</v>
      </c>
      <c r="M1710" s="53" t="str">
        <f>VLOOKUP(_stats[[#This Row],[tournament]],tournaments_n_rules[],3,0)</f>
        <v>Осень 2026</v>
      </c>
      <c r="N1710" s="54">
        <f>VLOOKUP(_stats[[#This Row],[tournament]],tournaments_n_rules[],4,0)</f>
        <v>46285</v>
      </c>
      <c r="O1710" s="54">
        <f>VLOOKUP(_stats[[#This Row],[tournament]],tournaments_n_rules[],5,0)</f>
        <v>46356</v>
      </c>
    </row>
    <row r="1711" spans="1:15" x14ac:dyDescent="0.25">
      <c r="A1711" s="6">
        <v>46313</v>
      </c>
      <c r="B1711" s="72">
        <v>1</v>
      </c>
      <c r="C1711" s="104" t="s">
        <v>322</v>
      </c>
      <c r="D1711" s="10" t="str">
        <f>IFERROR(VLOOKUP(_stats[[#This Row],[player_id]],_players[[player_id]:[player_name]],2,0),"")</f>
        <v>Дима (Богдан+1)</v>
      </c>
      <c r="E1711" s="72">
        <v>1</v>
      </c>
      <c r="F1711" s="102">
        <v>0</v>
      </c>
      <c r="G1711" s="10">
        <f>SUMIFS(_teams[wins_on_date],_teams[date],_stats[[#This Row],[date]],_teams[team_number],_stats[[#This Row],[team_number]])</f>
        <v>4</v>
      </c>
      <c r="H1711" s="10">
        <f>SUMIFS(_teams[draws_on_date],_teams[date],_stats[[#This Row],[date]],_teams[team_number],_stats[[#This Row],[team_number]])</f>
        <v>2</v>
      </c>
      <c r="I1711" s="72">
        <v>1</v>
      </c>
      <c r="J1711" s="104">
        <v>0</v>
      </c>
      <c r="K1711" s="72">
        <v>9</v>
      </c>
      <c r="L1711" s="53">
        <f>VLOOKUP(_stats[[#This Row],[tournament]],tournaments_n_rules[],2,0)</f>
        <v>1747</v>
      </c>
      <c r="M1711" s="53" t="str">
        <f>VLOOKUP(_stats[[#This Row],[tournament]],tournaments_n_rules[],3,0)</f>
        <v>Осень 2026</v>
      </c>
      <c r="N1711" s="54">
        <f>VLOOKUP(_stats[[#This Row],[tournament]],tournaments_n_rules[],4,0)</f>
        <v>46285</v>
      </c>
      <c r="O1711" s="54">
        <f>VLOOKUP(_stats[[#This Row],[tournament]],tournaments_n_rules[],5,0)</f>
        <v>46356</v>
      </c>
    </row>
    <row r="1712" spans="1:15" x14ac:dyDescent="0.25">
      <c r="A1712" s="6">
        <v>46313</v>
      </c>
      <c r="B1712" s="72">
        <v>3</v>
      </c>
      <c r="C1712" s="104" t="s">
        <v>8</v>
      </c>
      <c r="D1712" s="10" t="str">
        <f>IFERROR(VLOOKUP(_stats[[#This Row],[player_id]],_players[[player_id]:[player_name]],2,0),"")</f>
        <v>Костя</v>
      </c>
      <c r="E1712" s="72">
        <v>1</v>
      </c>
      <c r="F1712" s="102">
        <v>0</v>
      </c>
      <c r="G1712" s="10">
        <f>SUMIFS(_teams[wins_on_date],_teams[date],_stats[[#This Row],[date]],_teams[team_number],_stats[[#This Row],[team_number]])</f>
        <v>4</v>
      </c>
      <c r="H1712" s="10">
        <f>SUMIFS(_teams[draws_on_date],_teams[date],_stats[[#This Row],[date]],_teams[team_number],_stats[[#This Row],[team_number]])</f>
        <v>2</v>
      </c>
      <c r="I1712" s="72">
        <v>0</v>
      </c>
      <c r="J1712" s="104">
        <v>0</v>
      </c>
      <c r="K1712" s="72">
        <v>9</v>
      </c>
      <c r="L1712" s="53">
        <f>VLOOKUP(_stats[[#This Row],[tournament]],tournaments_n_rules[],2,0)</f>
        <v>1747</v>
      </c>
      <c r="M1712" s="53" t="str">
        <f>VLOOKUP(_stats[[#This Row],[tournament]],tournaments_n_rules[],3,0)</f>
        <v>Осень 2026</v>
      </c>
      <c r="N1712" s="54">
        <f>VLOOKUP(_stats[[#This Row],[tournament]],tournaments_n_rules[],4,0)</f>
        <v>46285</v>
      </c>
      <c r="O1712" s="54">
        <f>VLOOKUP(_stats[[#This Row],[tournament]],tournaments_n_rules[],5,0)</f>
        <v>46356</v>
      </c>
    </row>
    <row r="1713" spans="1:15" x14ac:dyDescent="0.25">
      <c r="A1713" s="6">
        <v>46313</v>
      </c>
      <c r="B1713" s="72">
        <v>3</v>
      </c>
      <c r="C1713" s="104" t="s">
        <v>125</v>
      </c>
      <c r="D1713" s="10" t="str">
        <f>IFERROR(VLOOKUP(_stats[[#This Row],[player_id]],_players[[player_id]:[player_name]],2,0),"")</f>
        <v>Арги</v>
      </c>
      <c r="E1713" s="72">
        <v>1</v>
      </c>
      <c r="F1713" s="102">
        <v>1</v>
      </c>
      <c r="G1713" s="10">
        <f>SUMIFS(_teams[wins_on_date],_teams[date],_stats[[#This Row],[date]],_teams[team_number],_stats[[#This Row],[team_number]])</f>
        <v>4</v>
      </c>
      <c r="H1713" s="10">
        <f>SUMIFS(_teams[draws_on_date],_teams[date],_stats[[#This Row],[date]],_teams[team_number],_stats[[#This Row],[team_number]])</f>
        <v>2</v>
      </c>
      <c r="I1713" s="72">
        <v>0</v>
      </c>
      <c r="J1713" s="104">
        <v>0</v>
      </c>
      <c r="K1713" s="72">
        <v>9</v>
      </c>
      <c r="L1713" s="53">
        <f>VLOOKUP(_stats[[#This Row],[tournament]],tournaments_n_rules[],2,0)</f>
        <v>1747</v>
      </c>
      <c r="M1713" s="53" t="str">
        <f>VLOOKUP(_stats[[#This Row],[tournament]],tournaments_n_rules[],3,0)</f>
        <v>Осень 2026</v>
      </c>
      <c r="N1713" s="54">
        <f>VLOOKUP(_stats[[#This Row],[tournament]],tournaments_n_rules[],4,0)</f>
        <v>46285</v>
      </c>
      <c r="O1713" s="54">
        <f>VLOOKUP(_stats[[#This Row],[tournament]],tournaments_n_rules[],5,0)</f>
        <v>46356</v>
      </c>
    </row>
    <row r="1714" spans="1:15" x14ac:dyDescent="0.25">
      <c r="A1714" s="6">
        <v>46313</v>
      </c>
      <c r="B1714" s="72">
        <v>1</v>
      </c>
      <c r="C1714" s="104" t="s">
        <v>153</v>
      </c>
      <c r="D1714" s="10" t="str">
        <f>IFERROR(VLOOKUP(_stats[[#This Row],[player_id]],_players[[player_id]:[player_name]],2,0),"")</f>
        <v>Богдан</v>
      </c>
      <c r="E1714" s="72">
        <v>0</v>
      </c>
      <c r="F1714" s="102">
        <v>0</v>
      </c>
      <c r="G1714" s="10">
        <f>SUMIFS(_teams[wins_on_date],_teams[date],_stats[[#This Row],[date]],_teams[team_number],_stats[[#This Row],[team_number]])</f>
        <v>4</v>
      </c>
      <c r="H1714" s="10">
        <f>SUMIFS(_teams[draws_on_date],_teams[date],_stats[[#This Row],[date]],_teams[team_number],_stats[[#This Row],[team_number]])</f>
        <v>2</v>
      </c>
      <c r="I1714" s="72">
        <v>0</v>
      </c>
      <c r="J1714" s="104">
        <v>0</v>
      </c>
      <c r="K1714" s="72">
        <v>9</v>
      </c>
      <c r="L1714" s="53">
        <f>VLOOKUP(_stats[[#This Row],[tournament]],tournaments_n_rules[],2,0)</f>
        <v>1747</v>
      </c>
      <c r="M1714" s="53" t="str">
        <f>VLOOKUP(_stats[[#This Row],[tournament]],tournaments_n_rules[],3,0)</f>
        <v>Осень 2026</v>
      </c>
      <c r="N1714" s="54">
        <f>VLOOKUP(_stats[[#This Row],[tournament]],tournaments_n_rules[],4,0)</f>
        <v>46285</v>
      </c>
      <c r="O1714" s="54">
        <f>VLOOKUP(_stats[[#This Row],[tournament]],tournaments_n_rules[],5,0)</f>
        <v>46356</v>
      </c>
    </row>
    <row r="1715" spans="1:15" x14ac:dyDescent="0.25">
      <c r="A1715" s="6">
        <v>46313</v>
      </c>
      <c r="B1715" s="72">
        <v>4</v>
      </c>
      <c r="C1715" s="104" t="s">
        <v>157</v>
      </c>
      <c r="D1715" s="10" t="str">
        <f>IFERROR(VLOOKUP(_stats[[#This Row],[player_id]],_players[[player_id]:[player_name]],2,0),"")</f>
        <v>Никита (Сурэн+1)</v>
      </c>
      <c r="E1715" s="72">
        <v>4</v>
      </c>
      <c r="F1715" s="102">
        <v>1</v>
      </c>
      <c r="G1715" s="10">
        <f>SUMIFS(_teams[wins_on_date],_teams[date],_stats[[#This Row],[date]],_teams[team_number],_stats[[#This Row],[team_number]])</f>
        <v>5</v>
      </c>
      <c r="H1715" s="10">
        <f>SUMIFS(_teams[draws_on_date],_teams[date],_stats[[#This Row],[date]],_teams[team_number],_stats[[#This Row],[team_number]])</f>
        <v>1</v>
      </c>
      <c r="I1715" s="72">
        <v>0</v>
      </c>
      <c r="J1715" s="104">
        <v>0</v>
      </c>
      <c r="K1715" s="72">
        <v>9</v>
      </c>
      <c r="L1715" s="53">
        <f>VLOOKUP(_stats[[#This Row],[tournament]],tournaments_n_rules[],2,0)</f>
        <v>1747</v>
      </c>
      <c r="M1715" s="53" t="str">
        <f>VLOOKUP(_stats[[#This Row],[tournament]],tournaments_n_rules[],3,0)</f>
        <v>Осень 2026</v>
      </c>
      <c r="N1715" s="54">
        <f>VLOOKUP(_stats[[#This Row],[tournament]],tournaments_n_rules[],4,0)</f>
        <v>46285</v>
      </c>
      <c r="O1715" s="54">
        <f>VLOOKUP(_stats[[#This Row],[tournament]],tournaments_n_rules[],5,0)</f>
        <v>46356</v>
      </c>
    </row>
    <row r="1716" spans="1:15" x14ac:dyDescent="0.25">
      <c r="A1716" s="6">
        <v>46313</v>
      </c>
      <c r="B1716" s="72">
        <v>4</v>
      </c>
      <c r="C1716" s="104" t="s">
        <v>26</v>
      </c>
      <c r="D1716" s="10" t="str">
        <f>IFERROR(VLOOKUP(_stats[[#This Row],[player_id]],_players[[player_id]:[player_name]],2,0),"")</f>
        <v>Игорь Фомичев</v>
      </c>
      <c r="E1716" s="72">
        <v>0</v>
      </c>
      <c r="F1716" s="102">
        <v>1</v>
      </c>
      <c r="G1716" s="10">
        <f>SUMIFS(_teams[wins_on_date],_teams[date],_stats[[#This Row],[date]],_teams[team_number],_stats[[#This Row],[team_number]])</f>
        <v>5</v>
      </c>
      <c r="H1716" s="10">
        <f>SUMIFS(_teams[draws_on_date],_teams[date],_stats[[#This Row],[date]],_teams[team_number],_stats[[#This Row],[team_number]])</f>
        <v>1</v>
      </c>
      <c r="I1716" s="72">
        <v>0</v>
      </c>
      <c r="J1716" s="104">
        <v>0</v>
      </c>
      <c r="K1716" s="72">
        <v>9</v>
      </c>
      <c r="L1716" s="53">
        <f>VLOOKUP(_stats[[#This Row],[tournament]],tournaments_n_rules[],2,0)</f>
        <v>1747</v>
      </c>
      <c r="M1716" s="53" t="str">
        <f>VLOOKUP(_stats[[#This Row],[tournament]],tournaments_n_rules[],3,0)</f>
        <v>Осень 2026</v>
      </c>
      <c r="N1716" s="54">
        <f>VLOOKUP(_stats[[#This Row],[tournament]],tournaments_n_rules[],4,0)</f>
        <v>46285</v>
      </c>
      <c r="O1716" s="54">
        <f>VLOOKUP(_stats[[#This Row],[tournament]],tournaments_n_rules[],5,0)</f>
        <v>46356</v>
      </c>
    </row>
    <row r="1717" spans="1:15" x14ac:dyDescent="0.25">
      <c r="A1717" s="6">
        <v>46313</v>
      </c>
      <c r="B1717" s="72">
        <v>1</v>
      </c>
      <c r="C1717" s="104" t="s">
        <v>28</v>
      </c>
      <c r="D1717" s="10" t="str">
        <f>IFERROR(VLOOKUP(_stats[[#This Row],[player_id]],_players[[player_id]:[player_name]],2,0),"")</f>
        <v>Витя</v>
      </c>
      <c r="E1717" s="72">
        <v>1</v>
      </c>
      <c r="F1717" s="102">
        <v>0</v>
      </c>
      <c r="G1717" s="10">
        <f>SUMIFS(_teams[wins_on_date],_teams[date],_stats[[#This Row],[date]],_teams[team_number],_stats[[#This Row],[team_number]])</f>
        <v>4</v>
      </c>
      <c r="H1717" s="10">
        <f>SUMIFS(_teams[draws_on_date],_teams[date],_stats[[#This Row],[date]],_teams[team_number],_stats[[#This Row],[team_number]])</f>
        <v>2</v>
      </c>
      <c r="I1717" s="72">
        <v>0</v>
      </c>
      <c r="J1717" s="104">
        <v>0</v>
      </c>
      <c r="K1717" s="72">
        <v>9</v>
      </c>
      <c r="L1717" s="53">
        <f>VLOOKUP(_stats[[#This Row],[tournament]],tournaments_n_rules[],2,0)</f>
        <v>1747</v>
      </c>
      <c r="M1717" s="53" t="str">
        <f>VLOOKUP(_stats[[#This Row],[tournament]],tournaments_n_rules[],3,0)</f>
        <v>Осень 2026</v>
      </c>
      <c r="N1717" s="54">
        <f>VLOOKUP(_stats[[#This Row],[tournament]],tournaments_n_rules[],4,0)</f>
        <v>46285</v>
      </c>
      <c r="O1717" s="54">
        <f>VLOOKUP(_stats[[#This Row],[tournament]],tournaments_n_rules[],5,0)</f>
        <v>46356</v>
      </c>
    </row>
    <row r="1718" spans="1:15" x14ac:dyDescent="0.25">
      <c r="A1718" s="6">
        <v>46313</v>
      </c>
      <c r="B1718" s="72">
        <v>2</v>
      </c>
      <c r="C1718" s="104" t="s">
        <v>37</v>
      </c>
      <c r="D1718" s="10" t="str">
        <f>IFERROR(VLOOKUP(_stats[[#This Row],[player_id]],_players[[player_id]:[player_name]],2,0),"")</f>
        <v>Женя Одушкин</v>
      </c>
      <c r="E1718" s="72">
        <v>0</v>
      </c>
      <c r="F1718" s="102">
        <v>1</v>
      </c>
      <c r="G1718" s="10">
        <f>SUMIFS(_teams[wins_on_date],_teams[date],_stats[[#This Row],[date]],_teams[team_number],_stats[[#This Row],[team_number]])</f>
        <v>4</v>
      </c>
      <c r="H1718" s="10">
        <f>SUMIFS(_teams[draws_on_date],_teams[date],_stats[[#This Row],[date]],_teams[team_number],_stats[[#This Row],[team_number]])</f>
        <v>3</v>
      </c>
      <c r="I1718" s="72">
        <v>0</v>
      </c>
      <c r="J1718" s="104">
        <v>0</v>
      </c>
      <c r="K1718" s="72">
        <v>9</v>
      </c>
      <c r="L1718" s="53">
        <f>VLOOKUP(_stats[[#This Row],[tournament]],tournaments_n_rules[],2,0)</f>
        <v>1747</v>
      </c>
      <c r="M1718" s="53" t="str">
        <f>VLOOKUP(_stats[[#This Row],[tournament]],tournaments_n_rules[],3,0)</f>
        <v>Осень 2026</v>
      </c>
      <c r="N1718" s="54">
        <f>VLOOKUP(_stats[[#This Row],[tournament]],tournaments_n_rules[],4,0)</f>
        <v>46285</v>
      </c>
      <c r="O1718" s="54">
        <f>VLOOKUP(_stats[[#This Row],[tournament]],tournaments_n_rules[],5,0)</f>
        <v>46356</v>
      </c>
    </row>
    <row r="1719" spans="1:15" x14ac:dyDescent="0.25">
      <c r="A1719" s="6">
        <v>46313</v>
      </c>
      <c r="B1719" s="72">
        <v>3</v>
      </c>
      <c r="C1719" s="104" t="s">
        <v>13</v>
      </c>
      <c r="D1719" s="10" t="str">
        <f>IFERROR(VLOOKUP(_stats[[#This Row],[player_id]],_players[[player_id]:[player_name]],2,0),"")</f>
        <v>Нурик</v>
      </c>
      <c r="E1719" s="72">
        <v>4</v>
      </c>
      <c r="F1719" s="102">
        <v>0</v>
      </c>
      <c r="G1719" s="10">
        <f>SUMIFS(_teams[wins_on_date],_teams[date],_stats[[#This Row],[date]],_teams[team_number],_stats[[#This Row],[team_number]])</f>
        <v>4</v>
      </c>
      <c r="H1719" s="10">
        <f>SUMIFS(_teams[draws_on_date],_teams[date],_stats[[#This Row],[date]],_teams[team_number],_stats[[#This Row],[team_number]])</f>
        <v>2</v>
      </c>
      <c r="I1719" s="72">
        <v>0</v>
      </c>
      <c r="J1719" s="104">
        <v>0</v>
      </c>
      <c r="K1719" s="72">
        <v>9</v>
      </c>
      <c r="L1719" s="53">
        <f>VLOOKUP(_stats[[#This Row],[tournament]],tournaments_n_rules[],2,0)</f>
        <v>1747</v>
      </c>
      <c r="M1719" s="53" t="str">
        <f>VLOOKUP(_stats[[#This Row],[tournament]],tournaments_n_rules[],3,0)</f>
        <v>Осень 2026</v>
      </c>
      <c r="N1719" s="54">
        <f>VLOOKUP(_stats[[#This Row],[tournament]],tournaments_n_rules[],4,0)</f>
        <v>46285</v>
      </c>
      <c r="O1719" s="54">
        <f>VLOOKUP(_stats[[#This Row],[tournament]],tournaments_n_rules[],5,0)</f>
        <v>46356</v>
      </c>
    </row>
    <row r="1720" spans="1:15" x14ac:dyDescent="0.25">
      <c r="A1720" s="6">
        <v>46313</v>
      </c>
      <c r="B1720" s="72">
        <v>2</v>
      </c>
      <c r="C1720" s="104" t="s">
        <v>21</v>
      </c>
      <c r="D1720" s="10" t="str">
        <f>IFERROR(VLOOKUP(_stats[[#This Row],[player_id]],_players[[player_id]:[player_name]],2,0),"")</f>
        <v>Максим Строцкий</v>
      </c>
      <c r="E1720" s="72">
        <v>4</v>
      </c>
      <c r="F1720" s="102">
        <v>1</v>
      </c>
      <c r="G1720" s="10">
        <f>SUMIFS(_teams[wins_on_date],_teams[date],_stats[[#This Row],[date]],_teams[team_number],_stats[[#This Row],[team_number]])</f>
        <v>4</v>
      </c>
      <c r="H1720" s="10">
        <f>SUMIFS(_teams[draws_on_date],_teams[date],_stats[[#This Row],[date]],_teams[team_number],_stats[[#This Row],[team_number]])</f>
        <v>3</v>
      </c>
      <c r="I1720" s="72">
        <v>0</v>
      </c>
      <c r="J1720" s="104">
        <v>0</v>
      </c>
      <c r="K1720" s="72">
        <v>9</v>
      </c>
      <c r="L1720" s="53">
        <f>VLOOKUP(_stats[[#This Row],[tournament]],tournaments_n_rules[],2,0)</f>
        <v>1747</v>
      </c>
      <c r="M1720" s="53" t="str">
        <f>VLOOKUP(_stats[[#This Row],[tournament]],tournaments_n_rules[],3,0)</f>
        <v>Осень 2026</v>
      </c>
      <c r="N1720" s="54">
        <f>VLOOKUP(_stats[[#This Row],[tournament]],tournaments_n_rules[],4,0)</f>
        <v>46285</v>
      </c>
      <c r="O1720" s="54">
        <f>VLOOKUP(_stats[[#This Row],[tournament]],tournaments_n_rules[],5,0)</f>
        <v>46356</v>
      </c>
    </row>
    <row r="1721" spans="1:15" x14ac:dyDescent="0.25">
      <c r="A1721" s="6">
        <v>46313</v>
      </c>
      <c r="B1721" s="72">
        <v>2</v>
      </c>
      <c r="C1721" s="104" t="s">
        <v>46</v>
      </c>
      <c r="D1721" s="10" t="str">
        <f>IFERROR(VLOOKUP(_stats[[#This Row],[player_id]],_players[[player_id]:[player_name]],2,0),"")</f>
        <v>Рома Сурнин</v>
      </c>
      <c r="E1721" s="72">
        <v>0</v>
      </c>
      <c r="F1721" s="102">
        <v>0</v>
      </c>
      <c r="G1721" s="10">
        <f>SUMIFS(_teams[wins_on_date],_teams[date],_stats[[#This Row],[date]],_teams[team_number],_stats[[#This Row],[team_number]])</f>
        <v>4</v>
      </c>
      <c r="H1721" s="10">
        <f>SUMIFS(_teams[draws_on_date],_teams[date],_stats[[#This Row],[date]],_teams[team_number],_stats[[#This Row],[team_number]])</f>
        <v>3</v>
      </c>
      <c r="I1721" s="72">
        <v>0</v>
      </c>
      <c r="J1721" s="104">
        <v>0</v>
      </c>
      <c r="K1721" s="72">
        <v>9</v>
      </c>
      <c r="L1721" s="53">
        <f>VLOOKUP(_stats[[#This Row],[tournament]],tournaments_n_rules[],2,0)</f>
        <v>1747</v>
      </c>
      <c r="M1721" s="53" t="str">
        <f>VLOOKUP(_stats[[#This Row],[tournament]],tournaments_n_rules[],3,0)</f>
        <v>Осень 2026</v>
      </c>
      <c r="N1721" s="54">
        <f>VLOOKUP(_stats[[#This Row],[tournament]],tournaments_n_rules[],4,0)</f>
        <v>46285</v>
      </c>
      <c r="O1721" s="54">
        <f>VLOOKUP(_stats[[#This Row],[tournament]],tournaments_n_rules[],5,0)</f>
        <v>46356</v>
      </c>
    </row>
    <row r="1722" spans="1:15" x14ac:dyDescent="0.25">
      <c r="A1722" s="6">
        <v>46313</v>
      </c>
      <c r="B1722" s="72">
        <v>3</v>
      </c>
      <c r="C1722" s="104" t="s">
        <v>31</v>
      </c>
      <c r="D1722" s="10" t="str">
        <f>IFERROR(VLOOKUP(_stats[[#This Row],[player_id]],_players[[player_id]:[player_name]],2,0),"")</f>
        <v>Эля</v>
      </c>
      <c r="E1722" s="72">
        <v>0</v>
      </c>
      <c r="F1722" s="102">
        <v>2</v>
      </c>
      <c r="G1722" s="10">
        <f>SUMIFS(_teams[wins_on_date],_teams[date],_stats[[#This Row],[date]],_teams[team_number],_stats[[#This Row],[team_number]])</f>
        <v>4</v>
      </c>
      <c r="H1722" s="10">
        <f>SUMIFS(_teams[draws_on_date],_teams[date],_stats[[#This Row],[date]],_teams[team_number],_stats[[#This Row],[team_number]])</f>
        <v>2</v>
      </c>
      <c r="I1722" s="72">
        <v>0</v>
      </c>
      <c r="J1722" s="104">
        <v>0</v>
      </c>
      <c r="K1722" s="72">
        <v>9</v>
      </c>
      <c r="L1722" s="53">
        <f>VLOOKUP(_stats[[#This Row],[tournament]],tournaments_n_rules[],2,0)</f>
        <v>1747</v>
      </c>
      <c r="M1722" s="53" t="str">
        <f>VLOOKUP(_stats[[#This Row],[tournament]],tournaments_n_rules[],3,0)</f>
        <v>Осень 2026</v>
      </c>
      <c r="N1722" s="54">
        <f>VLOOKUP(_stats[[#This Row],[tournament]],tournaments_n_rules[],4,0)</f>
        <v>46285</v>
      </c>
      <c r="O1722" s="54">
        <f>VLOOKUP(_stats[[#This Row],[tournament]],tournaments_n_rules[],5,0)</f>
        <v>46356</v>
      </c>
    </row>
    <row r="1723" spans="1:15" x14ac:dyDescent="0.25">
      <c r="A1723" s="6">
        <v>46313</v>
      </c>
      <c r="B1723" s="72">
        <v>1</v>
      </c>
      <c r="C1723" s="104" t="s">
        <v>320</v>
      </c>
      <c r="D1723" s="10" t="str">
        <f>IFERROR(VLOOKUP(_stats[[#This Row],[player_id]],_players[[player_id]:[player_name]],2,0),"")</f>
        <v>Сокол</v>
      </c>
      <c r="E1723" s="72">
        <v>0</v>
      </c>
      <c r="F1723" s="102">
        <v>0</v>
      </c>
      <c r="G1723" s="10">
        <f>SUMIFS(_teams[wins_on_date],_teams[date],_stats[[#This Row],[date]],_teams[team_number],_stats[[#This Row],[team_number]])</f>
        <v>4</v>
      </c>
      <c r="H1723" s="10">
        <f>SUMIFS(_teams[draws_on_date],_teams[date],_stats[[#This Row],[date]],_teams[team_number],_stats[[#This Row],[team_number]])</f>
        <v>2</v>
      </c>
      <c r="I1723" s="72">
        <v>1</v>
      </c>
      <c r="J1723" s="104">
        <v>0</v>
      </c>
      <c r="K1723" s="72">
        <v>9</v>
      </c>
      <c r="L1723" s="53">
        <f>VLOOKUP(_stats[[#This Row],[tournament]],tournaments_n_rules[],2,0)</f>
        <v>1747</v>
      </c>
      <c r="M1723" s="53" t="str">
        <f>VLOOKUP(_stats[[#This Row],[tournament]],tournaments_n_rules[],3,0)</f>
        <v>Осень 2026</v>
      </c>
      <c r="N1723" s="54">
        <f>VLOOKUP(_stats[[#This Row],[tournament]],tournaments_n_rules[],4,0)</f>
        <v>46285</v>
      </c>
      <c r="O1723" s="54">
        <f>VLOOKUP(_stats[[#This Row],[tournament]],tournaments_n_rules[],5,0)</f>
        <v>46356</v>
      </c>
    </row>
    <row r="1724" spans="1:15" x14ac:dyDescent="0.25">
      <c r="A1724" s="6">
        <v>46313</v>
      </c>
      <c r="B1724" s="72">
        <v>2</v>
      </c>
      <c r="C1724" s="104" t="s">
        <v>33</v>
      </c>
      <c r="D1724" s="10" t="str">
        <f>IFERROR(VLOOKUP(_stats[[#This Row],[player_id]],_players[[player_id]:[player_name]],2,0),"")</f>
        <v>Артем Ширяев</v>
      </c>
      <c r="E1724" s="72">
        <v>0</v>
      </c>
      <c r="F1724" s="102">
        <v>0</v>
      </c>
      <c r="G1724" s="10">
        <f>SUMIFS(_teams[wins_on_date],_teams[date],_stats[[#This Row],[date]],_teams[team_number],_stats[[#This Row],[team_number]])</f>
        <v>4</v>
      </c>
      <c r="H1724" s="10">
        <f>SUMIFS(_teams[draws_on_date],_teams[date],_stats[[#This Row],[date]],_teams[team_number],_stats[[#This Row],[team_number]])</f>
        <v>3</v>
      </c>
      <c r="I1724" s="72">
        <v>0</v>
      </c>
      <c r="J1724" s="104">
        <v>0</v>
      </c>
      <c r="K1724" s="72">
        <v>9</v>
      </c>
      <c r="L1724" s="53">
        <f>VLOOKUP(_stats[[#This Row],[tournament]],tournaments_n_rules[],2,0)</f>
        <v>1747</v>
      </c>
      <c r="M1724" s="53" t="str">
        <f>VLOOKUP(_stats[[#This Row],[tournament]],tournaments_n_rules[],3,0)</f>
        <v>Осень 2026</v>
      </c>
      <c r="N1724" s="54">
        <f>VLOOKUP(_stats[[#This Row],[tournament]],tournaments_n_rules[],4,0)</f>
        <v>46285</v>
      </c>
      <c r="O1724" s="54">
        <f>VLOOKUP(_stats[[#This Row],[tournament]],tournaments_n_rules[],5,0)</f>
        <v>46356</v>
      </c>
    </row>
    <row r="1725" spans="1:15" x14ac:dyDescent="0.25">
      <c r="A1725" s="6">
        <v>46313</v>
      </c>
      <c r="B1725" s="72">
        <v>4</v>
      </c>
      <c r="C1725" s="104" t="s">
        <v>97</v>
      </c>
      <c r="D1725" s="10" t="str">
        <f>IFERROR(VLOOKUP(_stats[[#This Row],[player_id]],_players[[player_id]:[player_name]],2,0),"")</f>
        <v>Умар (Женя+1)</v>
      </c>
      <c r="E1725" s="72">
        <v>0</v>
      </c>
      <c r="F1725" s="102">
        <v>1</v>
      </c>
      <c r="G1725" s="10">
        <f>SUMIFS(_teams[wins_on_date],_teams[date],_stats[[#This Row],[date]],_teams[team_number],_stats[[#This Row],[team_number]])</f>
        <v>5</v>
      </c>
      <c r="H1725" s="10">
        <f>SUMIFS(_teams[draws_on_date],_teams[date],_stats[[#This Row],[date]],_teams[team_number],_stats[[#This Row],[team_number]])</f>
        <v>1</v>
      </c>
      <c r="I1725" s="72">
        <v>0</v>
      </c>
      <c r="J1725" s="104">
        <v>0</v>
      </c>
      <c r="K1725" s="72">
        <v>9</v>
      </c>
      <c r="L1725" s="53">
        <f>VLOOKUP(_stats[[#This Row],[tournament]],tournaments_n_rules[],2,0)</f>
        <v>1747</v>
      </c>
      <c r="M1725" s="53" t="str">
        <f>VLOOKUP(_stats[[#This Row],[tournament]],tournaments_n_rules[],3,0)</f>
        <v>Осень 2026</v>
      </c>
      <c r="N1725" s="54">
        <f>VLOOKUP(_stats[[#This Row],[tournament]],tournaments_n_rules[],4,0)</f>
        <v>46285</v>
      </c>
      <c r="O1725" s="54">
        <f>VLOOKUP(_stats[[#This Row],[tournament]],tournaments_n_rules[],5,0)</f>
        <v>46356</v>
      </c>
    </row>
    <row r="1726" spans="1:15" x14ac:dyDescent="0.25">
      <c r="A1726" s="6">
        <v>46313</v>
      </c>
      <c r="B1726" s="72">
        <v>2</v>
      </c>
      <c r="C1726" s="104" t="s">
        <v>324</v>
      </c>
      <c r="D1726" s="10" t="str">
        <f>IFERROR(VLOOKUP(_stats[[#This Row],[player_id]],_players[[player_id]:[player_name]],2,0),"")</f>
        <v>Ислам (Умар+1)</v>
      </c>
      <c r="E1726" s="72">
        <v>0</v>
      </c>
      <c r="F1726" s="102">
        <v>0</v>
      </c>
      <c r="G1726" s="10">
        <f>SUMIFS(_teams[wins_on_date],_teams[date],_stats[[#This Row],[date]],_teams[team_number],_stats[[#This Row],[team_number]])</f>
        <v>4</v>
      </c>
      <c r="H1726" s="10">
        <f>SUMIFS(_teams[draws_on_date],_teams[date],_stats[[#This Row],[date]],_teams[team_number],_stats[[#This Row],[team_number]])</f>
        <v>3</v>
      </c>
      <c r="I1726" s="72">
        <v>2</v>
      </c>
      <c r="J1726" s="104">
        <v>0</v>
      </c>
      <c r="K1726" s="72">
        <v>9</v>
      </c>
      <c r="L1726" s="53">
        <f>VLOOKUP(_stats[[#This Row],[tournament]],tournaments_n_rules[],2,0)</f>
        <v>1747</v>
      </c>
      <c r="M1726" s="53" t="str">
        <f>VLOOKUP(_stats[[#This Row],[tournament]],tournaments_n_rules[],3,0)</f>
        <v>Осень 2026</v>
      </c>
      <c r="N1726" s="54">
        <f>VLOOKUP(_stats[[#This Row],[tournament]],tournaments_n_rules[],4,0)</f>
        <v>46285</v>
      </c>
      <c r="O1726" s="54">
        <f>VLOOKUP(_stats[[#This Row],[tournament]],tournaments_n_rules[],5,0)</f>
        <v>46356</v>
      </c>
    </row>
    <row r="1727" spans="1:15" x14ac:dyDescent="0.25">
      <c r="A1727" s="6">
        <v>46313</v>
      </c>
      <c r="B1727" s="72">
        <v>1</v>
      </c>
      <c r="C1727" s="104" t="s">
        <v>11</v>
      </c>
      <c r="D1727" s="10" t="str">
        <f>IFERROR(VLOOKUP(_stats[[#This Row],[player_id]],_players[[player_id]:[player_name]],2,0),"")</f>
        <v>Сергей Крюков</v>
      </c>
      <c r="E1727" s="72">
        <v>0</v>
      </c>
      <c r="F1727" s="102">
        <v>0</v>
      </c>
      <c r="G1727" s="10">
        <f>SUMIFS(_teams[wins_on_date],_teams[date],_stats[[#This Row],[date]],_teams[team_number],_stats[[#This Row],[team_number]])</f>
        <v>4</v>
      </c>
      <c r="H1727" s="10">
        <f>SUMIFS(_teams[draws_on_date],_teams[date],_stats[[#This Row],[date]],_teams[team_number],_stats[[#This Row],[team_number]])</f>
        <v>2</v>
      </c>
      <c r="I1727" s="72">
        <v>0</v>
      </c>
      <c r="J1727" s="104">
        <v>0</v>
      </c>
      <c r="K1727" s="72">
        <v>9</v>
      </c>
      <c r="L1727" s="53">
        <f>VLOOKUP(_stats[[#This Row],[tournament]],tournaments_n_rules[],2,0)</f>
        <v>1747</v>
      </c>
      <c r="M1727" s="53" t="str">
        <f>VLOOKUP(_stats[[#This Row],[tournament]],tournaments_n_rules[],3,0)</f>
        <v>Осень 2026</v>
      </c>
      <c r="N1727" s="54">
        <f>VLOOKUP(_stats[[#This Row],[tournament]],tournaments_n_rules[],4,0)</f>
        <v>46285</v>
      </c>
      <c r="O1727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39"/>
  <sheetViews>
    <sheetView topLeftCell="A202" workbookViewId="0">
      <selection activeCell="D239" sqref="D239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  <row r="232" spans="1:9" x14ac:dyDescent="0.25">
      <c r="A232" s="101">
        <v>46306</v>
      </c>
      <c r="B232" s="72">
        <v>1</v>
      </c>
      <c r="C232" s="102">
        <v>3</v>
      </c>
      <c r="D232" s="102">
        <v>3</v>
      </c>
      <c r="E232" s="72">
        <v>9</v>
      </c>
      <c r="F232" s="53">
        <f>VLOOKUP(_teams[[#This Row],[tournament]],tournaments_n_rules[],2,0)</f>
        <v>1747</v>
      </c>
      <c r="G232" s="53" t="str">
        <f>VLOOKUP(_teams[[#This Row],[tournament]],tournaments_n_rules[],3,0)</f>
        <v>Осень 2026</v>
      </c>
      <c r="H232" s="54">
        <f>VLOOKUP(_teams[[#This Row],[tournament]],tournaments_n_rules[],4,0)</f>
        <v>46285</v>
      </c>
      <c r="I232" s="54">
        <f>VLOOKUP(_teams[[#This Row],[tournament]],tournaments_n_rules[],5,0)</f>
        <v>46356</v>
      </c>
    </row>
    <row r="233" spans="1:9" x14ac:dyDescent="0.25">
      <c r="A233" s="101">
        <v>46306</v>
      </c>
      <c r="B233" s="72">
        <v>2</v>
      </c>
      <c r="C233" s="102">
        <v>9</v>
      </c>
      <c r="D233" s="102">
        <v>2</v>
      </c>
      <c r="E233" s="72">
        <v>9</v>
      </c>
      <c r="F233" s="53">
        <f>VLOOKUP(_teams[[#This Row],[tournament]],tournaments_n_rules[],2,0)</f>
        <v>1747</v>
      </c>
      <c r="G233" s="53" t="str">
        <f>VLOOKUP(_teams[[#This Row],[tournament]],tournaments_n_rules[],3,0)</f>
        <v>Осень 2026</v>
      </c>
      <c r="H233" s="54">
        <f>VLOOKUP(_teams[[#This Row],[tournament]],tournaments_n_rules[],4,0)</f>
        <v>46285</v>
      </c>
      <c r="I233" s="54">
        <f>VLOOKUP(_teams[[#This Row],[tournament]],tournaments_n_rules[],5,0)</f>
        <v>46356</v>
      </c>
    </row>
    <row r="234" spans="1:9" x14ac:dyDescent="0.25">
      <c r="A234" s="101">
        <v>46306</v>
      </c>
      <c r="B234" s="72">
        <v>3</v>
      </c>
      <c r="C234" s="102">
        <v>3</v>
      </c>
      <c r="D234" s="102">
        <v>2</v>
      </c>
      <c r="E234" s="72">
        <v>9</v>
      </c>
      <c r="F234" s="53">
        <f>VLOOKUP(_teams[[#This Row],[tournament]],tournaments_n_rules[],2,0)</f>
        <v>1747</v>
      </c>
      <c r="G234" s="53" t="str">
        <f>VLOOKUP(_teams[[#This Row],[tournament]],tournaments_n_rules[],3,0)</f>
        <v>Осень 2026</v>
      </c>
      <c r="H234" s="54">
        <f>VLOOKUP(_teams[[#This Row],[tournament]],tournaments_n_rules[],4,0)</f>
        <v>46285</v>
      </c>
      <c r="I234" s="54">
        <f>VLOOKUP(_teams[[#This Row],[tournament]],tournaments_n_rules[],5,0)</f>
        <v>46356</v>
      </c>
    </row>
    <row r="235" spans="1:9" x14ac:dyDescent="0.25">
      <c r="A235" s="101">
        <v>46306</v>
      </c>
      <c r="B235" s="72">
        <v>4</v>
      </c>
      <c r="C235" s="102">
        <v>1</v>
      </c>
      <c r="D235" s="102">
        <v>1</v>
      </c>
      <c r="E235" s="72">
        <v>9</v>
      </c>
      <c r="F235" s="53">
        <f>VLOOKUP(_teams[[#This Row],[tournament]],tournaments_n_rules[],2,0)</f>
        <v>1747</v>
      </c>
      <c r="G235" s="53" t="str">
        <f>VLOOKUP(_teams[[#This Row],[tournament]],tournaments_n_rules[],3,0)</f>
        <v>Осень 2026</v>
      </c>
      <c r="H235" s="54">
        <f>VLOOKUP(_teams[[#This Row],[tournament]],tournaments_n_rules[],4,0)</f>
        <v>46285</v>
      </c>
      <c r="I235" s="54">
        <f>VLOOKUP(_teams[[#This Row],[tournament]],tournaments_n_rules[],5,0)</f>
        <v>46356</v>
      </c>
    </row>
    <row r="236" spans="1:9" x14ac:dyDescent="0.25">
      <c r="A236" s="101">
        <v>46313</v>
      </c>
      <c r="B236" s="72">
        <v>1</v>
      </c>
      <c r="C236" s="102">
        <v>4</v>
      </c>
      <c r="D236" s="102">
        <v>2</v>
      </c>
      <c r="E236" s="72">
        <v>9</v>
      </c>
      <c r="F236" s="53">
        <f>VLOOKUP(_teams[[#This Row],[tournament]],tournaments_n_rules[],2,0)</f>
        <v>1747</v>
      </c>
      <c r="G236" s="53" t="str">
        <f>VLOOKUP(_teams[[#This Row],[tournament]],tournaments_n_rules[],3,0)</f>
        <v>Осень 2026</v>
      </c>
      <c r="H236" s="54">
        <f>VLOOKUP(_teams[[#This Row],[tournament]],tournaments_n_rules[],4,0)</f>
        <v>46285</v>
      </c>
      <c r="I236" s="54">
        <f>VLOOKUP(_teams[[#This Row],[tournament]],tournaments_n_rules[],5,0)</f>
        <v>46356</v>
      </c>
    </row>
    <row r="237" spans="1:9" x14ac:dyDescent="0.25">
      <c r="A237" s="101">
        <v>46313</v>
      </c>
      <c r="B237" s="72">
        <v>2</v>
      </c>
      <c r="C237" s="102">
        <v>4</v>
      </c>
      <c r="D237" s="102">
        <v>3</v>
      </c>
      <c r="E237" s="72">
        <v>9</v>
      </c>
      <c r="F237" s="53">
        <f>VLOOKUP(_teams[[#This Row],[tournament]],tournaments_n_rules[],2,0)</f>
        <v>1747</v>
      </c>
      <c r="G237" s="53" t="str">
        <f>VLOOKUP(_teams[[#This Row],[tournament]],tournaments_n_rules[],3,0)</f>
        <v>Осень 2026</v>
      </c>
      <c r="H237" s="54">
        <f>VLOOKUP(_teams[[#This Row],[tournament]],tournaments_n_rules[],4,0)</f>
        <v>46285</v>
      </c>
      <c r="I237" s="54">
        <f>VLOOKUP(_teams[[#This Row],[tournament]],tournaments_n_rules[],5,0)</f>
        <v>46356</v>
      </c>
    </row>
    <row r="238" spans="1:9" x14ac:dyDescent="0.25">
      <c r="A238" s="101">
        <v>46313</v>
      </c>
      <c r="B238" s="72">
        <v>3</v>
      </c>
      <c r="C238" s="102">
        <v>4</v>
      </c>
      <c r="D238" s="102">
        <v>2</v>
      </c>
      <c r="E238" s="72">
        <v>9</v>
      </c>
      <c r="F238" s="53">
        <f>VLOOKUP(_teams[[#This Row],[tournament]],tournaments_n_rules[],2,0)</f>
        <v>1747</v>
      </c>
      <c r="G238" s="53" t="str">
        <f>VLOOKUP(_teams[[#This Row],[tournament]],tournaments_n_rules[],3,0)</f>
        <v>Осень 2026</v>
      </c>
      <c r="H238" s="54">
        <f>VLOOKUP(_teams[[#This Row],[tournament]],tournaments_n_rules[],4,0)</f>
        <v>46285</v>
      </c>
      <c r="I238" s="54">
        <f>VLOOKUP(_teams[[#This Row],[tournament]],tournaments_n_rules[],5,0)</f>
        <v>46356</v>
      </c>
    </row>
    <row r="239" spans="1:9" x14ac:dyDescent="0.25">
      <c r="A239" s="101">
        <v>46313</v>
      </c>
      <c r="B239" s="72">
        <v>4</v>
      </c>
      <c r="C239" s="102">
        <v>5</v>
      </c>
      <c r="D239" s="102">
        <v>1</v>
      </c>
      <c r="E239" s="72">
        <v>9</v>
      </c>
      <c r="F239" s="53">
        <f>VLOOKUP(_teams[[#This Row],[tournament]],tournaments_n_rules[],2,0)</f>
        <v>1747</v>
      </c>
      <c r="G239" s="53" t="str">
        <f>VLOOKUP(_teams[[#This Row],[tournament]],tournaments_n_rules[],3,0)</f>
        <v>Осень 2026</v>
      </c>
      <c r="H239" s="54">
        <f>VLOOKUP(_teams[[#This Row],[tournament]],tournaments_n_rules[],4,0)</f>
        <v>46285</v>
      </c>
      <c r="I239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39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M14" sqref="M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2026-10-18T11:12:20Z</dcterms:modified>
</cp:coreProperties>
</file>