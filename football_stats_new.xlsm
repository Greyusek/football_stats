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7FBDD41B-D445-490C-82CC-9A68B4DA6CE6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99" i="1" l="1"/>
  <c r="D199" i="1"/>
  <c r="C199" i="1"/>
  <c r="H1668" i="2"/>
  <c r="G1668" i="2"/>
  <c r="D1668" i="2"/>
  <c r="G198" i="1"/>
  <c r="D198" i="1"/>
  <c r="C198" i="1"/>
  <c r="G197" i="1"/>
  <c r="F197" i="1"/>
  <c r="E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F198" i="1" s="1"/>
  <c r="G1672" i="2"/>
  <c r="E198" i="1" s="1"/>
  <c r="H1671" i="2"/>
  <c r="G1671" i="2"/>
  <c r="H1670" i="2"/>
  <c r="G1670" i="2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E193" i="1" s="1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L1145" i="2" s="1"/>
  <c r="A3" i="4"/>
  <c r="A2" i="4"/>
  <c r="M1672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L718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M1648" i="2" l="1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<sst xmlns="http://schemas.openxmlformats.org/spreadsheetml/2006/main" count="2637" uniqueCount="323">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</sst>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9" headerRowDxfId="25" totalsRowDxfId="22" headerRowBorderDxfId="24" tableBorderDxfId="23">
  <autoFilter ref="A1:G199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73">
  <autoFilter ref="A1:O167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31">
  <autoFilter ref="A1:I231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9"/>
  <sheetViews>
    <sheetView topLeftCell="A160" workbookViewId="0">
      <selection activeCell="B199" sqref="B199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82</v>
      </c>
      <c r="D3" s="11">
        <f>SUMIFS(_stats[assists_on_date],_stats[player_id],_players[[#This Row],[player_id]])</f>
        <v>53</v>
      </c>
      <c r="E3" s="11">
        <f>SUMIFS(_stats[wins_on_date],_stats[player_id],_players[[#This Row],[player_id]])</f>
        <v>214</v>
      </c>
      <c r="F3" s="11">
        <f>SUMIFS(_stats[draws_on_date],_stats[player_id],_players[[#This Row],[player_id]])</f>
        <v>54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43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227</v>
      </c>
      <c r="F6" s="16">
        <f>SUMIFS(_stats[draws_on_date],_stats[player_id],_players[[#This Row],[player_id]])</f>
        <v>65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55</v>
      </c>
      <c r="D8" s="11">
        <f>SUMIFS(_stats[assists_on_date],_stats[player_id],_players[[#This Row],[player_id]])</f>
        <v>30</v>
      </c>
      <c r="E8" s="11">
        <f>SUMIFS(_stats[wins_on_date],_stats[player_id],_players[[#This Row],[player_id]])</f>
        <v>180</v>
      </c>
      <c r="F8" s="11">
        <f>SUMIFS(_stats[draws_on_date],_stats[player_id],_players[[#This Row],[player_id]])</f>
        <v>59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82</v>
      </c>
      <c r="F10" s="16">
        <f>SUMIFS(_stats[draws_on_date],_stats[player_id],_players[[#This Row],[player_id]])</f>
        <v>22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88</v>
      </c>
      <c r="D12" s="16">
        <f>SUMIFS(_stats[assists_on_date],_stats[player_id],_players[[#This Row],[player_id]])</f>
        <v>95</v>
      </c>
      <c r="E12" s="16">
        <f>SUMIFS(_stats[wins_on_date],_stats[player_id],_players[[#This Row],[player_id]])</f>
        <v>174</v>
      </c>
      <c r="F12" s="16">
        <f>SUMIFS(_stats[draws_on_date],_stats[player_id],_players[[#This Row],[player_id]])</f>
        <v>57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193</v>
      </c>
      <c r="F14" s="11">
        <f>SUMIFS(_stats[draws_on_date],_stats[player_id],_players[[#This Row],[player_id]])</f>
        <v>58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27</v>
      </c>
      <c r="E17" s="11">
        <f>SUMIFS(_stats[wins_on_date],_stats[player_id],_players[[#This Row],[player_id]])</f>
        <v>76</v>
      </c>
      <c r="F17" s="11">
        <f>SUMIFS(_stats[draws_on_date],_stats[player_id],_players[[#This Row],[player_id]])</f>
        <v>25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152</v>
      </c>
      <c r="F21" s="11">
        <f>SUMIFS(_stats[draws_on_date],_stats[player_id],_players[[#This Row],[player_id]])</f>
        <v>43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134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40</v>
      </c>
      <c r="D23" s="11">
        <f>SUMIFS(_stats[assists_on_date],_stats[player_id],_players[[#This Row],[player_id]])</f>
        <v>41</v>
      </c>
      <c r="E23" s="11">
        <f>SUMIFS(_stats[wins_on_date],_stats[player_id],_players[[#This Row],[player_id]])</f>
        <v>136</v>
      </c>
      <c r="F23" s="11">
        <f>SUMIFS(_stats[draws_on_date],_stats[player_id],_players[[#This Row],[player_id]])</f>
        <v>32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19</v>
      </c>
      <c r="D25" s="11">
        <f>SUMIFS(_stats[assists_on_date],_stats[player_id],_players[[#This Row],[player_id]])</f>
        <v>27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57</v>
      </c>
      <c r="F30" s="16">
        <f>SUMIFS(_stats[draws_on_date],_stats[player_id],_players[[#This Row],[player_id]])</f>
        <v>16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36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74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13</v>
      </c>
      <c r="E41" s="11">
        <f>SUMIFS(_stats[wins_on_date],_stats[player_id],_players[[#This Row],[player_id]])</f>
        <v>96</v>
      </c>
      <c r="F41" s="11">
        <f>SUMIFS(_stats[draws_on_date],_stats[player_id],_players[[#This Row],[player_id]])</f>
        <v>33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68</v>
      </c>
      <c r="F43" s="11">
        <f>SUMIFS(_stats[draws_on_date],_stats[player_id],_players[[#This Row],[player_id]])</f>
        <v>28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73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24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58</v>
      </c>
      <c r="F59" s="16">
        <f>SUMIFS(_stats[draws_on_date],_stats[player_id],_players[[#This Row],[player_id]])</f>
        <v>21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22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136</v>
      </c>
      <c r="F64" s="16">
        <f>SUMIFS(_stats[draws_on_date],_stats[player_id],_players[[#This Row],[player_id]])</f>
        <v>46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3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7</v>
      </c>
      <c r="F92" s="16">
        <f>SUMIFS(_stats[draws_on_date],_stats[player_id],_players[[#This Row],[player_id]])</f>
        <v>5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28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12</v>
      </c>
      <c r="F130" s="16">
        <f>SUMIFS(_stats[draws_on_date],_stats[player_id],_players[[#This Row],[player_id]])</f>
        <v>10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10</v>
      </c>
      <c r="D137" s="16">
        <f>SUMIFS(_stats[assists_on_date],_stats[player_id],_players[[#This Row],[player_id]])</f>
        <v>6</v>
      </c>
      <c r="E137" s="16">
        <f>SUMIFS(_stats[wins_on_date],_stats[player_id],_players[[#This Row],[player_id]])</f>
        <v>35</v>
      </c>
      <c r="F137" s="16">
        <f>SUMIFS(_stats[draws_on_date],_stats[player_id],_players[[#This Row],[player_id]])</f>
        <v>15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23</v>
      </c>
      <c r="F148" s="16">
        <f>SUMIFS(_stats[draws_on_date],_stats[player_id],_players[[#This Row],[player_id]])</f>
        <v>16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15</v>
      </c>
      <c r="D152" s="16">
        <f>SUMIFS(_stats[assists_on_date],_stats[player_id],_players[[#This Row],[player_id]])</f>
        <v>4</v>
      </c>
      <c r="E152" s="16">
        <f>SUMIFS(_stats[wins_on_date],_stats[player_id],_players[[#This Row],[player_id]])</f>
        <v>33</v>
      </c>
      <c r="F152" s="16">
        <f>SUMIFS(_stats[draws_on_date],_stats[player_id],_players[[#This Row],[player_id]])</f>
        <v>11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1</v>
      </c>
      <c r="F193" s="73">
        <f>SUMIFS(_stats[draws_on_date],_stats[player_id],_players[[#This Row],[player_id]])</f>
        <v>6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0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1</v>
      </c>
      <c r="F198" s="73">
        <f>SUMIFS(_stats[draws_on_date],_stats[player_id],_players[[#This Row],[player_id]])</f>
        <v>3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0</v>
      </c>
      <c r="D199" s="73">
        <f>SUMIFS(_stats[assists_on_date],_stats[player_id],_players[[#This Row],[player_id]])</f>
        <v>0</v>
      </c>
      <c r="E199" s="73">
        <f>SUMIFS(_stats[wins_on_date],_stats[player_id],_players[[#This Row],[player_id]])</f>
        <v>6</v>
      </c>
      <c r="F199" s="73">
        <f>SUMIFS(_stats[draws_on_date],_stats[player_id],_players[[#This Row],[player_id]])</f>
        <v>4</v>
      </c>
      <c r="G199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73"/>
  <sheetViews>
    <sheetView topLeftCell="A1635" workbookViewId="0">
      <selection activeCell="E1672" sqref="E1672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2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2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2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2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2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2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2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31"/>
  <sheetViews>
    <sheetView topLeftCell="A196" workbookViewId="0">
      <selection activeCell="D234" sqref="D234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2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31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E28" sqref="E2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2026-09-27T11:30:34Z</dcterms:modified>
</cp:coreProperties>
</file>