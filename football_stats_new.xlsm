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1F47719D-4B32-4440-B010-D4CC6FB8DA02}" xr6:coauthVersionLast="47" xr6:coauthVersionMax="47" xr10:uidLastSave="{00000000-0000-0000-0000-000000000000}"/>
  <bookViews>
    <workbookView xWindow="165" yWindow="0" windowWidth="13485" windowHeight="7500" firstSheet="4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79" i="2" l="1"/>
  <c r="G1579" i="2"/>
  <c r="H1578" i="2"/>
  <c r="G1578" i="2"/>
  <c r="H1577" i="2"/>
  <c r="G1577" i="2"/>
  <c r="H1576" i="2"/>
  <c r="G1576" i="2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N891" i="2" s="1"/>
  <c r="A3" i="4"/>
  <c r="I52" i="3" s="1"/>
  <c r="A2" i="4"/>
  <c r="H1523" i="2"/>
  <c r="G1523" i="2"/>
  <c r="D1523" i="2"/>
  <c r="H1522" i="2"/>
  <c r="G1522" i="2"/>
  <c r="D1522" i="2"/>
  <c r="H1521" i="2"/>
  <c r="G1521" i="2"/>
  <c r="D1521" i="2"/>
  <c r="H1520" i="2"/>
  <c r="F180" i="1" s="1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D1463" i="2"/>
  <c r="H1462" i="2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E165" i="1" s="1"/>
  <c r="D1455" i="2"/>
  <c r="H1454" i="2"/>
  <c r="F164" i="1" s="1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G1442" i="2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G1366" i="2"/>
  <c r="D1366" i="2"/>
  <c r="H1365" i="2"/>
  <c r="G1365" i="2"/>
  <c r="E158" i="1" s="1"/>
  <c r="D1365" i="2"/>
  <c r="H1364" i="2"/>
  <c r="F156" i="1" s="1"/>
  <c r="G1364" i="2"/>
  <c r="E156" i="1" s="1"/>
  <c r="D1364" i="2"/>
  <c r="H1363" i="2"/>
  <c r="G1363" i="2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E149" i="1" s="1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G1233" i="2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L822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M815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L774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M767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L726" i="2"/>
  <c r="H726" i="2"/>
  <c r="F105" i="1" s="1"/>
  <c r="G726" i="2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M719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L678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M671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E57" i="1" s="1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F165" i="1"/>
  <c r="D165" i="1"/>
  <c r="C165" i="1"/>
  <c r="G164" i="1"/>
  <c r="D164" i="1"/>
  <c r="C164" i="1"/>
  <c r="G163" i="1"/>
  <c r="F163" i="1"/>
  <c r="E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F158" i="1"/>
  <c r="D158" i="1"/>
  <c r="C158" i="1"/>
  <c r="G157" i="1"/>
  <c r="F157" i="1"/>
  <c r="E157" i="1"/>
  <c r="D157" i="1"/>
  <c r="C157" i="1"/>
  <c r="G156" i="1"/>
  <c r="D156" i="1"/>
  <c r="C156" i="1"/>
  <c r="G155" i="1"/>
  <c r="F155" i="1"/>
  <c r="E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E117" i="1"/>
  <c r="D117" i="1"/>
  <c r="C117" i="1"/>
  <c r="G116" i="1"/>
  <c r="D116" i="1"/>
  <c r="C116" i="1"/>
  <c r="G115" i="1"/>
  <c r="E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M493" i="2" l="1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<sst xmlns="http://schemas.openxmlformats.org/spreadsheetml/2006/main" count="2458" uniqueCount="299">
  <si>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</si>
  <si>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</si>
  <si>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</si>
  <si>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</si>
  <si>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</si>
  <si>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</si>
  <si>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</si>
  <si>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</si>
  <si>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</si>
  <si>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</si>
  <si>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</si>
  <si>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</si>
  <si>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</si>
  <si>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</si>
  <si>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</si>
  <si>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</si>
  <si>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</si>
  <si>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</si>
  <si>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</si>
  <si>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</si>
  <si>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</si>
  <si>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</si>
  <si>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</si>
  <si>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</si>
  <si>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</si>
  <si>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</si>
  <si>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</si>
  <si>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</si>
  <si>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</si>
  <si>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</si>
  <si>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</si>
  <si>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</si>
  <si>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</si>
  <si>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</si>
  <si>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</si>
  <si>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</si>
  <si>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</si>
  <si>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</si>
  <si>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</si>
  <si>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</si>
  <si>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</si>
  <si>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</si>
  <si>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</si>
  <si>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</si>
  <si>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</si>
  <si>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</si>
  <si>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</si>
  <si>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</si>
  <si>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</si>
  <si>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</si>
  <si>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</si>
  <si>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</si>
  <si>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</si>
  <si>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</si>
  <si>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</si>
  <si>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</si>
  <si>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</si>
  <si>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</si>
  <si>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</si>
  <si>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</si>
  <si>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</si>
  <si>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</si>
  <si>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</si>
  <si>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</si>
  <si>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</si>
  <si>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</si>
  <si>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</si>
  <si>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</si>
  <si>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</si>
  <si>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</si>
  <si>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</si>
  <si>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</si>
  <si>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</si>
  <si>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</si>
  <si>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</si>
  <si>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</si>
  <si>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</si>
  <si>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</si>
  <si>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</si>
  <si>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</si>
  <si>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</si>
  <si>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</si>
  <si>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</si>
  <si>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</si>
  <si>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</si>
  <si>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</si>
  <si>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</si>
  <si>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</si>
  <si>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</si>
  <si>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</si>
  <si>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</si>
  <si>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</si>
  <si>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</si>
  <si>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</si>
  <si>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</si>
  <si>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</si>
  <si>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</si>
  <si>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</si>
  <si>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</si>
  <si>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</si>
  <si>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</si>
  <si>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</si>
  <si>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</si>
  <si>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</si>
  <si>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</si>
  <si>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</si>
  <si>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</si>
  <si>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</si>
  <si>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</si>
  <si>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</si>
  <si>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</si>
  <si>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</si>
  <si>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</si>
  <si>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</si>
  <si>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</si>
  <si>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</si>
  <si>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</si>
  <si>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</si>
  <si>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</si>
  <si>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</si>
  <si>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</si>
  <si>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</si>
  <si>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</si>
  <si>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</si>
  <si>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</si>
  <si>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</si>
  <si>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</si>
  <si>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</si>
  <si>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</si>
  <si>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</si>
  <si>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</si>
  <si>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</si>
  <si>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</si>
  <si>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</si>
  <si>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</si>
  <si>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</si>
  <si>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</si>
  <si>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</si>
  <si>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</si>
  <si>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</si>
  <si>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</si>
  <si>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</si>
  <si>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</si>
  <si>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</si>
  <si>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</si>
  <si>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</si>
  <si>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</si>
  <si>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</si>
  <si>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</si>
  <si>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</si>
  <si>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</si>
  <si>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</si>
  <si>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</si>
  <si>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</si>
  <si>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</si>
  <si>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</si>
  <si>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</si>
  <si>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</si>
  <si>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</si>
  <si>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</si>
  <si>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</si>
  <si>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</si>
  <si>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</si>
  <si>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</si>
  <si>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</si>
  <si>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</si>
  <si>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</si>
  <si>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</si>
  <si>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</si>
  <si>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</si>
  <si>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</si>
  <si>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</si>
  <si>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</si>
  <si>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</si>
  <si>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</si>
  <si>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</si>
  <si>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</si>
  <si>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</si>
  <si>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</si>
  <si>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</si>
  <si>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</si>
  <si>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</si>
  <si>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</si>
  <si>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</si>
  <si>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</si>
  <si>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</si>
  <si>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</si>
  <si>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</si>
  <si>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</si>
  <si>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</si>
  <si>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</si>
  <si>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</si>
  <si>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</si>
  <si>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</si>
  <si>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</si>
  <si>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</si>
  <si>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</si>
  <si>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</si>
  <si>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</si>
  <si>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</si>
  <si>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</si>
  <si>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</si>
  <si>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</si>
  <si>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</si>
  <si>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</si>
  <si>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</si>
  <si>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</si>
  <si>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</si>
  <si>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</si>
  <si>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</si>
  <si>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</si>
  <si>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</si>
  <si>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</si>
  <si>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</si>
  <si>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</si>
  <si>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</si>
  <si>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</si>
  <si>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</si>
  <si>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</si>
  <si>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</si>
  <si>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</si>
  <si>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</si>
  <si>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</si>
  <si>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</si>
  <si>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</si>
  <si>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</si>
  <si>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</si>
  <si>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</si>
  <si>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</si>
  <si>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</si>
  <si>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</si>
  <si>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</si>
  <si>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</si>
  <si>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</si>
  <si>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</si>
  <si>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</si>
  <si>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</si>
  <si>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</si>
  <si>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</si>
  <si>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</si>
  <si>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</si>
  <si>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</si>
  <si>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</si>
  <si>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</si>
  <si>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</si>
  <si>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</si>
  <si>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</si>
  <si>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</si>
  <si>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</si>
  <si>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</si>
  <si>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</si>
  <si>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</si>
  <si>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</si>
  <si>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</si>
  <si>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</si>
  <si>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</si>
  <si>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</si>
  <si>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</si>
  <si>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</si>
  <si>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</si>
  <si>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</si>
  <si>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</si>
  <si>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</si>
  <si>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</si>
  <si>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</si>
  <si>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</si>
  <si>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</si>
  <si>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</si>
  <si>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</si>
  <si>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</si>
  <si>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</si>
  <si>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</si>
  <si>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</si>
  <si>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</si>
  <si>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</si>
  <si>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</si>
  <si>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</si>
  <si>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</si>
  <si>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</si>
  <si>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</si>
  <si>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</si>
  <si>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</si>
  <si>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</si>
  <si>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</si>
  <si>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</si>
  <si>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</si>
  <si>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</si>
  <si>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</si>
  <si>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</si>
  <si>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</si>
  <si>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https://mitino.streamlit.app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</si>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</sst>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7" headerRowDxfId="25" totalsRowDxfId="22" headerRowBorderDxfId="24" tableBorderDxfId="23">
  <autoFilter ref="A1:G187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79">
  <autoFilter ref="A1:O1579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0">
  <autoFilter ref="A1:I220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2" totalsRowShown="0" headerRowDxfId="14" dataDxfId="13">
  <autoFilter ref="A1:D22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92" totalsRowShown="0" headerRowDxfId="8" dataDxfId="6" headerRowBorderDxfId="7" tableBorderDxfId="5" totalsRowBorderDxfId="4">
  <autoFilter ref="A1:D192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5" Type="http://schemas.openxmlformats.org/officeDocument/2006/relationships/table" Target="../tables/table6.xm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7"/>
  <sheetViews>
    <sheetView topLeftCell="A157" workbookViewId="0">
      <selection activeCell="E191" sqref="E191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200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217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52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173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89</v>
      </c>
      <c r="E12" s="16">
        <f>SUMIFS(_stats[wins_on_date],_stats[player_id],_players[[#This Row],[player_id]])</f>
        <v>163</v>
      </c>
      <c r="F12" s="16">
        <f>SUMIFS(_stats[draws_on_date],_stats[player_id],_players[[#This Row],[player_id]])</f>
        <v>52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42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111</v>
      </c>
      <c r="F18" s="11">
        <f>SUMIFS(_stats[draws_on_date],_stats[player_id],_players[[#This Row],[player_id]])</f>
        <v>15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22</v>
      </c>
      <c r="E20" s="11">
        <f>SUMIFS(_stats[wins_on_date],_stats[player_id],_players[[#This Row],[player_id]])</f>
        <v>129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146</v>
      </c>
      <c r="F21" s="11">
        <f>SUMIFS(_stats[draws_on_date],_stats[player_id],_players[[#This Row],[player_id]])</f>
        <v>40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106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21</v>
      </c>
      <c r="E38" s="11">
        <f>SUMIFS(_stats[wins_on_date],_stats[player_id],_players[[#This Row],[player_id]])</f>
        <v>81</v>
      </c>
      <c r="F38" s="11">
        <f>SUMIFS(_stats[draws_on_date],_stats[player_id],_players[[#This Row],[player_id]])</f>
        <v>30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177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88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57</v>
      </c>
      <c r="F43" s="11">
        <f>SUMIFS(_stats[draws_on_date],_stats[player_id],_players[[#This Row],[player_id]])</f>
        <v>23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47</v>
      </c>
      <c r="F50" s="11">
        <f>SUMIFS(_stats[draws_on_date],_stats[player_id],_players[[#This Row],[player_id]])</f>
        <v>15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20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19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56</v>
      </c>
      <c r="F120" s="16">
        <f>SUMIFS(_stats[draws_on_date],_stats[player_id],_players[[#This Row],[player_id]])</f>
        <v>23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26</v>
      </c>
      <c r="F152" s="16">
        <f>SUMIFS(_stats[draws_on_date],_stats[player_id],_players[[#This Row],[player_id]])</f>
        <v>7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291</v>
      </c>
      <c r="B183" s="92" t="s">
        <v>291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295</v>
      </c>
      <c r="B184" s="103" t="s">
        <v>295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296</v>
      </c>
      <c r="B185" s="103" t="s">
        <v>296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2</v>
      </c>
      <c r="F185" s="73">
        <f>SUMIFS(_stats[draws_on_date],_stats[player_id],_players[[#This Row],[player_id]])</f>
        <v>0</v>
      </c>
      <c r="G185" s="93">
        <f>SUMIFS(_stats[foul_on_date],_stats[player_id],_players[[#This Row],[player_id]])</f>
        <v>0</v>
      </c>
    </row>
    <row r="186" spans="1:7" x14ac:dyDescent="0.25">
      <c r="A186" s="103" t="s">
        <v>297</v>
      </c>
      <c r="B186" s="103" t="s">
        <v>297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3</v>
      </c>
      <c r="F186" s="73">
        <f>SUMIFS(_stats[draws_on_date],_stats[player_id],_players[[#This Row],[player_id]])</f>
        <v>1</v>
      </c>
      <c r="G186" s="93">
        <f>SUMIFS(_stats[foul_on_date],_stats[player_id],_players[[#This Row],[player_id]])</f>
        <v>0</v>
      </c>
    </row>
    <row r="187" spans="1:7" x14ac:dyDescent="0.25">
      <c r="A187" s="103" t="s">
        <v>298</v>
      </c>
      <c r="B187" s="103" t="s">
        <v>298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79"/>
  <sheetViews>
    <sheetView topLeftCell="A1540" workbookViewId="0">
      <selection activeCell="A1549" sqref="A1549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291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295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296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297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298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0"/>
  <sheetViews>
    <sheetView topLeftCell="C190" workbookViewId="0">
      <selection activeCell="E217" sqref="E21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0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F12" sqref="F12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A22" sqref="A22:D22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293</v>
      </c>
      <c r="C22" s="100" t="s">
        <v>294</v>
      </c>
      <c r="D22" s="99"/>
    </row>
    <row r="23" spans="1:4" x14ac:dyDescent="0.25">
      <c r="A23" s="61"/>
      <c r="B23" s="60"/>
      <c r="C23" s="60"/>
      <c r="D23" s="60"/>
    </row>
    <row r="24" spans="1:4" x14ac:dyDescent="0.25">
      <c r="A24" s="61"/>
      <c r="B24" s="60"/>
      <c r="C24" s="60"/>
      <c r="D24" s="60"/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51" workbookViewId="0">
      <selection activeCell="I176" sqref="I17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290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290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290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290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290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290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290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290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290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290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290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290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290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290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290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290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290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290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290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290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290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290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290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290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290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290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290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290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290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290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290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290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290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290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290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290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290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290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290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290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290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290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290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290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290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290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290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290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290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290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290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290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290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290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290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290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290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290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290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290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290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290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290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290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290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290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290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290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290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290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290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290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290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290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290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290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290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290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290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290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290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290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290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290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290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290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290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290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290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290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290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290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290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290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290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290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290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290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290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290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290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290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290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290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290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290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290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290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290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290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290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290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290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290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290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290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290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290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290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290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290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290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290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290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290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290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290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290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290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290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290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290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290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290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290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290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290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290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290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290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290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290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290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290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290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290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290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290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290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290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290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290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290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290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290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290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290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290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290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290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290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290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290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290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290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290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290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290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290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290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290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290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290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290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290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290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290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290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290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290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290</v>
      </c>
    </row>
    <row r="187" spans="1:4" x14ac:dyDescent="0.25">
      <c r="A187" s="95" t="s">
        <v>291</v>
      </c>
      <c r="B187" s="96">
        <v>10</v>
      </c>
      <c r="C187" s="70">
        <v>46023</v>
      </c>
      <c r="D187" s="71" t="s">
        <v>290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290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292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292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292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292</v>
      </c>
    </row>
    <row r="193" spans="1:4" x14ac:dyDescent="0.25">
      <c r="A193" s="60"/>
      <c r="B193" s="60"/>
      <c r="C193" s="62"/>
      <c r="D193" s="60"/>
    </row>
    <row r="194" spans="1:4" x14ac:dyDescent="0.25">
      <c r="A194" s="60"/>
      <c r="B194" s="60"/>
      <c r="C194" s="62"/>
      <c r="D194" s="60"/>
    </row>
    <row r="195" spans="1:4" x14ac:dyDescent="0.25">
      <c r="A195" s="60"/>
      <c r="B195" s="60"/>
      <c r="C195" s="62"/>
      <c r="D195" s="60"/>
    </row>
    <row r="196" spans="1:4" x14ac:dyDescent="0.25">
      <c r="A196" s="60"/>
      <c r="B196" s="60"/>
      <c r="C196" s="62"/>
      <c r="D196" s="60"/>
    </row>
    <row r="197" spans="1:4" x14ac:dyDescent="0.25">
      <c r="A197" s="60"/>
      <c r="B197" s="60"/>
      <c r="C197" s="62"/>
      <c r="D197" s="60"/>
    </row>
    <row r="198" spans="1:4" x14ac:dyDescent="0.25">
      <c r="A198" s="60"/>
      <c r="B198" s="60"/>
      <c r="C198" s="62"/>
      <c r="D198" s="60"/>
    </row>
    <row r="199" spans="1:4" x14ac:dyDescent="0.25">
      <c r="A199" s="60"/>
      <c r="B199" s="60"/>
      <c r="C199" s="62"/>
      <c r="D199" s="60"/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AC20" sqref="AC19:AC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2026-07-26T13:23:41Z</dcterms:modified>
</cp:coreProperties>
</file>