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6EACBDBC-2AC9-4BE1-8488-961822EBA856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717" i="2" l="1"/>
  <c r="H1727" i="2"/>
  <c r="G1727" i="2"/>
  <c r="D1727" i="2"/>
  <c r="D1726" i="2"/>
  <c r="D1725" i="2"/>
  <c r="D1724" i="2"/>
  <c r="D1723" i="2"/>
  <c r="D1722" i="2"/>
  <c r="D1721" i="2"/>
  <c r="D1720" i="2"/>
  <c r="D1719" i="2"/>
  <c r="D1718" i="2"/>
  <c r="D1717" i="2"/>
  <c r="D1716" i="2"/>
  <c r="D1715" i="2"/>
  <c r="D1714" i="2"/>
  <c r="D1713" i="2"/>
  <c r="D1712" i="2"/>
  <c r="D1711" i="2"/>
  <c r="D1710" i="2"/>
  <c r="D1709" i="2"/>
  <c r="D1708" i="2"/>
  <c r="D1707" i="2"/>
  <c r="D1706" i="2"/>
  <c r="D1705" i="2"/>
  <c r="D1704" i="2"/>
  <c r="D1703" i="2"/>
  <c r="D1702" i="2"/>
  <c r="H1726" i="2"/>
  <c r="G1726" i="2"/>
  <c r="H1725" i="2"/>
  <c r="G1725" i="2"/>
  <c r="H1724" i="2"/>
  <c r="G1724" i="2"/>
  <c r="H1723" i="2"/>
  <c r="G1723" i="2"/>
  <c r="H1722" i="2"/>
  <c r="G1722" i="2"/>
  <c r="H1721" i="2"/>
  <c r="G1721" i="2"/>
  <c r="H1720" i="2"/>
  <c r="G1720" i="2"/>
  <c r="H1719" i="2"/>
  <c r="G1719" i="2"/>
  <c r="H1718" i="2"/>
  <c r="G1718" i="2"/>
  <c r="H1717" i="2"/>
  <c r="H1716" i="2"/>
  <c r="G1716" i="2"/>
  <c r="H1715" i="2"/>
  <c r="G1715" i="2"/>
  <c r="H1714" i="2"/>
  <c r="G1714" i="2"/>
  <c r="H1713" i="2"/>
  <c r="G1713" i="2"/>
  <c r="H1712" i="2"/>
  <c r="G1712" i="2"/>
  <c r="H1711" i="2"/>
  <c r="G1711" i="2"/>
  <c r="H1710" i="2"/>
  <c r="G1710" i="2"/>
  <c r="H1709" i="2"/>
  <c r="G1709" i="2"/>
  <c r="H1708" i="2"/>
  <c r="G1708" i="2"/>
  <c r="H1707" i="2"/>
  <c r="G1707" i="2"/>
  <c r="H1706" i="2"/>
  <c r="G1706" i="2"/>
  <c r="H1705" i="2"/>
  <c r="G1705" i="2"/>
  <c r="H1704" i="2"/>
  <c r="G1704" i="2"/>
  <c r="H1703" i="2"/>
  <c r="G1703" i="2"/>
  <c r="H1702" i="2"/>
  <c r="G1702" i="2"/>
  <c r="G201" i="1"/>
  <c r="F201" i="1"/>
  <c r="E201" i="1"/>
  <c r="D201" i="1"/>
  <c r="C201" i="1"/>
  <c r="G200" i="1"/>
  <c r="E200" i="1"/>
  <c r="D200" i="1"/>
  <c r="C200" i="1"/>
  <c r="D1701" i="2"/>
  <c r="D1700" i="2"/>
  <c r="D1699" i="2"/>
  <c r="D1698" i="2"/>
  <c r="D1697" i="2"/>
  <c r="D1696" i="2"/>
  <c r="D1695" i="2"/>
  <c r="D1694" i="2"/>
  <c r="D1693" i="2"/>
  <c r="D1692" i="2"/>
  <c r="D1691" i="2"/>
  <c r="D1690" i="2"/>
  <c r="D1689" i="2"/>
  <c r="D1688" i="2"/>
  <c r="D1687" i="2"/>
  <c r="D1686" i="2"/>
  <c r="D1685" i="2"/>
  <c r="D1684" i="2"/>
  <c r="D1683" i="2"/>
  <c r="D1682" i="2"/>
  <c r="D1681" i="2"/>
  <c r="D1680" i="2"/>
  <c r="D1679" i="2"/>
  <c r="D1678" i="2"/>
  <c r="D1677" i="2"/>
  <c r="D1676" i="2"/>
  <c r="D1675" i="2"/>
  <c r="D1674" i="2"/>
  <c r="H1701" i="2"/>
  <c r="G1701" i="2"/>
  <c r="H1700" i="2"/>
  <c r="G1700" i="2"/>
  <c r="H1699" i="2"/>
  <c r="G1699" i="2"/>
  <c r="H1698" i="2"/>
  <c r="G1698" i="2"/>
  <c r="H1697" i="2"/>
  <c r="G1697" i="2"/>
  <c r="H1696" i="2"/>
  <c r="G1696" i="2"/>
  <c r="H1695" i="2"/>
  <c r="G1695" i="2"/>
  <c r="H1694" i="2"/>
  <c r="F200" i="1" s="1"/>
  <c r="G1694" i="2"/>
  <c r="H1693" i="2"/>
  <c r="G1693" i="2"/>
  <c r="H1692" i="2"/>
  <c r="G1692" i="2"/>
  <c r="H1691" i="2"/>
  <c r="G1691" i="2"/>
  <c r="H1690" i="2"/>
  <c r="G1690" i="2"/>
  <c r="H1689" i="2"/>
  <c r="G1689" i="2"/>
  <c r="H1688" i="2"/>
  <c r="G1688" i="2"/>
  <c r="H1687" i="2"/>
  <c r="G1687" i="2"/>
  <c r="H1686" i="2"/>
  <c r="G1686" i="2"/>
  <c r="H1685" i="2"/>
  <c r="G1685" i="2"/>
  <c r="H1684" i="2"/>
  <c r="G1684" i="2"/>
  <c r="H1683" i="2"/>
  <c r="G1683" i="2"/>
  <c r="H1682" i="2"/>
  <c r="G1682" i="2"/>
  <c r="H1681" i="2"/>
  <c r="G1681" i="2"/>
  <c r="H1680" i="2"/>
  <c r="G1680" i="2"/>
  <c r="H1679" i="2"/>
  <c r="G1679" i="2"/>
  <c r="H1678" i="2"/>
  <c r="G1678" i="2"/>
  <c r="H1677" i="2"/>
  <c r="G1677" i="2"/>
  <c r="H1676" i="2"/>
  <c r="G1676" i="2"/>
  <c r="H1675" i="2"/>
  <c r="G1675" i="2"/>
  <c r="H1674" i="2"/>
  <c r="G1674" i="2"/>
  <c r="G199" i="1"/>
  <c r="D199" i="1"/>
  <c r="C199" i="1"/>
  <c r="H1668" i="2"/>
  <c r="G1668" i="2"/>
  <c r="D1668" i="2"/>
  <c r="G198" i="1"/>
  <c r="D198" i="1"/>
  <c r="C198" i="1"/>
  <c r="G197" i="1"/>
  <c r="D197" i="1"/>
  <c r="C197" i="1"/>
  <c r="D1673" i="2"/>
  <c r="D1672" i="2"/>
  <c r="D1671" i="2"/>
  <c r="D1670" i="2"/>
  <c r="D1669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H1673" i="2"/>
  <c r="G1673" i="2"/>
  <c r="H1672" i="2"/>
  <c r="G1672" i="2"/>
  <c r="H1671" i="2"/>
  <c r="G1671" i="2"/>
  <c r="H1670" i="2"/>
  <c r="F197" i="1" s="1"/>
  <c r="G1670" i="2"/>
  <c r="E197" i="1" s="1"/>
  <c r="H1669" i="2"/>
  <c r="G1669" i="2"/>
  <c r="H1667" i="2"/>
  <c r="G1667" i="2"/>
  <c r="H1666" i="2"/>
  <c r="G1666" i="2"/>
  <c r="H1665" i="2"/>
  <c r="G1665" i="2"/>
  <c r="H1664" i="2"/>
  <c r="G1664" i="2"/>
  <c r="H1663" i="2"/>
  <c r="G1663" i="2"/>
  <c r="H1662" i="2"/>
  <c r="G1662" i="2"/>
  <c r="H1661" i="2"/>
  <c r="G1661" i="2"/>
  <c r="H1660" i="2"/>
  <c r="G1660" i="2"/>
  <c r="H1659" i="2"/>
  <c r="G1659" i="2"/>
  <c r="H1658" i="2"/>
  <c r="G1658" i="2"/>
  <c r="H1657" i="2"/>
  <c r="G1657" i="2"/>
  <c r="H1656" i="2"/>
  <c r="F199" i="1" s="1"/>
  <c r="G1656" i="2"/>
  <c r="E199" i="1" s="1"/>
  <c r="H1655" i="2"/>
  <c r="G1655" i="2"/>
  <c r="H1654" i="2"/>
  <c r="G1654" i="2"/>
  <c r="H1653" i="2"/>
  <c r="G1653" i="2"/>
  <c r="H1652" i="2"/>
  <c r="G1652" i="2"/>
  <c r="H1651" i="2"/>
  <c r="G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H1650" i="2"/>
  <c r="G1650" i="2"/>
  <c r="H1649" i="2"/>
  <c r="G1649" i="2"/>
  <c r="H1648" i="2"/>
  <c r="G1648" i="2"/>
  <c r="H1647" i="2"/>
  <c r="F196" i="1" s="1"/>
  <c r="G1647" i="2"/>
  <c r="E196" i="1" s="1"/>
  <c r="H1646" i="2"/>
  <c r="G1646" i="2"/>
  <c r="H1645" i="2"/>
  <c r="G1645" i="2"/>
  <c r="H1644" i="2"/>
  <c r="G1644" i="2"/>
  <c r="H1643" i="2"/>
  <c r="G1643" i="2"/>
  <c r="H1642" i="2"/>
  <c r="G1642" i="2"/>
  <c r="H1641" i="2"/>
  <c r="G1641" i="2"/>
  <c r="H1640" i="2"/>
  <c r="G1640" i="2"/>
  <c r="H1639" i="2"/>
  <c r="G1639" i="2"/>
  <c r="H1638" i="2"/>
  <c r="G1638" i="2"/>
  <c r="H1637" i="2"/>
  <c r="G1637" i="2"/>
  <c r="H1636" i="2"/>
  <c r="G1636" i="2"/>
  <c r="H1635" i="2"/>
  <c r="G1635" i="2"/>
  <c r="H1634" i="2"/>
  <c r="G1634" i="2"/>
  <c r="G196" i="1"/>
  <c r="D196" i="1"/>
  <c r="C196" i="1"/>
  <c r="H1618" i="2"/>
  <c r="G1618" i="2"/>
  <c r="D1618" i="2"/>
  <c r="D1617" i="2"/>
  <c r="H1617" i="2"/>
  <c r="G1617" i="2"/>
  <c r="G195" i="1"/>
  <c r="D195" i="1"/>
  <c r="C195" i="1"/>
  <c r="G194" i="1"/>
  <c r="D194" i="1"/>
  <c r="C194" i="1"/>
  <c r="G193" i="1"/>
  <c r="D193" i="1"/>
  <c r="C193" i="1"/>
  <c r="G192" i="1"/>
  <c r="D192" i="1"/>
  <c r="C192" i="1"/>
  <c r="G191" i="1"/>
  <c r="D191" i="1"/>
  <c r="C191" i="1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H1633" i="2"/>
  <c r="G1633" i="2"/>
  <c r="H1632" i="2"/>
  <c r="G1632" i="2"/>
  <c r="H1631" i="2"/>
  <c r="F194" i="1" s="1"/>
  <c r="G1631" i="2"/>
  <c r="E194" i="1" s="1"/>
  <c r="H1630" i="2"/>
  <c r="G1630" i="2"/>
  <c r="H1629" i="2"/>
  <c r="G1629" i="2"/>
  <c r="H1628" i="2"/>
  <c r="G1628" i="2"/>
  <c r="H1627" i="2"/>
  <c r="F192" i="1" s="1"/>
  <c r="G1627" i="2"/>
  <c r="E192" i="1" s="1"/>
  <c r="H1626" i="2"/>
  <c r="G1626" i="2"/>
  <c r="H1625" i="2"/>
  <c r="G1625" i="2"/>
  <c r="H1624" i="2"/>
  <c r="F191" i="1" s="1"/>
  <c r="G1624" i="2"/>
  <c r="E191" i="1" s="1"/>
  <c r="H1623" i="2"/>
  <c r="G1623" i="2"/>
  <c r="H1622" i="2"/>
  <c r="G1622" i="2"/>
  <c r="H1621" i="2"/>
  <c r="G1621" i="2"/>
  <c r="H1620" i="2"/>
  <c r="G1620" i="2"/>
  <c r="H1619" i="2"/>
  <c r="G1619" i="2"/>
  <c r="H1616" i="2"/>
  <c r="G1616" i="2"/>
  <c r="H1615" i="2"/>
  <c r="G1615" i="2"/>
  <c r="H1614" i="2"/>
  <c r="G1614" i="2"/>
  <c r="H1613" i="2"/>
  <c r="G1613" i="2"/>
  <c r="H1612" i="2"/>
  <c r="G1612" i="2"/>
  <c r="H1611" i="2"/>
  <c r="G1611" i="2"/>
  <c r="H1610" i="2"/>
  <c r="G1610" i="2"/>
  <c r="H1609" i="2"/>
  <c r="G1609" i="2"/>
  <c r="H1608" i="2"/>
  <c r="G1608" i="2"/>
  <c r="H1607" i="2"/>
  <c r="G1607" i="2"/>
  <c r="H1606" i="2"/>
  <c r="G1606" i="2"/>
  <c r="H1605" i="2"/>
  <c r="G1605" i="2"/>
  <c r="H1604" i="2"/>
  <c r="G1604" i="2"/>
  <c r="D1590" i="2"/>
  <c r="G190" i="1"/>
  <c r="D190" i="1"/>
  <c r="C190" i="1"/>
  <c r="G189" i="1"/>
  <c r="D189" i="1"/>
  <c r="C189" i="1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89" i="2"/>
  <c r="D1588" i="2"/>
  <c r="D1587" i="2"/>
  <c r="D1586" i="2"/>
  <c r="D1585" i="2"/>
  <c r="D1584" i="2"/>
  <c r="D1583" i="2"/>
  <c r="D1582" i="2"/>
  <c r="D1581" i="2"/>
  <c r="D1580" i="2"/>
  <c r="H1603" i="2"/>
  <c r="F188" i="1" s="1"/>
  <c r="G1603" i="2"/>
  <c r="H1602" i="2"/>
  <c r="G1602" i="2"/>
  <c r="H1601" i="2"/>
  <c r="G1601" i="2"/>
  <c r="H1600" i="2"/>
  <c r="G1600" i="2"/>
  <c r="H1599" i="2"/>
  <c r="G1599" i="2"/>
  <c r="H1598" i="2"/>
  <c r="G1598" i="2"/>
  <c r="H1597" i="2"/>
  <c r="G1597" i="2"/>
  <c r="H1596" i="2"/>
  <c r="G1596" i="2"/>
  <c r="H1595" i="2"/>
  <c r="G1595" i="2"/>
  <c r="H1594" i="2"/>
  <c r="G1594" i="2"/>
  <c r="H1593" i="2"/>
  <c r="G1593" i="2"/>
  <c r="H1592" i="2"/>
  <c r="G1592" i="2"/>
  <c r="H1591" i="2"/>
  <c r="G1591" i="2"/>
  <c r="H1590" i="2"/>
  <c r="F190" i="1" s="1"/>
  <c r="G1590" i="2"/>
  <c r="E190" i="1" s="1"/>
  <c r="H1589" i="2"/>
  <c r="G1589" i="2"/>
  <c r="H1588" i="2"/>
  <c r="G1588" i="2"/>
  <c r="H1587" i="2"/>
  <c r="G1587" i="2"/>
  <c r="H1586" i="2"/>
  <c r="F189" i="1" s="1"/>
  <c r="G1586" i="2"/>
  <c r="E189" i="1" s="1"/>
  <c r="H1585" i="2"/>
  <c r="G1585" i="2"/>
  <c r="H1584" i="2"/>
  <c r="G1584" i="2"/>
  <c r="H1583" i="2"/>
  <c r="G1583" i="2"/>
  <c r="H1582" i="2"/>
  <c r="G1582" i="2"/>
  <c r="H1581" i="2"/>
  <c r="G1581" i="2"/>
  <c r="H1580" i="2"/>
  <c r="G1580" i="2"/>
  <c r="G188" i="1"/>
  <c r="E188" i="1"/>
  <c r="D188" i="1"/>
  <c r="C188" i="1"/>
  <c r="H1579" i="2"/>
  <c r="G1579" i="2"/>
  <c r="H1578" i="2"/>
  <c r="G1578" i="2"/>
  <c r="H1577" i="2"/>
  <c r="G1577" i="2"/>
  <c r="H1576" i="2"/>
  <c r="F187" i="1" s="1"/>
  <c r="G1576" i="2"/>
  <c r="E187" i="1" s="1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H1569" i="2"/>
  <c r="G1569" i="2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D187" i="1"/>
  <c r="C187" i="1"/>
  <c r="G186" i="1"/>
  <c r="D186" i="1"/>
  <c r="C186" i="1"/>
  <c r="G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A4" i="4"/>
  <c r="A3" i="4"/>
  <c r="N188" i="2" s="1"/>
  <c r="A2" i="4"/>
  <c r="H1523" i="2"/>
  <c r="G1523" i="2"/>
  <c r="D1523" i="2"/>
  <c r="H1522" i="2"/>
  <c r="G1522" i="2"/>
  <c r="D1522" i="2"/>
  <c r="H1521" i="2"/>
  <c r="G1521" i="2"/>
  <c r="D1521" i="2"/>
  <c r="H1520" i="2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E181" i="1" s="1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F169" i="1" s="1"/>
  <c r="G1466" i="2"/>
  <c r="E169" i="1" s="1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F176" i="1" s="1"/>
  <c r="G1463" i="2"/>
  <c r="E176" i="1" s="1"/>
  <c r="D1463" i="2"/>
  <c r="H1462" i="2"/>
  <c r="F175" i="1" s="1"/>
  <c r="G1462" i="2"/>
  <c r="E175" i="1" s="1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F165" i="1" s="1"/>
  <c r="G1455" i="2"/>
  <c r="E165" i="1" s="1"/>
  <c r="D1455" i="2"/>
  <c r="H1454" i="2"/>
  <c r="G1454" i="2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F163" i="1" s="1"/>
  <c r="G1442" i="2"/>
  <c r="E163" i="1" s="1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F162" i="1" s="1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F157" i="1" s="1"/>
  <c r="G1366" i="2"/>
  <c r="E157" i="1" s="1"/>
  <c r="D1366" i="2"/>
  <c r="H1365" i="2"/>
  <c r="F158" i="1" s="1"/>
  <c r="G1365" i="2"/>
  <c r="E158" i="1" s="1"/>
  <c r="D1365" i="2"/>
  <c r="H1364" i="2"/>
  <c r="F156" i="1" s="1"/>
  <c r="G1364" i="2"/>
  <c r="E156" i="1" s="1"/>
  <c r="D1364" i="2"/>
  <c r="H1363" i="2"/>
  <c r="F155" i="1" s="1"/>
  <c r="G1363" i="2"/>
  <c r="E155" i="1" s="1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G1338" i="2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F146" i="1" s="1"/>
  <c r="G1233" i="2"/>
  <c r="E146" i="1" s="1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E127" i="1" s="1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F124" i="1" s="1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E117" i="1" s="1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H862" i="2"/>
  <c r="G862" i="2"/>
  <c r="D862" i="2"/>
  <c r="H861" i="2"/>
  <c r="G861" i="2"/>
  <c r="D861" i="2"/>
  <c r="O860" i="2"/>
  <c r="H860" i="2"/>
  <c r="G860" i="2"/>
  <c r="D860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H855" i="2"/>
  <c r="G855" i="2"/>
  <c r="D855" i="2"/>
  <c r="H854" i="2"/>
  <c r="G854" i="2"/>
  <c r="D854" i="2"/>
  <c r="O853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H841" i="2"/>
  <c r="G841" i="2"/>
  <c r="D841" i="2"/>
  <c r="H840" i="2"/>
  <c r="G840" i="2"/>
  <c r="D840" i="2"/>
  <c r="N839" i="2"/>
  <c r="H839" i="2"/>
  <c r="G839" i="2"/>
  <c r="D839" i="2"/>
  <c r="M838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H834" i="2"/>
  <c r="G834" i="2"/>
  <c r="D834" i="2"/>
  <c r="H833" i="2"/>
  <c r="G833" i="2"/>
  <c r="D833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H827" i="2"/>
  <c r="G827" i="2"/>
  <c r="D827" i="2"/>
  <c r="H826" i="2"/>
  <c r="G826" i="2"/>
  <c r="D826" i="2"/>
  <c r="H825" i="2"/>
  <c r="G825" i="2"/>
  <c r="D825" i="2"/>
  <c r="N824" i="2"/>
  <c r="H824" i="2"/>
  <c r="G824" i="2"/>
  <c r="D824" i="2"/>
  <c r="H823" i="2"/>
  <c r="G823" i="2"/>
  <c r="D823" i="2"/>
  <c r="H822" i="2"/>
  <c r="G822" i="2"/>
  <c r="D822" i="2"/>
  <c r="H821" i="2"/>
  <c r="G821" i="2"/>
  <c r="D821" i="2"/>
  <c r="H820" i="2"/>
  <c r="G820" i="2"/>
  <c r="D820" i="2"/>
  <c r="H819" i="2"/>
  <c r="G819" i="2"/>
  <c r="D819" i="2"/>
  <c r="H818" i="2"/>
  <c r="G818" i="2"/>
  <c r="D818" i="2"/>
  <c r="H817" i="2"/>
  <c r="G817" i="2"/>
  <c r="D817" i="2"/>
  <c r="H816" i="2"/>
  <c r="G816" i="2"/>
  <c r="D816" i="2"/>
  <c r="H815" i="2"/>
  <c r="G815" i="2"/>
  <c r="D815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H810" i="2"/>
  <c r="G810" i="2"/>
  <c r="D810" i="2"/>
  <c r="H809" i="2"/>
  <c r="G809" i="2"/>
  <c r="D809" i="2"/>
  <c r="N808" i="2"/>
  <c r="H808" i="2"/>
  <c r="G808" i="2"/>
  <c r="D808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H803" i="2"/>
  <c r="G803" i="2"/>
  <c r="D803" i="2"/>
  <c r="H802" i="2"/>
  <c r="G802" i="2"/>
  <c r="D802" i="2"/>
  <c r="O801" i="2"/>
  <c r="H801" i="2"/>
  <c r="G801" i="2"/>
  <c r="D801" i="2"/>
  <c r="N800" i="2"/>
  <c r="H800" i="2"/>
  <c r="G800" i="2"/>
  <c r="D800" i="2"/>
  <c r="H799" i="2"/>
  <c r="G799" i="2"/>
  <c r="D799" i="2"/>
  <c r="H798" i="2"/>
  <c r="G798" i="2"/>
  <c r="D798" i="2"/>
  <c r="H797" i="2"/>
  <c r="G797" i="2"/>
  <c r="D797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H791" i="2"/>
  <c r="G791" i="2"/>
  <c r="D791" i="2"/>
  <c r="L790" i="2"/>
  <c r="H790" i="2"/>
  <c r="G790" i="2"/>
  <c r="D790" i="2"/>
  <c r="H789" i="2"/>
  <c r="G789" i="2"/>
  <c r="D789" i="2"/>
  <c r="H788" i="2"/>
  <c r="G788" i="2"/>
  <c r="D788" i="2"/>
  <c r="H787" i="2"/>
  <c r="G787" i="2"/>
  <c r="D787" i="2"/>
  <c r="H786" i="2"/>
  <c r="G786" i="2"/>
  <c r="D786" i="2"/>
  <c r="H785" i="2"/>
  <c r="G785" i="2"/>
  <c r="D785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H779" i="2"/>
  <c r="G779" i="2"/>
  <c r="D779" i="2"/>
  <c r="H778" i="2"/>
  <c r="G778" i="2"/>
  <c r="D778" i="2"/>
  <c r="H777" i="2"/>
  <c r="G777" i="2"/>
  <c r="D777" i="2"/>
  <c r="N776" i="2"/>
  <c r="H776" i="2"/>
  <c r="G776" i="2"/>
  <c r="D776" i="2"/>
  <c r="H775" i="2"/>
  <c r="G775" i="2"/>
  <c r="D775" i="2"/>
  <c r="H774" i="2"/>
  <c r="G774" i="2"/>
  <c r="D774" i="2"/>
  <c r="H773" i="2"/>
  <c r="G773" i="2"/>
  <c r="D773" i="2"/>
  <c r="H772" i="2"/>
  <c r="G772" i="2"/>
  <c r="D772" i="2"/>
  <c r="H771" i="2"/>
  <c r="G771" i="2"/>
  <c r="D771" i="2"/>
  <c r="H770" i="2"/>
  <c r="G770" i="2"/>
  <c r="D770" i="2"/>
  <c r="H769" i="2"/>
  <c r="G769" i="2"/>
  <c r="D769" i="2"/>
  <c r="H768" i="2"/>
  <c r="G768" i="2"/>
  <c r="D768" i="2"/>
  <c r="H767" i="2"/>
  <c r="G767" i="2"/>
  <c r="D767" i="2"/>
  <c r="H766" i="2"/>
  <c r="G766" i="2"/>
  <c r="D766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H760" i="2"/>
  <c r="G760" i="2"/>
  <c r="D760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H755" i="2"/>
  <c r="G755" i="2"/>
  <c r="D755" i="2"/>
  <c r="H754" i="2"/>
  <c r="G754" i="2"/>
  <c r="D754" i="2"/>
  <c r="O753" i="2"/>
  <c r="H753" i="2"/>
  <c r="G753" i="2"/>
  <c r="D753" i="2"/>
  <c r="H752" i="2"/>
  <c r="G752" i="2"/>
  <c r="D752" i="2"/>
  <c r="H751" i="2"/>
  <c r="G751" i="2"/>
  <c r="D751" i="2"/>
  <c r="H750" i="2"/>
  <c r="G750" i="2"/>
  <c r="D750" i="2"/>
  <c r="H749" i="2"/>
  <c r="G749" i="2"/>
  <c r="D749" i="2"/>
  <c r="H748" i="2"/>
  <c r="G748" i="2"/>
  <c r="D748" i="2"/>
  <c r="H747" i="2"/>
  <c r="G747" i="2"/>
  <c r="D747" i="2"/>
  <c r="H746" i="2"/>
  <c r="G746" i="2"/>
  <c r="D746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H741" i="2"/>
  <c r="G741" i="2"/>
  <c r="D741" i="2"/>
  <c r="H740" i="2"/>
  <c r="G740" i="2"/>
  <c r="D740" i="2"/>
  <c r="H739" i="2"/>
  <c r="G739" i="2"/>
  <c r="D739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H731" i="2"/>
  <c r="G731" i="2"/>
  <c r="D731" i="2"/>
  <c r="H730" i="2"/>
  <c r="G730" i="2"/>
  <c r="D730" i="2"/>
  <c r="H729" i="2"/>
  <c r="G729" i="2"/>
  <c r="D729" i="2"/>
  <c r="N728" i="2"/>
  <c r="H728" i="2"/>
  <c r="G728" i="2"/>
  <c r="D728" i="2"/>
  <c r="H727" i="2"/>
  <c r="G727" i="2"/>
  <c r="D727" i="2"/>
  <c r="H726" i="2"/>
  <c r="F105" i="1" s="1"/>
  <c r="G726" i="2"/>
  <c r="E105" i="1" s="1"/>
  <c r="D726" i="2"/>
  <c r="H725" i="2"/>
  <c r="F104" i="1" s="1"/>
  <c r="G725" i="2"/>
  <c r="E104" i="1" s="1"/>
  <c r="D725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H719" i="2"/>
  <c r="G719" i="2"/>
  <c r="D719" i="2"/>
  <c r="H718" i="2"/>
  <c r="G718" i="2"/>
  <c r="D718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H683" i="2"/>
  <c r="G683" i="2"/>
  <c r="D683" i="2"/>
  <c r="H682" i="2"/>
  <c r="G682" i="2"/>
  <c r="D682" i="2"/>
  <c r="O681" i="2"/>
  <c r="H681" i="2"/>
  <c r="G681" i="2"/>
  <c r="D681" i="2"/>
  <c r="H680" i="2"/>
  <c r="G680" i="2"/>
  <c r="D680" i="2"/>
  <c r="H679" i="2"/>
  <c r="G679" i="2"/>
  <c r="D679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H673" i="2"/>
  <c r="G673" i="2"/>
  <c r="D673" i="2"/>
  <c r="H672" i="2"/>
  <c r="G672" i="2"/>
  <c r="D672" i="2"/>
  <c r="H671" i="2"/>
  <c r="G671" i="2"/>
  <c r="D671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H666" i="2"/>
  <c r="G666" i="2"/>
  <c r="D666" i="2"/>
  <c r="H665" i="2"/>
  <c r="G665" i="2"/>
  <c r="D665" i="2"/>
  <c r="N664" i="2"/>
  <c r="H664" i="2"/>
  <c r="G664" i="2"/>
  <c r="D664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L654" i="2"/>
  <c r="H654" i="2"/>
  <c r="G654" i="2"/>
  <c r="D654" i="2"/>
  <c r="H653" i="2"/>
  <c r="G653" i="2"/>
  <c r="D653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H646" i="2"/>
  <c r="G646" i="2"/>
  <c r="D646" i="2"/>
  <c r="H645" i="2"/>
  <c r="G645" i="2"/>
  <c r="D645" i="2"/>
  <c r="H644" i="2"/>
  <c r="G644" i="2"/>
  <c r="D644" i="2"/>
  <c r="H643" i="2"/>
  <c r="G643" i="2"/>
  <c r="D643" i="2"/>
  <c r="H642" i="2"/>
  <c r="G642" i="2"/>
  <c r="D642" i="2"/>
  <c r="H641" i="2"/>
  <c r="G641" i="2"/>
  <c r="D641" i="2"/>
  <c r="H640" i="2"/>
  <c r="G640" i="2"/>
  <c r="D640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M635" i="2"/>
  <c r="H635" i="2"/>
  <c r="G635" i="2"/>
  <c r="D635" i="2"/>
  <c r="H634" i="2"/>
  <c r="G634" i="2"/>
  <c r="D634" i="2"/>
  <c r="H633" i="2"/>
  <c r="G633" i="2"/>
  <c r="D633" i="2"/>
  <c r="N632" i="2"/>
  <c r="H632" i="2"/>
  <c r="G632" i="2"/>
  <c r="D632" i="2"/>
  <c r="H631" i="2"/>
  <c r="G631" i="2"/>
  <c r="D631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H618" i="2"/>
  <c r="G618" i="2"/>
  <c r="D618" i="2"/>
  <c r="H617" i="2"/>
  <c r="G617" i="2"/>
  <c r="D617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H611" i="2"/>
  <c r="G611" i="2"/>
  <c r="D611" i="2"/>
  <c r="H610" i="2"/>
  <c r="G610" i="2"/>
  <c r="D610" i="2"/>
  <c r="H609" i="2"/>
  <c r="G609" i="2"/>
  <c r="D609" i="2"/>
  <c r="N608" i="2"/>
  <c r="H608" i="2"/>
  <c r="G608" i="2"/>
  <c r="D608" i="2"/>
  <c r="H607" i="2"/>
  <c r="G607" i="2"/>
  <c r="D607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H601" i="2"/>
  <c r="F99" i="1" s="1"/>
  <c r="G601" i="2"/>
  <c r="E99" i="1" s="1"/>
  <c r="D601" i="2"/>
  <c r="H600" i="2"/>
  <c r="G600" i="2"/>
  <c r="D600" i="2"/>
  <c r="H599" i="2"/>
  <c r="G599" i="2"/>
  <c r="D599" i="2"/>
  <c r="L598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H594" i="2"/>
  <c r="G594" i="2"/>
  <c r="D594" i="2"/>
  <c r="H593" i="2"/>
  <c r="G593" i="2"/>
  <c r="D593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M587" i="2"/>
  <c r="H587" i="2"/>
  <c r="G587" i="2"/>
  <c r="D587" i="2"/>
  <c r="H586" i="2"/>
  <c r="G586" i="2"/>
  <c r="D586" i="2"/>
  <c r="H585" i="2"/>
  <c r="F98" i="1" s="1"/>
  <c r="G585" i="2"/>
  <c r="E98" i="1" s="1"/>
  <c r="D585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H580" i="2"/>
  <c r="G580" i="2"/>
  <c r="D580" i="2"/>
  <c r="H579" i="2"/>
  <c r="G579" i="2"/>
  <c r="D579" i="2"/>
  <c r="H578" i="2"/>
  <c r="G578" i="2"/>
  <c r="D578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H551" i="2"/>
  <c r="G551" i="2"/>
  <c r="D551" i="2"/>
  <c r="L550" i="2"/>
  <c r="H550" i="2"/>
  <c r="G550" i="2"/>
  <c r="D550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M539" i="2"/>
  <c r="H539" i="2"/>
  <c r="G539" i="2"/>
  <c r="D539" i="2"/>
  <c r="H538" i="2"/>
  <c r="G538" i="2"/>
  <c r="D538" i="2"/>
  <c r="H537" i="2"/>
  <c r="G537" i="2"/>
  <c r="D537" i="2"/>
  <c r="N536" i="2"/>
  <c r="H536" i="2"/>
  <c r="G536" i="2"/>
  <c r="D536" i="2"/>
  <c r="H535" i="2"/>
  <c r="G535" i="2"/>
  <c r="D535" i="2"/>
  <c r="L534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O529" i="2"/>
  <c r="H529" i="2"/>
  <c r="G529" i="2"/>
  <c r="D529" i="2"/>
  <c r="H528" i="2"/>
  <c r="G528" i="2"/>
  <c r="D528" i="2"/>
  <c r="M527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L522" i="2"/>
  <c r="H522" i="2"/>
  <c r="G522" i="2"/>
  <c r="D522" i="2"/>
  <c r="H521" i="2"/>
  <c r="G521" i="2"/>
  <c r="D521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H513" i="2"/>
  <c r="G513" i="2"/>
  <c r="D513" i="2"/>
  <c r="H512" i="2"/>
  <c r="G512" i="2"/>
  <c r="D512" i="2"/>
  <c r="H511" i="2"/>
  <c r="G511" i="2"/>
  <c r="D511" i="2"/>
  <c r="H510" i="2"/>
  <c r="G510" i="2"/>
  <c r="D510" i="2"/>
  <c r="H509" i="2"/>
  <c r="G509" i="2"/>
  <c r="D509" i="2"/>
  <c r="H508" i="2"/>
  <c r="G508" i="2"/>
  <c r="D508" i="2"/>
  <c r="H507" i="2"/>
  <c r="G507" i="2"/>
  <c r="D507" i="2"/>
  <c r="H506" i="2"/>
  <c r="G506" i="2"/>
  <c r="D506" i="2"/>
  <c r="O505" i="2"/>
  <c r="H505" i="2"/>
  <c r="G505" i="2"/>
  <c r="D505" i="2"/>
  <c r="H504" i="2"/>
  <c r="G504" i="2"/>
  <c r="D504" i="2"/>
  <c r="M503" i="2"/>
  <c r="H503" i="2"/>
  <c r="G503" i="2"/>
  <c r="D503" i="2"/>
  <c r="H502" i="2"/>
  <c r="G502" i="2"/>
  <c r="D502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H496" i="2"/>
  <c r="G496" i="2"/>
  <c r="D496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M491" i="2"/>
  <c r="H491" i="2"/>
  <c r="G491" i="2"/>
  <c r="D491" i="2"/>
  <c r="H490" i="2"/>
  <c r="G490" i="2"/>
  <c r="D490" i="2"/>
  <c r="H489" i="2"/>
  <c r="G489" i="2"/>
  <c r="D489" i="2"/>
  <c r="H488" i="2"/>
  <c r="G488" i="2"/>
  <c r="D488" i="2"/>
  <c r="M487" i="2"/>
  <c r="H487" i="2"/>
  <c r="G487" i="2"/>
  <c r="D487" i="2"/>
  <c r="O486" i="2"/>
  <c r="N486" i="2"/>
  <c r="M486" i="2"/>
  <c r="H486" i="2"/>
  <c r="G486" i="2"/>
  <c r="D486" i="2"/>
  <c r="O485" i="2"/>
  <c r="N485" i="2"/>
  <c r="M485" i="2"/>
  <c r="L485" i="2"/>
  <c r="H485" i="2"/>
  <c r="G485" i="2"/>
  <c r="D485" i="2"/>
  <c r="N484" i="2"/>
  <c r="H484" i="2"/>
  <c r="G484" i="2"/>
  <c r="D484" i="2"/>
  <c r="O483" i="2"/>
  <c r="N483" i="2"/>
  <c r="H483" i="2"/>
  <c r="G483" i="2"/>
  <c r="D483" i="2"/>
  <c r="O482" i="2"/>
  <c r="N482" i="2"/>
  <c r="L482" i="2"/>
  <c r="H482" i="2"/>
  <c r="G482" i="2"/>
  <c r="D482" i="2"/>
  <c r="N481" i="2"/>
  <c r="M481" i="2"/>
  <c r="H481" i="2"/>
  <c r="G481" i="2"/>
  <c r="D481" i="2"/>
  <c r="N480" i="2"/>
  <c r="H480" i="2"/>
  <c r="G480" i="2"/>
  <c r="D480" i="2"/>
  <c r="O479" i="2"/>
  <c r="N479" i="2"/>
  <c r="M479" i="2"/>
  <c r="L479" i="2"/>
  <c r="H479" i="2"/>
  <c r="G479" i="2"/>
  <c r="D479" i="2"/>
  <c r="M478" i="2"/>
  <c r="H478" i="2"/>
  <c r="G478" i="2"/>
  <c r="D478" i="2"/>
  <c r="O477" i="2"/>
  <c r="N477" i="2"/>
  <c r="L477" i="2"/>
  <c r="H477" i="2"/>
  <c r="G477" i="2"/>
  <c r="D477" i="2"/>
  <c r="O476" i="2"/>
  <c r="H476" i="2"/>
  <c r="G476" i="2"/>
  <c r="D476" i="2"/>
  <c r="O475" i="2"/>
  <c r="N475" i="2"/>
  <c r="M475" i="2"/>
  <c r="L475" i="2"/>
  <c r="H475" i="2"/>
  <c r="G475" i="2"/>
  <c r="D475" i="2"/>
  <c r="N474" i="2"/>
  <c r="H474" i="2"/>
  <c r="G474" i="2"/>
  <c r="D474" i="2"/>
  <c r="O473" i="2"/>
  <c r="M473" i="2"/>
  <c r="L473" i="2"/>
  <c r="H473" i="2"/>
  <c r="G473" i="2"/>
  <c r="D473" i="2"/>
  <c r="N472" i="2"/>
  <c r="M472" i="2"/>
  <c r="H472" i="2"/>
  <c r="G472" i="2"/>
  <c r="D472" i="2"/>
  <c r="O471" i="2"/>
  <c r="N471" i="2"/>
  <c r="L471" i="2"/>
  <c r="H471" i="2"/>
  <c r="G471" i="2"/>
  <c r="D471" i="2"/>
  <c r="M470" i="2"/>
  <c r="H470" i="2"/>
  <c r="G470" i="2"/>
  <c r="D470" i="2"/>
  <c r="N469" i="2"/>
  <c r="M469" i="2"/>
  <c r="L469" i="2"/>
  <c r="H469" i="2"/>
  <c r="G469" i="2"/>
  <c r="D469" i="2"/>
  <c r="O468" i="2"/>
  <c r="N468" i="2"/>
  <c r="L468" i="2"/>
  <c r="H468" i="2"/>
  <c r="G468" i="2"/>
  <c r="D468" i="2"/>
  <c r="O467" i="2"/>
  <c r="M467" i="2"/>
  <c r="L467" i="2"/>
  <c r="H467" i="2"/>
  <c r="G467" i="2"/>
  <c r="D467" i="2"/>
  <c r="N466" i="2"/>
  <c r="H466" i="2"/>
  <c r="G466" i="2"/>
  <c r="D466" i="2"/>
  <c r="N465" i="2"/>
  <c r="M465" i="2"/>
  <c r="L465" i="2"/>
  <c r="H465" i="2"/>
  <c r="G465" i="2"/>
  <c r="D465" i="2"/>
  <c r="O464" i="2"/>
  <c r="L464" i="2"/>
  <c r="H464" i="2"/>
  <c r="G464" i="2"/>
  <c r="D464" i="2"/>
  <c r="M463" i="2"/>
  <c r="H463" i="2"/>
  <c r="G463" i="2"/>
  <c r="D463" i="2"/>
  <c r="O462" i="2"/>
  <c r="N462" i="2"/>
  <c r="L462" i="2"/>
  <c r="H462" i="2"/>
  <c r="G462" i="2"/>
  <c r="D462" i="2"/>
  <c r="O461" i="2"/>
  <c r="M461" i="2"/>
  <c r="L461" i="2"/>
  <c r="H461" i="2"/>
  <c r="G461" i="2"/>
  <c r="D461" i="2"/>
  <c r="M460" i="2"/>
  <c r="H460" i="2"/>
  <c r="G460" i="2"/>
  <c r="D460" i="2"/>
  <c r="O459" i="2"/>
  <c r="N459" i="2"/>
  <c r="H459" i="2"/>
  <c r="G459" i="2"/>
  <c r="D459" i="2"/>
  <c r="O458" i="2"/>
  <c r="M458" i="2"/>
  <c r="L458" i="2"/>
  <c r="H458" i="2"/>
  <c r="G458" i="2"/>
  <c r="D458" i="2"/>
  <c r="N457" i="2"/>
  <c r="M457" i="2"/>
  <c r="H457" i="2"/>
  <c r="G457" i="2"/>
  <c r="D457" i="2"/>
  <c r="O456" i="2"/>
  <c r="L456" i="2"/>
  <c r="H456" i="2"/>
  <c r="G456" i="2"/>
  <c r="D456" i="2"/>
  <c r="O455" i="2"/>
  <c r="N455" i="2"/>
  <c r="M455" i="2"/>
  <c r="L455" i="2"/>
  <c r="H455" i="2"/>
  <c r="G455" i="2"/>
  <c r="D455" i="2"/>
  <c r="N454" i="2"/>
  <c r="M454" i="2"/>
  <c r="H454" i="2"/>
  <c r="G454" i="2"/>
  <c r="D454" i="2"/>
  <c r="O453" i="2"/>
  <c r="L453" i="2"/>
  <c r="H453" i="2"/>
  <c r="G453" i="2"/>
  <c r="D453" i="2"/>
  <c r="M452" i="2"/>
  <c r="L452" i="2"/>
  <c r="H452" i="2"/>
  <c r="G452" i="2"/>
  <c r="D452" i="2"/>
  <c r="O451" i="2"/>
  <c r="N451" i="2"/>
  <c r="M451" i="2"/>
  <c r="H451" i="2"/>
  <c r="G451" i="2"/>
  <c r="D451" i="2"/>
  <c r="O450" i="2"/>
  <c r="N450" i="2"/>
  <c r="L450" i="2"/>
  <c r="H450" i="2"/>
  <c r="G450" i="2"/>
  <c r="D450" i="2"/>
  <c r="O449" i="2"/>
  <c r="M449" i="2"/>
  <c r="H449" i="2"/>
  <c r="G449" i="2"/>
  <c r="D449" i="2"/>
  <c r="N448" i="2"/>
  <c r="M448" i="2"/>
  <c r="L448" i="2"/>
  <c r="H448" i="2"/>
  <c r="G448" i="2"/>
  <c r="D448" i="2"/>
  <c r="O447" i="2"/>
  <c r="L447" i="2"/>
  <c r="H447" i="2"/>
  <c r="G447" i="2"/>
  <c r="D447" i="2"/>
  <c r="M446" i="2"/>
  <c r="L446" i="2"/>
  <c r="H446" i="2"/>
  <c r="G446" i="2"/>
  <c r="D446" i="2"/>
  <c r="N445" i="2"/>
  <c r="L445" i="2"/>
  <c r="H445" i="2"/>
  <c r="G445" i="2"/>
  <c r="D445" i="2"/>
  <c r="O444" i="2"/>
  <c r="M444" i="2"/>
  <c r="L444" i="2"/>
  <c r="H444" i="2"/>
  <c r="G444" i="2"/>
  <c r="D444" i="2"/>
  <c r="M443" i="2"/>
  <c r="L443" i="2"/>
  <c r="H443" i="2"/>
  <c r="G443" i="2"/>
  <c r="D443" i="2"/>
  <c r="N442" i="2"/>
  <c r="H442" i="2"/>
  <c r="G442" i="2"/>
  <c r="D442" i="2"/>
  <c r="O441" i="2"/>
  <c r="M441" i="2"/>
  <c r="L441" i="2"/>
  <c r="H441" i="2"/>
  <c r="G441" i="2"/>
  <c r="D441" i="2"/>
  <c r="O440" i="2"/>
  <c r="M440" i="2"/>
  <c r="H440" i="2"/>
  <c r="G440" i="2"/>
  <c r="D440" i="2"/>
  <c r="M439" i="2"/>
  <c r="H439" i="2"/>
  <c r="G439" i="2"/>
  <c r="D439" i="2"/>
  <c r="O438" i="2"/>
  <c r="N438" i="2"/>
  <c r="M438" i="2"/>
  <c r="L438" i="2"/>
  <c r="H438" i="2"/>
  <c r="G438" i="2"/>
  <c r="D438" i="2"/>
  <c r="N437" i="2"/>
  <c r="M437" i="2"/>
  <c r="H437" i="2"/>
  <c r="G437" i="2"/>
  <c r="D437" i="2"/>
  <c r="N436" i="2"/>
  <c r="H436" i="2"/>
  <c r="G436" i="2"/>
  <c r="D436" i="2"/>
  <c r="N435" i="2"/>
  <c r="L435" i="2"/>
  <c r="H435" i="2"/>
  <c r="G435" i="2"/>
  <c r="D435" i="2"/>
  <c r="O434" i="2"/>
  <c r="N434" i="2"/>
  <c r="M434" i="2"/>
  <c r="L434" i="2"/>
  <c r="H434" i="2"/>
  <c r="G434" i="2"/>
  <c r="D434" i="2"/>
  <c r="N433" i="2"/>
  <c r="M433" i="2"/>
  <c r="H433" i="2"/>
  <c r="G433" i="2"/>
  <c r="D433" i="2"/>
  <c r="O432" i="2"/>
  <c r="N432" i="2"/>
  <c r="L432" i="2"/>
  <c r="H432" i="2"/>
  <c r="G432" i="2"/>
  <c r="D432" i="2"/>
  <c r="M431" i="2"/>
  <c r="H431" i="2"/>
  <c r="G431" i="2"/>
  <c r="D431" i="2"/>
  <c r="O430" i="2"/>
  <c r="N430" i="2"/>
  <c r="M430" i="2"/>
  <c r="H430" i="2"/>
  <c r="G430" i="2"/>
  <c r="D430" i="2"/>
  <c r="O429" i="2"/>
  <c r="H429" i="2"/>
  <c r="G429" i="2"/>
  <c r="D429" i="2"/>
  <c r="O428" i="2"/>
  <c r="M428" i="2"/>
  <c r="L428" i="2"/>
  <c r="H428" i="2"/>
  <c r="G428" i="2"/>
  <c r="D428" i="2"/>
  <c r="O427" i="2"/>
  <c r="N427" i="2"/>
  <c r="H427" i="2"/>
  <c r="G427" i="2"/>
  <c r="D427" i="2"/>
  <c r="O426" i="2"/>
  <c r="N426" i="2"/>
  <c r="L426" i="2"/>
  <c r="H426" i="2"/>
  <c r="G426" i="2"/>
  <c r="D426" i="2"/>
  <c r="O425" i="2"/>
  <c r="L425" i="2"/>
  <c r="H425" i="2"/>
  <c r="G425" i="2"/>
  <c r="D425" i="2"/>
  <c r="O424" i="2"/>
  <c r="N424" i="2"/>
  <c r="M424" i="2"/>
  <c r="L424" i="2"/>
  <c r="H424" i="2"/>
  <c r="G424" i="2"/>
  <c r="D424" i="2"/>
  <c r="N423" i="2"/>
  <c r="L423" i="2"/>
  <c r="H423" i="2"/>
  <c r="G423" i="2"/>
  <c r="D423" i="2"/>
  <c r="O422" i="2"/>
  <c r="M422" i="2"/>
  <c r="L422" i="2"/>
  <c r="H422" i="2"/>
  <c r="G422" i="2"/>
  <c r="D422" i="2"/>
  <c r="M421" i="2"/>
  <c r="L421" i="2"/>
  <c r="H421" i="2"/>
  <c r="G421" i="2"/>
  <c r="D421" i="2"/>
  <c r="O420" i="2"/>
  <c r="N420" i="2"/>
  <c r="M420" i="2"/>
  <c r="H420" i="2"/>
  <c r="G420" i="2"/>
  <c r="D420" i="2"/>
  <c r="O419" i="2"/>
  <c r="L419" i="2"/>
  <c r="H419" i="2"/>
  <c r="G419" i="2"/>
  <c r="D419" i="2"/>
  <c r="N418" i="2"/>
  <c r="M418" i="2"/>
  <c r="H418" i="2"/>
  <c r="G418" i="2"/>
  <c r="D418" i="2"/>
  <c r="N417" i="2"/>
  <c r="M417" i="2"/>
  <c r="L417" i="2"/>
  <c r="H417" i="2"/>
  <c r="G417" i="2"/>
  <c r="D417" i="2"/>
  <c r="O416" i="2"/>
  <c r="M416" i="2"/>
  <c r="H416" i="2"/>
  <c r="G416" i="2"/>
  <c r="D416" i="2"/>
  <c r="N415" i="2"/>
  <c r="M415" i="2"/>
  <c r="H415" i="2"/>
  <c r="G415" i="2"/>
  <c r="D415" i="2"/>
  <c r="O414" i="2"/>
  <c r="M414" i="2"/>
  <c r="H414" i="2"/>
  <c r="G414" i="2"/>
  <c r="D414" i="2"/>
  <c r="O413" i="2"/>
  <c r="N413" i="2"/>
  <c r="M413" i="2"/>
  <c r="L413" i="2"/>
  <c r="H413" i="2"/>
  <c r="G413" i="2"/>
  <c r="D413" i="2"/>
  <c r="H412" i="2"/>
  <c r="G412" i="2"/>
  <c r="D412" i="2"/>
  <c r="O411" i="2"/>
  <c r="N411" i="2"/>
  <c r="L411" i="2"/>
  <c r="H411" i="2"/>
  <c r="G411" i="2"/>
  <c r="D411" i="2"/>
  <c r="O410" i="2"/>
  <c r="N410" i="2"/>
  <c r="H410" i="2"/>
  <c r="G410" i="2"/>
  <c r="D410" i="2"/>
  <c r="N409" i="2"/>
  <c r="M409" i="2"/>
  <c r="H409" i="2"/>
  <c r="G409" i="2"/>
  <c r="D409" i="2"/>
  <c r="O408" i="2"/>
  <c r="N408" i="2"/>
  <c r="H408" i="2"/>
  <c r="G408" i="2"/>
  <c r="D408" i="2"/>
  <c r="O407" i="2"/>
  <c r="N407" i="2"/>
  <c r="M407" i="2"/>
  <c r="L407" i="2"/>
  <c r="H407" i="2"/>
  <c r="G407" i="2"/>
  <c r="D407" i="2"/>
  <c r="M406" i="2"/>
  <c r="H406" i="2"/>
  <c r="G406" i="2"/>
  <c r="D406" i="2"/>
  <c r="O405" i="2"/>
  <c r="N405" i="2"/>
  <c r="L405" i="2"/>
  <c r="H405" i="2"/>
  <c r="G405" i="2"/>
  <c r="D405" i="2"/>
  <c r="O404" i="2"/>
  <c r="L404" i="2"/>
  <c r="H404" i="2"/>
  <c r="G404" i="2"/>
  <c r="D404" i="2"/>
  <c r="O403" i="2"/>
  <c r="N403" i="2"/>
  <c r="M403" i="2"/>
  <c r="L403" i="2"/>
  <c r="H403" i="2"/>
  <c r="G403" i="2"/>
  <c r="D403" i="2"/>
  <c r="N402" i="2"/>
  <c r="H402" i="2"/>
  <c r="G402" i="2"/>
  <c r="D402" i="2"/>
  <c r="O401" i="2"/>
  <c r="M401" i="2"/>
  <c r="L401" i="2"/>
  <c r="H401" i="2"/>
  <c r="G401" i="2"/>
  <c r="D401" i="2"/>
  <c r="N400" i="2"/>
  <c r="M400" i="2"/>
  <c r="H400" i="2"/>
  <c r="F86" i="1" s="1"/>
  <c r="G400" i="2"/>
  <c r="E86" i="1" s="1"/>
  <c r="D400" i="2"/>
  <c r="N399" i="2"/>
  <c r="L399" i="2"/>
  <c r="H399" i="2"/>
  <c r="G399" i="2"/>
  <c r="D399" i="2"/>
  <c r="O398" i="2"/>
  <c r="M398" i="2"/>
  <c r="H398" i="2"/>
  <c r="G398" i="2"/>
  <c r="D398" i="2"/>
  <c r="N397" i="2"/>
  <c r="L397" i="2"/>
  <c r="H397" i="2"/>
  <c r="G397" i="2"/>
  <c r="D397" i="2"/>
  <c r="O396" i="2"/>
  <c r="N396" i="2"/>
  <c r="L396" i="2"/>
  <c r="H396" i="2"/>
  <c r="G396" i="2"/>
  <c r="D396" i="2"/>
  <c r="O395" i="2"/>
  <c r="L395" i="2"/>
  <c r="H395" i="2"/>
  <c r="G395" i="2"/>
  <c r="D395" i="2"/>
  <c r="N394" i="2"/>
  <c r="H394" i="2"/>
  <c r="G394" i="2"/>
  <c r="D394" i="2"/>
  <c r="N393" i="2"/>
  <c r="M393" i="2"/>
  <c r="H393" i="2"/>
  <c r="G393" i="2"/>
  <c r="D393" i="2"/>
  <c r="O392" i="2"/>
  <c r="L392" i="2"/>
  <c r="H392" i="2"/>
  <c r="F85" i="1" s="1"/>
  <c r="G392" i="2"/>
  <c r="E85" i="1" s="1"/>
  <c r="D392" i="2"/>
  <c r="N391" i="2"/>
  <c r="M391" i="2"/>
  <c r="H391" i="2"/>
  <c r="G391" i="2"/>
  <c r="D391" i="2"/>
  <c r="O390" i="2"/>
  <c r="N390" i="2"/>
  <c r="L390" i="2"/>
  <c r="H390" i="2"/>
  <c r="G390" i="2"/>
  <c r="D390" i="2"/>
  <c r="O389" i="2"/>
  <c r="M389" i="2"/>
  <c r="L389" i="2"/>
  <c r="H389" i="2"/>
  <c r="G389" i="2"/>
  <c r="D389" i="2"/>
  <c r="N388" i="2"/>
  <c r="M388" i="2"/>
  <c r="H388" i="2"/>
  <c r="G388" i="2"/>
  <c r="D388" i="2"/>
  <c r="O387" i="2"/>
  <c r="N387" i="2"/>
  <c r="L387" i="2"/>
  <c r="H387" i="2"/>
  <c r="G387" i="2"/>
  <c r="D387" i="2"/>
  <c r="N386" i="2"/>
  <c r="M386" i="2"/>
  <c r="L386" i="2"/>
  <c r="H386" i="2"/>
  <c r="G386" i="2"/>
  <c r="D386" i="2"/>
  <c r="N385" i="2"/>
  <c r="H385" i="2"/>
  <c r="G385" i="2"/>
  <c r="D385" i="2"/>
  <c r="O384" i="2"/>
  <c r="N384" i="2"/>
  <c r="L384" i="2"/>
  <c r="H384" i="2"/>
  <c r="G384" i="2"/>
  <c r="D384" i="2"/>
  <c r="O383" i="2"/>
  <c r="N383" i="2"/>
  <c r="L383" i="2"/>
  <c r="H383" i="2"/>
  <c r="G383" i="2"/>
  <c r="D383" i="2"/>
  <c r="O382" i="2"/>
  <c r="N382" i="2"/>
  <c r="M382" i="2"/>
  <c r="H382" i="2"/>
  <c r="G382" i="2"/>
  <c r="D382" i="2"/>
  <c r="O381" i="2"/>
  <c r="L381" i="2"/>
  <c r="H381" i="2"/>
  <c r="G381" i="2"/>
  <c r="D381" i="2"/>
  <c r="M380" i="2"/>
  <c r="L380" i="2"/>
  <c r="H380" i="2"/>
  <c r="G380" i="2"/>
  <c r="D380" i="2"/>
  <c r="O379" i="2"/>
  <c r="M379" i="2"/>
  <c r="L379" i="2"/>
  <c r="H379" i="2"/>
  <c r="G379" i="2"/>
  <c r="D379" i="2"/>
  <c r="N378" i="2"/>
  <c r="M378" i="2"/>
  <c r="L378" i="2"/>
  <c r="H378" i="2"/>
  <c r="G378" i="2"/>
  <c r="D378" i="2"/>
  <c r="O377" i="2"/>
  <c r="M377" i="2"/>
  <c r="H377" i="2"/>
  <c r="G377" i="2"/>
  <c r="D377" i="2"/>
  <c r="N376" i="2"/>
  <c r="M376" i="2"/>
  <c r="L376" i="2"/>
  <c r="H376" i="2"/>
  <c r="G376" i="2"/>
  <c r="D376" i="2"/>
  <c r="O375" i="2"/>
  <c r="L375" i="2"/>
  <c r="H375" i="2"/>
  <c r="G375" i="2"/>
  <c r="D375" i="2"/>
  <c r="M374" i="2"/>
  <c r="L374" i="2"/>
  <c r="H374" i="2"/>
  <c r="G374" i="2"/>
  <c r="D374" i="2"/>
  <c r="N373" i="2"/>
  <c r="L373" i="2"/>
  <c r="H373" i="2"/>
  <c r="G373" i="2"/>
  <c r="D373" i="2"/>
  <c r="O372" i="2"/>
  <c r="M372" i="2"/>
  <c r="L372" i="2"/>
  <c r="H372" i="2"/>
  <c r="G372" i="2"/>
  <c r="D372" i="2"/>
  <c r="N371" i="2"/>
  <c r="M371" i="2"/>
  <c r="L371" i="2"/>
  <c r="H371" i="2"/>
  <c r="G371" i="2"/>
  <c r="D371" i="2"/>
  <c r="M370" i="2"/>
  <c r="H370" i="2"/>
  <c r="G370" i="2"/>
  <c r="D370" i="2"/>
  <c r="N369" i="2"/>
  <c r="M369" i="2"/>
  <c r="L369" i="2"/>
  <c r="H369" i="2"/>
  <c r="G369" i="2"/>
  <c r="D369" i="2"/>
  <c r="O368" i="2"/>
  <c r="H368" i="2"/>
  <c r="G368" i="2"/>
  <c r="D368" i="2"/>
  <c r="N367" i="2"/>
  <c r="M367" i="2"/>
  <c r="H367" i="2"/>
  <c r="G367" i="2"/>
  <c r="D367" i="2"/>
  <c r="O366" i="2"/>
  <c r="N366" i="2"/>
  <c r="M366" i="2"/>
  <c r="H366" i="2"/>
  <c r="G366" i="2"/>
  <c r="D366" i="2"/>
  <c r="O365" i="2"/>
  <c r="N365" i="2"/>
  <c r="M365" i="2"/>
  <c r="L365" i="2"/>
  <c r="H365" i="2"/>
  <c r="G365" i="2"/>
  <c r="D365" i="2"/>
  <c r="O364" i="2"/>
  <c r="M364" i="2"/>
  <c r="H364" i="2"/>
  <c r="G364" i="2"/>
  <c r="D364" i="2"/>
  <c r="O363" i="2"/>
  <c r="N363" i="2"/>
  <c r="L363" i="2"/>
  <c r="H363" i="2"/>
  <c r="G363" i="2"/>
  <c r="D363" i="2"/>
  <c r="O362" i="2"/>
  <c r="M362" i="2"/>
  <c r="L362" i="2"/>
  <c r="H362" i="2"/>
  <c r="G362" i="2"/>
  <c r="D362" i="2"/>
  <c r="N361" i="2"/>
  <c r="M361" i="2"/>
  <c r="L361" i="2"/>
  <c r="H361" i="2"/>
  <c r="G361" i="2"/>
  <c r="D361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H358" i="2"/>
  <c r="G358" i="2"/>
  <c r="D358" i="2"/>
  <c r="O357" i="2"/>
  <c r="N357" i="2"/>
  <c r="L357" i="2"/>
  <c r="H357" i="2"/>
  <c r="G357" i="2"/>
  <c r="D357" i="2"/>
  <c r="O356" i="2"/>
  <c r="H356" i="2"/>
  <c r="G356" i="2"/>
  <c r="D356" i="2"/>
  <c r="O355" i="2"/>
  <c r="N355" i="2"/>
  <c r="M355" i="2"/>
  <c r="L355" i="2"/>
  <c r="H355" i="2"/>
  <c r="G355" i="2"/>
  <c r="D355" i="2"/>
  <c r="O354" i="2"/>
  <c r="M354" i="2"/>
  <c r="L354" i="2"/>
  <c r="H354" i="2"/>
  <c r="G354" i="2"/>
  <c r="D354" i="2"/>
  <c r="O353" i="2"/>
  <c r="M353" i="2"/>
  <c r="L353" i="2"/>
  <c r="H353" i="2"/>
  <c r="G353" i="2"/>
  <c r="D353" i="2"/>
  <c r="N352" i="2"/>
  <c r="L352" i="2"/>
  <c r="H352" i="2"/>
  <c r="G352" i="2"/>
  <c r="D352" i="2"/>
  <c r="O351" i="2"/>
  <c r="N351" i="2"/>
  <c r="H351" i="2"/>
  <c r="G351" i="2"/>
  <c r="D351" i="2"/>
  <c r="O350" i="2"/>
  <c r="M350" i="2"/>
  <c r="L350" i="2"/>
  <c r="H350" i="2"/>
  <c r="G350" i="2"/>
  <c r="D350" i="2"/>
  <c r="N349" i="2"/>
  <c r="M349" i="2"/>
  <c r="H349" i="2"/>
  <c r="G349" i="2"/>
  <c r="D349" i="2"/>
  <c r="O348" i="2"/>
  <c r="N348" i="2"/>
  <c r="M348" i="2"/>
  <c r="H348" i="2"/>
  <c r="G348" i="2"/>
  <c r="D348" i="2"/>
  <c r="O347" i="2"/>
  <c r="M347" i="2"/>
  <c r="L347" i="2"/>
  <c r="H347" i="2"/>
  <c r="G347" i="2"/>
  <c r="D347" i="2"/>
  <c r="N346" i="2"/>
  <c r="M346" i="2"/>
  <c r="H346" i="2"/>
  <c r="G346" i="2"/>
  <c r="D346" i="2"/>
  <c r="M345" i="2"/>
  <c r="L345" i="2"/>
  <c r="H345" i="2"/>
  <c r="G345" i="2"/>
  <c r="D345" i="2"/>
  <c r="O344" i="2"/>
  <c r="M344" i="2"/>
  <c r="L344" i="2"/>
  <c r="H344" i="2"/>
  <c r="G344" i="2"/>
  <c r="D344" i="2"/>
  <c r="H343" i="2"/>
  <c r="G343" i="2"/>
  <c r="D343" i="2"/>
  <c r="O342" i="2"/>
  <c r="N342" i="2"/>
  <c r="M342" i="2"/>
  <c r="L342" i="2"/>
  <c r="H342" i="2"/>
  <c r="G342" i="2"/>
  <c r="D342" i="2"/>
  <c r="N341" i="2"/>
  <c r="H341" i="2"/>
  <c r="G341" i="2"/>
  <c r="D341" i="2"/>
  <c r="O340" i="2"/>
  <c r="N340" i="2"/>
  <c r="M340" i="2"/>
  <c r="H340" i="2"/>
  <c r="G340" i="2"/>
  <c r="D340" i="2"/>
  <c r="O339" i="2"/>
  <c r="N339" i="2"/>
  <c r="H339" i="2"/>
  <c r="G339" i="2"/>
  <c r="D339" i="2"/>
  <c r="O338" i="2"/>
  <c r="N338" i="2"/>
  <c r="M338" i="2"/>
  <c r="L338" i="2"/>
  <c r="H338" i="2"/>
  <c r="G338" i="2"/>
  <c r="D338" i="2"/>
  <c r="N337" i="2"/>
  <c r="L337" i="2"/>
  <c r="H337" i="2"/>
  <c r="G337" i="2"/>
  <c r="D337" i="2"/>
  <c r="O336" i="2"/>
  <c r="N336" i="2"/>
  <c r="L336" i="2"/>
  <c r="H336" i="2"/>
  <c r="F82" i="1" s="1"/>
  <c r="G336" i="2"/>
  <c r="E82" i="1" s="1"/>
  <c r="D336" i="2"/>
  <c r="M335" i="2"/>
  <c r="L335" i="2"/>
  <c r="H335" i="2"/>
  <c r="G335" i="2"/>
  <c r="D335" i="2"/>
  <c r="O334" i="2"/>
  <c r="N334" i="2"/>
  <c r="M334" i="2"/>
  <c r="H334" i="2"/>
  <c r="F81" i="1" s="1"/>
  <c r="G334" i="2"/>
  <c r="E81" i="1" s="1"/>
  <c r="D334" i="2"/>
  <c r="N333" i="2"/>
  <c r="L333" i="2"/>
  <c r="H333" i="2"/>
  <c r="G333" i="2"/>
  <c r="D333" i="2"/>
  <c r="O332" i="2"/>
  <c r="M332" i="2"/>
  <c r="L332" i="2"/>
  <c r="H332" i="2"/>
  <c r="G332" i="2"/>
  <c r="D332" i="2"/>
  <c r="N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M329" i="2"/>
  <c r="L329" i="2"/>
  <c r="H329" i="2"/>
  <c r="G329" i="2"/>
  <c r="D329" i="2"/>
  <c r="O328" i="2"/>
  <c r="M328" i="2"/>
  <c r="L328" i="2"/>
  <c r="H328" i="2"/>
  <c r="G328" i="2"/>
  <c r="D328" i="2"/>
  <c r="N327" i="2"/>
  <c r="L327" i="2"/>
  <c r="H327" i="2"/>
  <c r="G327" i="2"/>
  <c r="D327" i="2"/>
  <c r="O326" i="2"/>
  <c r="M326" i="2"/>
  <c r="L326" i="2"/>
  <c r="H326" i="2"/>
  <c r="G326" i="2"/>
  <c r="D326" i="2"/>
  <c r="N325" i="2"/>
  <c r="M325" i="2"/>
  <c r="L325" i="2"/>
  <c r="H325" i="2"/>
  <c r="G325" i="2"/>
  <c r="D325" i="2"/>
  <c r="N324" i="2"/>
  <c r="M324" i="2"/>
  <c r="H324" i="2"/>
  <c r="G324" i="2"/>
  <c r="D324" i="2"/>
  <c r="O323" i="2"/>
  <c r="M323" i="2"/>
  <c r="L323" i="2"/>
  <c r="H323" i="2"/>
  <c r="G323" i="2"/>
  <c r="D323" i="2"/>
  <c r="N322" i="2"/>
  <c r="H322" i="2"/>
  <c r="G322" i="2"/>
  <c r="D322" i="2"/>
  <c r="O321" i="2"/>
  <c r="N321" i="2"/>
  <c r="M321" i="2"/>
  <c r="L321" i="2"/>
  <c r="H321" i="2"/>
  <c r="G321" i="2"/>
  <c r="D321" i="2"/>
  <c r="O320" i="2"/>
  <c r="M320" i="2"/>
  <c r="L320" i="2"/>
  <c r="H320" i="2"/>
  <c r="G320" i="2"/>
  <c r="D320" i="2"/>
  <c r="N319" i="2"/>
  <c r="H319" i="2"/>
  <c r="G319" i="2"/>
  <c r="D319" i="2"/>
  <c r="O318" i="2"/>
  <c r="M318" i="2"/>
  <c r="L318" i="2"/>
  <c r="H318" i="2"/>
  <c r="G318" i="2"/>
  <c r="D318" i="2"/>
  <c r="O317" i="2"/>
  <c r="N317" i="2"/>
  <c r="M317" i="2"/>
  <c r="H317" i="2"/>
  <c r="G317" i="2"/>
  <c r="D317" i="2"/>
  <c r="O316" i="2"/>
  <c r="N316" i="2"/>
  <c r="M316" i="2"/>
  <c r="H316" i="2"/>
  <c r="G316" i="2"/>
  <c r="D316" i="2"/>
  <c r="O315" i="2"/>
  <c r="N315" i="2"/>
  <c r="H315" i="2"/>
  <c r="G315" i="2"/>
  <c r="D315" i="2"/>
  <c r="O314" i="2"/>
  <c r="N314" i="2"/>
  <c r="M314" i="2"/>
  <c r="L314" i="2"/>
  <c r="H314" i="2"/>
  <c r="G314" i="2"/>
  <c r="D314" i="2"/>
  <c r="O313" i="2"/>
  <c r="M313" i="2"/>
  <c r="L313" i="2"/>
  <c r="H313" i="2"/>
  <c r="G313" i="2"/>
  <c r="D313" i="2"/>
  <c r="O312" i="2"/>
  <c r="N312" i="2"/>
  <c r="L312" i="2"/>
  <c r="H312" i="2"/>
  <c r="G312" i="2"/>
  <c r="D312" i="2"/>
  <c r="O311" i="2"/>
  <c r="M311" i="2"/>
  <c r="H311" i="2"/>
  <c r="G311" i="2"/>
  <c r="D311" i="2"/>
  <c r="O310" i="2"/>
  <c r="N310" i="2"/>
  <c r="M310" i="2"/>
  <c r="L310" i="2"/>
  <c r="H310" i="2"/>
  <c r="G310" i="2"/>
  <c r="D310" i="2"/>
  <c r="O309" i="2"/>
  <c r="L309" i="2"/>
  <c r="H309" i="2"/>
  <c r="G309" i="2"/>
  <c r="D309" i="2"/>
  <c r="O308" i="2"/>
  <c r="M308" i="2"/>
  <c r="L308" i="2"/>
  <c r="H308" i="2"/>
  <c r="G308" i="2"/>
  <c r="D308" i="2"/>
  <c r="O307" i="2"/>
  <c r="L307" i="2"/>
  <c r="H307" i="2"/>
  <c r="G307" i="2"/>
  <c r="D307" i="2"/>
  <c r="O306" i="2"/>
  <c r="N306" i="2"/>
  <c r="M306" i="2"/>
  <c r="H306" i="2"/>
  <c r="G306" i="2"/>
  <c r="D306" i="2"/>
  <c r="O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N303" i="2"/>
  <c r="M303" i="2"/>
  <c r="H303" i="2"/>
  <c r="G303" i="2"/>
  <c r="D303" i="2"/>
  <c r="M302" i="2"/>
  <c r="L302" i="2"/>
  <c r="H302" i="2"/>
  <c r="G302" i="2"/>
  <c r="D302" i="2"/>
  <c r="N301" i="2"/>
  <c r="M301" i="2"/>
  <c r="L301" i="2"/>
  <c r="H301" i="2"/>
  <c r="G301" i="2"/>
  <c r="D301" i="2"/>
  <c r="O300" i="2"/>
  <c r="N300" i="2"/>
  <c r="M300" i="2"/>
  <c r="H300" i="2"/>
  <c r="G300" i="2"/>
  <c r="D300" i="2"/>
  <c r="N299" i="2"/>
  <c r="M299" i="2"/>
  <c r="H299" i="2"/>
  <c r="G299" i="2"/>
  <c r="D299" i="2"/>
  <c r="N298" i="2"/>
  <c r="H298" i="2"/>
  <c r="G298" i="2"/>
  <c r="D298" i="2"/>
  <c r="O297" i="2"/>
  <c r="N297" i="2"/>
  <c r="M297" i="2"/>
  <c r="L297" i="2"/>
  <c r="H297" i="2"/>
  <c r="F78" i="1" s="1"/>
  <c r="G297" i="2"/>
  <c r="E78" i="1" s="1"/>
  <c r="D297" i="2"/>
  <c r="O296" i="2"/>
  <c r="M296" i="2"/>
  <c r="L296" i="2"/>
  <c r="H296" i="2"/>
  <c r="F77" i="1" s="1"/>
  <c r="G296" i="2"/>
  <c r="E77" i="1" s="1"/>
  <c r="D296" i="2"/>
  <c r="M295" i="2"/>
  <c r="H295" i="2"/>
  <c r="G295" i="2"/>
  <c r="D295" i="2"/>
  <c r="O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H292" i="2"/>
  <c r="G292" i="2"/>
  <c r="D292" i="2"/>
  <c r="N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H289" i="2"/>
  <c r="G289" i="2"/>
  <c r="D289" i="2"/>
  <c r="O288" i="2"/>
  <c r="N288" i="2"/>
  <c r="L288" i="2"/>
  <c r="H288" i="2"/>
  <c r="G288" i="2"/>
  <c r="D288" i="2"/>
  <c r="N287" i="2"/>
  <c r="M287" i="2"/>
  <c r="H287" i="2"/>
  <c r="G287" i="2"/>
  <c r="D287" i="2"/>
  <c r="O286" i="2"/>
  <c r="N286" i="2"/>
  <c r="M286" i="2"/>
  <c r="L286" i="2"/>
  <c r="H286" i="2"/>
  <c r="G286" i="2"/>
  <c r="D286" i="2"/>
  <c r="O285" i="2"/>
  <c r="L285" i="2"/>
  <c r="H285" i="2"/>
  <c r="G285" i="2"/>
  <c r="D285" i="2"/>
  <c r="O284" i="2"/>
  <c r="M284" i="2"/>
  <c r="L284" i="2"/>
  <c r="H284" i="2"/>
  <c r="G284" i="2"/>
  <c r="D284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M281" i="2"/>
  <c r="L281" i="2"/>
  <c r="H281" i="2"/>
  <c r="G281" i="2"/>
  <c r="D281" i="2"/>
  <c r="O280" i="2"/>
  <c r="N280" i="2"/>
  <c r="L280" i="2"/>
  <c r="H280" i="2"/>
  <c r="G280" i="2"/>
  <c r="D280" i="2"/>
  <c r="O279" i="2"/>
  <c r="N279" i="2"/>
  <c r="L279" i="2"/>
  <c r="H279" i="2"/>
  <c r="G279" i="2"/>
  <c r="D279" i="2"/>
  <c r="O278" i="2"/>
  <c r="M278" i="2"/>
  <c r="L278" i="2"/>
  <c r="H278" i="2"/>
  <c r="G278" i="2"/>
  <c r="D278" i="2"/>
  <c r="N277" i="2"/>
  <c r="M277" i="2"/>
  <c r="L277" i="2"/>
  <c r="H277" i="2"/>
  <c r="G277" i="2"/>
  <c r="D277" i="2"/>
  <c r="N276" i="2"/>
  <c r="M276" i="2"/>
  <c r="H276" i="2"/>
  <c r="G276" i="2"/>
  <c r="D276" i="2"/>
  <c r="O275" i="2"/>
  <c r="N275" i="2"/>
  <c r="L275" i="2"/>
  <c r="H275" i="2"/>
  <c r="G275" i="2"/>
  <c r="D275" i="2"/>
  <c r="N274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M272" i="2"/>
  <c r="L272" i="2"/>
  <c r="H272" i="2"/>
  <c r="G272" i="2"/>
  <c r="D272" i="2"/>
  <c r="N271" i="2"/>
  <c r="M271" i="2"/>
  <c r="H271" i="2"/>
  <c r="G271" i="2"/>
  <c r="D271" i="2"/>
  <c r="O270" i="2"/>
  <c r="M270" i="2"/>
  <c r="L270" i="2"/>
  <c r="H270" i="2"/>
  <c r="G270" i="2"/>
  <c r="D270" i="2"/>
  <c r="O269" i="2"/>
  <c r="N269" i="2"/>
  <c r="M269" i="2"/>
  <c r="H269" i="2"/>
  <c r="G269" i="2"/>
  <c r="D269" i="2"/>
  <c r="O268" i="2"/>
  <c r="N268" i="2"/>
  <c r="M268" i="2"/>
  <c r="H268" i="2"/>
  <c r="G268" i="2"/>
  <c r="D268" i="2"/>
  <c r="N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M265" i="2"/>
  <c r="L265" i="2"/>
  <c r="H265" i="2"/>
  <c r="G265" i="2"/>
  <c r="D265" i="2"/>
  <c r="O264" i="2"/>
  <c r="N264" i="2"/>
  <c r="L264" i="2"/>
  <c r="H264" i="2"/>
  <c r="G264" i="2"/>
  <c r="D264" i="2"/>
  <c r="O263" i="2"/>
  <c r="N263" i="2"/>
  <c r="H263" i="2"/>
  <c r="G263" i="2"/>
  <c r="D263" i="2"/>
  <c r="O262" i="2"/>
  <c r="N262" i="2"/>
  <c r="M262" i="2"/>
  <c r="L262" i="2"/>
  <c r="H262" i="2"/>
  <c r="G262" i="2"/>
  <c r="D262" i="2"/>
  <c r="O261" i="2"/>
  <c r="L261" i="2"/>
  <c r="H261" i="2"/>
  <c r="G261" i="2"/>
  <c r="D261" i="2"/>
  <c r="O260" i="2"/>
  <c r="M260" i="2"/>
  <c r="L260" i="2"/>
  <c r="H260" i="2"/>
  <c r="G260" i="2"/>
  <c r="D260" i="2"/>
  <c r="O259" i="2"/>
  <c r="M259" i="2"/>
  <c r="H259" i="2"/>
  <c r="G259" i="2"/>
  <c r="D259" i="2"/>
  <c r="O258" i="2"/>
  <c r="N258" i="2"/>
  <c r="M258" i="2"/>
  <c r="H258" i="2"/>
  <c r="G258" i="2"/>
  <c r="D258" i="2"/>
  <c r="O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M255" i="2"/>
  <c r="L255" i="2"/>
  <c r="H255" i="2"/>
  <c r="G255" i="2"/>
  <c r="D255" i="2"/>
  <c r="M254" i="2"/>
  <c r="L254" i="2"/>
  <c r="H254" i="2"/>
  <c r="G254" i="2"/>
  <c r="D254" i="2"/>
  <c r="N253" i="2"/>
  <c r="M253" i="2"/>
  <c r="L253" i="2"/>
  <c r="H253" i="2"/>
  <c r="G253" i="2"/>
  <c r="D253" i="2"/>
  <c r="O252" i="2"/>
  <c r="N252" i="2"/>
  <c r="M252" i="2"/>
  <c r="H252" i="2"/>
  <c r="G252" i="2"/>
  <c r="D252" i="2"/>
  <c r="O251" i="2"/>
  <c r="M251" i="2"/>
  <c r="L251" i="2"/>
  <c r="H251" i="2"/>
  <c r="G251" i="2"/>
  <c r="D251" i="2"/>
  <c r="N250" i="2"/>
  <c r="H250" i="2"/>
  <c r="G250" i="2"/>
  <c r="D250" i="2"/>
  <c r="O249" i="2"/>
  <c r="N249" i="2"/>
  <c r="M249" i="2"/>
  <c r="L249" i="2"/>
  <c r="H249" i="2"/>
  <c r="G249" i="2"/>
  <c r="D249" i="2"/>
  <c r="O248" i="2"/>
  <c r="M248" i="2"/>
  <c r="L248" i="2"/>
  <c r="H248" i="2"/>
  <c r="G248" i="2"/>
  <c r="D248" i="2"/>
  <c r="N247" i="2"/>
  <c r="H247" i="2"/>
  <c r="G247" i="2"/>
  <c r="D247" i="2"/>
  <c r="O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H244" i="2"/>
  <c r="G244" i="2"/>
  <c r="D244" i="2"/>
  <c r="O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L240" i="2"/>
  <c r="H240" i="2"/>
  <c r="G240" i="2"/>
  <c r="D240" i="2"/>
  <c r="M239" i="2"/>
  <c r="H239" i="2"/>
  <c r="G239" i="2"/>
  <c r="D239" i="2"/>
  <c r="O238" i="2"/>
  <c r="N238" i="2"/>
  <c r="M238" i="2"/>
  <c r="L238" i="2"/>
  <c r="H238" i="2"/>
  <c r="G238" i="2"/>
  <c r="D238" i="2"/>
  <c r="O237" i="2"/>
  <c r="L237" i="2"/>
  <c r="H237" i="2"/>
  <c r="G237" i="2"/>
  <c r="D237" i="2"/>
  <c r="O236" i="2"/>
  <c r="M236" i="2"/>
  <c r="L236" i="2"/>
  <c r="H236" i="2"/>
  <c r="G236" i="2"/>
  <c r="D236" i="2"/>
  <c r="O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M233" i="2"/>
  <c r="L233" i="2"/>
  <c r="H233" i="2"/>
  <c r="G233" i="2"/>
  <c r="D233" i="2"/>
  <c r="O232" i="2"/>
  <c r="N232" i="2"/>
  <c r="L232" i="2"/>
  <c r="H232" i="2"/>
  <c r="G232" i="2"/>
  <c r="D232" i="2"/>
  <c r="N231" i="2"/>
  <c r="M231" i="2"/>
  <c r="L231" i="2"/>
  <c r="H231" i="2"/>
  <c r="G231" i="2"/>
  <c r="D231" i="2"/>
  <c r="O230" i="2"/>
  <c r="M230" i="2"/>
  <c r="L230" i="2"/>
  <c r="H230" i="2"/>
  <c r="G230" i="2"/>
  <c r="D230" i="2"/>
  <c r="N229" i="2"/>
  <c r="M229" i="2"/>
  <c r="L229" i="2"/>
  <c r="H229" i="2"/>
  <c r="G229" i="2"/>
  <c r="D229" i="2"/>
  <c r="N228" i="2"/>
  <c r="M228" i="2"/>
  <c r="H228" i="2"/>
  <c r="G228" i="2"/>
  <c r="D228" i="2"/>
  <c r="N227" i="2"/>
  <c r="M227" i="2"/>
  <c r="L227" i="2"/>
  <c r="H227" i="2"/>
  <c r="G227" i="2"/>
  <c r="D227" i="2"/>
  <c r="N226" i="2"/>
  <c r="H226" i="2"/>
  <c r="G226" i="2"/>
  <c r="D226" i="2"/>
  <c r="O225" i="2"/>
  <c r="N225" i="2"/>
  <c r="M225" i="2"/>
  <c r="L225" i="2"/>
  <c r="H225" i="2"/>
  <c r="G225" i="2"/>
  <c r="D225" i="2"/>
  <c r="O224" i="2"/>
  <c r="M224" i="2"/>
  <c r="L224" i="2"/>
  <c r="H224" i="2"/>
  <c r="G224" i="2"/>
  <c r="D224" i="2"/>
  <c r="M223" i="2"/>
  <c r="H223" i="2"/>
  <c r="G223" i="2"/>
  <c r="D223" i="2"/>
  <c r="O222" i="2"/>
  <c r="M222" i="2"/>
  <c r="L222" i="2"/>
  <c r="H222" i="2"/>
  <c r="G222" i="2"/>
  <c r="D222" i="2"/>
  <c r="O221" i="2"/>
  <c r="N221" i="2"/>
  <c r="M221" i="2"/>
  <c r="H221" i="2"/>
  <c r="G221" i="2"/>
  <c r="D221" i="2"/>
  <c r="O220" i="2"/>
  <c r="N220" i="2"/>
  <c r="M220" i="2"/>
  <c r="H220" i="2"/>
  <c r="G220" i="2"/>
  <c r="D220" i="2"/>
  <c r="O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M217" i="2"/>
  <c r="L217" i="2"/>
  <c r="H217" i="2"/>
  <c r="G217" i="2"/>
  <c r="D217" i="2"/>
  <c r="O216" i="2"/>
  <c r="N216" i="2"/>
  <c r="L216" i="2"/>
  <c r="H216" i="2"/>
  <c r="G216" i="2"/>
  <c r="D216" i="2"/>
  <c r="N215" i="2"/>
  <c r="M215" i="2"/>
  <c r="H215" i="2"/>
  <c r="G215" i="2"/>
  <c r="D215" i="2"/>
  <c r="O214" i="2"/>
  <c r="N214" i="2"/>
  <c r="M214" i="2"/>
  <c r="L214" i="2"/>
  <c r="H214" i="2"/>
  <c r="G214" i="2"/>
  <c r="D214" i="2"/>
  <c r="O213" i="2"/>
  <c r="L213" i="2"/>
  <c r="H213" i="2"/>
  <c r="G213" i="2"/>
  <c r="D213" i="2"/>
  <c r="O212" i="2"/>
  <c r="M212" i="2"/>
  <c r="L212" i="2"/>
  <c r="H212" i="2"/>
  <c r="G212" i="2"/>
  <c r="D212" i="2"/>
  <c r="M211" i="2"/>
  <c r="L211" i="2"/>
  <c r="H211" i="2"/>
  <c r="G211" i="2"/>
  <c r="D211" i="2"/>
  <c r="O210" i="2"/>
  <c r="N210" i="2"/>
  <c r="M210" i="2"/>
  <c r="H210" i="2"/>
  <c r="G210" i="2"/>
  <c r="D210" i="2"/>
  <c r="O209" i="2"/>
  <c r="M209" i="2"/>
  <c r="L209" i="2"/>
  <c r="H209" i="2"/>
  <c r="G209" i="2"/>
  <c r="D209" i="2"/>
  <c r="O208" i="2"/>
  <c r="N208" i="2"/>
  <c r="M208" i="2"/>
  <c r="H208" i="2"/>
  <c r="G208" i="2"/>
  <c r="D208" i="2"/>
  <c r="O207" i="2"/>
  <c r="N207" i="2"/>
  <c r="M207" i="2"/>
  <c r="L207" i="2"/>
  <c r="H207" i="2"/>
  <c r="G207" i="2"/>
  <c r="D207" i="2"/>
  <c r="M206" i="2"/>
  <c r="L206" i="2"/>
  <c r="H206" i="2"/>
  <c r="G206" i="2"/>
  <c r="D206" i="2"/>
  <c r="N205" i="2"/>
  <c r="M205" i="2"/>
  <c r="L205" i="2"/>
  <c r="H205" i="2"/>
  <c r="G205" i="2"/>
  <c r="D205" i="2"/>
  <c r="O204" i="2"/>
  <c r="N204" i="2"/>
  <c r="H204" i="2"/>
  <c r="G204" i="2"/>
  <c r="D204" i="2"/>
  <c r="O203" i="2"/>
  <c r="N203" i="2"/>
  <c r="M203" i="2"/>
  <c r="L203" i="2"/>
  <c r="H203" i="2"/>
  <c r="G203" i="2"/>
  <c r="D203" i="2"/>
  <c r="N202" i="2"/>
  <c r="H202" i="2"/>
  <c r="G202" i="2"/>
  <c r="D202" i="2"/>
  <c r="O201" i="2"/>
  <c r="N201" i="2"/>
  <c r="M201" i="2"/>
  <c r="L201" i="2"/>
  <c r="H201" i="2"/>
  <c r="G201" i="2"/>
  <c r="D201" i="2"/>
  <c r="O200" i="2"/>
  <c r="M200" i="2"/>
  <c r="H200" i="2"/>
  <c r="G200" i="2"/>
  <c r="D200" i="2"/>
  <c r="N199" i="2"/>
  <c r="M199" i="2"/>
  <c r="H199" i="2"/>
  <c r="G199" i="2"/>
  <c r="D199" i="2"/>
  <c r="O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H196" i="2"/>
  <c r="G196" i="2"/>
  <c r="D196" i="2"/>
  <c r="O195" i="2"/>
  <c r="N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L192" i="2"/>
  <c r="H192" i="2"/>
  <c r="F58" i="1" s="1"/>
  <c r="G192" i="2"/>
  <c r="E58" i="1" s="1"/>
  <c r="D192" i="2"/>
  <c r="N191" i="2"/>
  <c r="M191" i="2"/>
  <c r="H191" i="2"/>
  <c r="G191" i="2"/>
  <c r="D191" i="2"/>
  <c r="O190" i="2"/>
  <c r="N190" i="2"/>
  <c r="M190" i="2"/>
  <c r="L190" i="2"/>
  <c r="H190" i="2"/>
  <c r="G190" i="2"/>
  <c r="D190" i="2"/>
  <c r="O189" i="2"/>
  <c r="L189" i="2"/>
  <c r="H189" i="2"/>
  <c r="G189" i="2"/>
  <c r="D189" i="2"/>
  <c r="O188" i="2"/>
  <c r="M188" i="2"/>
  <c r="H188" i="2"/>
  <c r="G188" i="2"/>
  <c r="D188" i="2"/>
  <c r="O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M185" i="2"/>
  <c r="L185" i="2"/>
  <c r="H185" i="2"/>
  <c r="G185" i="2"/>
  <c r="D185" i="2"/>
  <c r="O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H180" i="2"/>
  <c r="G180" i="2"/>
  <c r="D180" i="2"/>
  <c r="O179" i="2"/>
  <c r="N179" i="2"/>
  <c r="M179" i="2"/>
  <c r="L179" i="2"/>
  <c r="H179" i="2"/>
  <c r="G179" i="2"/>
  <c r="D179" i="2"/>
  <c r="M178" i="2"/>
  <c r="L178" i="2"/>
  <c r="H178" i="2"/>
  <c r="G178" i="2"/>
  <c r="D178" i="2"/>
  <c r="O177" i="2"/>
  <c r="N177" i="2"/>
  <c r="M177" i="2"/>
  <c r="H177" i="2"/>
  <c r="G177" i="2"/>
  <c r="D177" i="2"/>
  <c r="O176" i="2"/>
  <c r="N176" i="2"/>
  <c r="L176" i="2"/>
  <c r="H176" i="2"/>
  <c r="G176" i="2"/>
  <c r="D176" i="2"/>
  <c r="N175" i="2"/>
  <c r="M175" i="2"/>
  <c r="H175" i="2"/>
  <c r="G175" i="2"/>
  <c r="D175" i="2"/>
  <c r="O174" i="2"/>
  <c r="N174" i="2"/>
  <c r="M174" i="2"/>
  <c r="L174" i="2"/>
  <c r="H174" i="2"/>
  <c r="G174" i="2"/>
  <c r="D174" i="2"/>
  <c r="O173" i="2"/>
  <c r="M173" i="2"/>
  <c r="L173" i="2"/>
  <c r="H173" i="2"/>
  <c r="G173" i="2"/>
  <c r="D173" i="2"/>
  <c r="O172" i="2"/>
  <c r="M172" i="2"/>
  <c r="H172" i="2"/>
  <c r="G172" i="2"/>
  <c r="D172" i="2"/>
  <c r="O171" i="2"/>
  <c r="N171" i="2"/>
  <c r="M171" i="2"/>
  <c r="H171" i="2"/>
  <c r="G171" i="2"/>
  <c r="D171" i="2"/>
  <c r="O170" i="2"/>
  <c r="N170" i="2"/>
  <c r="M170" i="2"/>
  <c r="L170" i="2"/>
  <c r="H170" i="2"/>
  <c r="G170" i="2"/>
  <c r="D170" i="2"/>
  <c r="O169" i="2"/>
  <c r="M169" i="2"/>
  <c r="L169" i="2"/>
  <c r="H169" i="2"/>
  <c r="G169" i="2"/>
  <c r="D169" i="2"/>
  <c r="N168" i="2"/>
  <c r="L168" i="2"/>
  <c r="H168" i="2"/>
  <c r="G168" i="2"/>
  <c r="D168" i="2"/>
  <c r="N167" i="2"/>
  <c r="M167" i="2"/>
  <c r="L167" i="2"/>
  <c r="H167" i="2"/>
  <c r="G167" i="2"/>
  <c r="D167" i="2"/>
  <c r="O166" i="2"/>
  <c r="N166" i="2"/>
  <c r="L166" i="2"/>
  <c r="H166" i="2"/>
  <c r="G166" i="2"/>
  <c r="D166" i="2"/>
  <c r="O165" i="2"/>
  <c r="N165" i="2"/>
  <c r="L165" i="2"/>
  <c r="H165" i="2"/>
  <c r="G165" i="2"/>
  <c r="D165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L162" i="2"/>
  <c r="H162" i="2"/>
  <c r="F49" i="1" s="1"/>
  <c r="G162" i="2"/>
  <c r="E49" i="1" s="1"/>
  <c r="D162" i="2"/>
  <c r="O161" i="2"/>
  <c r="M161" i="2"/>
  <c r="L161" i="2"/>
  <c r="H161" i="2"/>
  <c r="G161" i="2"/>
  <c r="D161" i="2"/>
  <c r="O160" i="2"/>
  <c r="M160" i="2"/>
  <c r="L160" i="2"/>
  <c r="H160" i="2"/>
  <c r="G160" i="2"/>
  <c r="D160" i="2"/>
  <c r="O159" i="2"/>
  <c r="N159" i="2"/>
  <c r="M159" i="2"/>
  <c r="H159" i="2"/>
  <c r="G159" i="2"/>
  <c r="D159" i="2"/>
  <c r="O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N155" i="2"/>
  <c r="M155" i="2"/>
  <c r="H155" i="2"/>
  <c r="G155" i="2"/>
  <c r="D155" i="2"/>
  <c r="N154" i="2"/>
  <c r="M154" i="2"/>
  <c r="L154" i="2"/>
  <c r="H154" i="2"/>
  <c r="G154" i="2"/>
  <c r="D154" i="2"/>
  <c r="O153" i="2"/>
  <c r="N153" i="2"/>
  <c r="L153" i="2"/>
  <c r="H153" i="2"/>
  <c r="G153" i="2"/>
  <c r="D153" i="2"/>
  <c r="O152" i="2"/>
  <c r="N152" i="2"/>
  <c r="M152" i="2"/>
  <c r="L152" i="2"/>
  <c r="H152" i="2"/>
  <c r="G152" i="2"/>
  <c r="D152" i="2"/>
  <c r="M151" i="2"/>
  <c r="H151" i="2"/>
  <c r="G151" i="2"/>
  <c r="D151" i="2"/>
  <c r="O150" i="2"/>
  <c r="N150" i="2"/>
  <c r="M150" i="2"/>
  <c r="L150" i="2"/>
  <c r="H150" i="2"/>
  <c r="G150" i="2"/>
  <c r="D150" i="2"/>
  <c r="N149" i="2"/>
  <c r="M149" i="2"/>
  <c r="L149" i="2"/>
  <c r="H149" i="2"/>
  <c r="G149" i="2"/>
  <c r="D149" i="2"/>
  <c r="O148" i="2"/>
  <c r="N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L145" i="2"/>
  <c r="H145" i="2"/>
  <c r="G145" i="2"/>
  <c r="D145" i="2"/>
  <c r="O144" i="2"/>
  <c r="N144" i="2"/>
  <c r="H144" i="2"/>
  <c r="G144" i="2"/>
  <c r="D144" i="2"/>
  <c r="O143" i="2"/>
  <c r="N143" i="2"/>
  <c r="M143" i="2"/>
  <c r="L143" i="2"/>
  <c r="H143" i="2"/>
  <c r="G143" i="2"/>
  <c r="D143" i="2"/>
  <c r="O142" i="2"/>
  <c r="M142" i="2"/>
  <c r="L142" i="2"/>
  <c r="H142" i="2"/>
  <c r="G142" i="2"/>
  <c r="D142" i="2"/>
  <c r="O141" i="2"/>
  <c r="L141" i="2"/>
  <c r="H141" i="2"/>
  <c r="G141" i="2"/>
  <c r="D141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L135" i="2"/>
  <c r="H135" i="2"/>
  <c r="G135" i="2"/>
  <c r="D135" i="2"/>
  <c r="O134" i="2"/>
  <c r="M134" i="2"/>
  <c r="L134" i="2"/>
  <c r="H134" i="2"/>
  <c r="G134" i="2"/>
  <c r="D134" i="2"/>
  <c r="O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N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H128" i="2"/>
  <c r="G128" i="2"/>
  <c r="D128" i="2"/>
  <c r="N127" i="2"/>
  <c r="M127" i="2"/>
  <c r="H127" i="2"/>
  <c r="G127" i="2"/>
  <c r="D127" i="2"/>
  <c r="N126" i="2"/>
  <c r="M126" i="2"/>
  <c r="H126" i="2"/>
  <c r="G126" i="2"/>
  <c r="D126" i="2"/>
  <c r="O125" i="2"/>
  <c r="N125" i="2"/>
  <c r="M125" i="2"/>
  <c r="L125" i="2"/>
  <c r="H125" i="2"/>
  <c r="G125" i="2"/>
  <c r="D125" i="2"/>
  <c r="O124" i="2"/>
  <c r="M124" i="2"/>
  <c r="H124" i="2"/>
  <c r="G124" i="2"/>
  <c r="D124" i="2"/>
  <c r="O123" i="2"/>
  <c r="N123" i="2"/>
  <c r="M123" i="2"/>
  <c r="L123" i="2"/>
  <c r="H123" i="2"/>
  <c r="G123" i="2"/>
  <c r="D123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H117" i="2"/>
  <c r="G117" i="2"/>
  <c r="D117" i="2"/>
  <c r="O116" i="2"/>
  <c r="N116" i="2"/>
  <c r="M116" i="2"/>
  <c r="L116" i="2"/>
  <c r="H116" i="2"/>
  <c r="G116" i="2"/>
  <c r="D116" i="2"/>
  <c r="O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L108" i="2"/>
  <c r="H108" i="2"/>
  <c r="G108" i="2"/>
  <c r="D108" i="2"/>
  <c r="O107" i="2"/>
  <c r="N107" i="2"/>
  <c r="M107" i="2"/>
  <c r="L107" i="2"/>
  <c r="H107" i="2"/>
  <c r="G107" i="2"/>
  <c r="D107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N103" i="2"/>
  <c r="M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H100" i="2"/>
  <c r="G100" i="2"/>
  <c r="D100" i="2"/>
  <c r="O99" i="2"/>
  <c r="N99" i="2"/>
  <c r="M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L96" i="2"/>
  <c r="H96" i="2"/>
  <c r="G96" i="2"/>
  <c r="D96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M89" i="2"/>
  <c r="L89" i="2"/>
  <c r="H89" i="2"/>
  <c r="G89" i="2"/>
  <c r="D89" i="2"/>
  <c r="O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N82" i="2"/>
  <c r="M82" i="2"/>
  <c r="L82" i="2"/>
  <c r="H82" i="2"/>
  <c r="G82" i="2"/>
  <c r="D82" i="2"/>
  <c r="O81" i="2"/>
  <c r="N81" i="2"/>
  <c r="L81" i="2"/>
  <c r="H81" i="2"/>
  <c r="G81" i="2"/>
  <c r="D81" i="2"/>
  <c r="O80" i="2"/>
  <c r="N80" i="2"/>
  <c r="M80" i="2"/>
  <c r="L80" i="2"/>
  <c r="H80" i="2"/>
  <c r="G80" i="2"/>
  <c r="D80" i="2"/>
  <c r="N79" i="2"/>
  <c r="M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N77" i="2"/>
  <c r="M77" i="2"/>
  <c r="L77" i="2"/>
  <c r="H77" i="2"/>
  <c r="G77" i="2"/>
  <c r="D77" i="2"/>
  <c r="O76" i="2"/>
  <c r="N76" i="2"/>
  <c r="M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L72" i="2"/>
  <c r="H72" i="2"/>
  <c r="G72" i="2"/>
  <c r="D72" i="2"/>
  <c r="O71" i="2"/>
  <c r="N71" i="2"/>
  <c r="M71" i="2"/>
  <c r="L71" i="2"/>
  <c r="H71" i="2"/>
  <c r="G71" i="2"/>
  <c r="D71" i="2"/>
  <c r="O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G39" i="2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D176" i="1"/>
  <c r="C176" i="1"/>
  <c r="G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D165" i="1"/>
  <c r="C165" i="1"/>
  <c r="G164" i="1"/>
  <c r="D164" i="1"/>
  <c r="C164" i="1"/>
  <c r="G163" i="1"/>
  <c r="D163" i="1"/>
  <c r="C163" i="1"/>
  <c r="G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D158" i="1"/>
  <c r="C158" i="1"/>
  <c r="G157" i="1"/>
  <c r="D157" i="1"/>
  <c r="C157" i="1"/>
  <c r="G156" i="1"/>
  <c r="D156" i="1"/>
  <c r="C156" i="1"/>
  <c r="G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D128" i="1"/>
  <c r="C128" i="1"/>
  <c r="G127" i="1"/>
  <c r="D127" i="1"/>
  <c r="C127" i="1"/>
  <c r="G126" i="1"/>
  <c r="D126" i="1"/>
  <c r="C126" i="1"/>
  <c r="G125" i="1"/>
  <c r="D125" i="1"/>
  <c r="C125" i="1"/>
  <c r="G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L289" i="2" l="1"/>
  <c r="M341" i="2"/>
  <c r="O345" i="2"/>
  <c r="N370" i="2"/>
  <c r="O374" i="2"/>
  <c r="O378" i="2"/>
  <c r="M395" i="2"/>
  <c r="O399" i="2"/>
  <c r="N412" i="2"/>
  <c r="N429" i="2"/>
  <c r="M442" i="2"/>
  <c r="O446" i="2"/>
  <c r="L459" i="2"/>
  <c r="N463" i="2"/>
  <c r="L476" i="2"/>
  <c r="O480" i="2"/>
  <c r="N512" i="2"/>
  <c r="M663" i="2"/>
  <c r="L670" i="2"/>
  <c r="L766" i="2"/>
  <c r="O789" i="2"/>
  <c r="N796" i="2"/>
  <c r="L642" i="2"/>
  <c r="F198" i="1"/>
  <c r="N141" i="2"/>
  <c r="M145" i="2"/>
  <c r="O164" i="2"/>
  <c r="O168" i="2"/>
  <c r="N172" i="2"/>
  <c r="M176" i="2"/>
  <c r="L180" i="2"/>
  <c r="O211" i="2"/>
  <c r="O215" i="2"/>
  <c r="N219" i="2"/>
  <c r="N223" i="2"/>
  <c r="O227" i="2"/>
  <c r="O231" i="2"/>
  <c r="M235" i="2"/>
  <c r="N239" i="2"/>
  <c r="N243" i="2"/>
  <c r="M247" i="2"/>
  <c r="N251" i="2"/>
  <c r="N255" i="2"/>
  <c r="L259" i="2"/>
  <c r="M263" i="2"/>
  <c r="M275" i="2"/>
  <c r="M279" i="2"/>
  <c r="L299" i="2"/>
  <c r="L303" i="2"/>
  <c r="M343" i="2"/>
  <c r="M368" i="2"/>
  <c r="N372" i="2"/>
  <c r="O376" i="2"/>
  <c r="O380" i="2"/>
  <c r="L393" i="2"/>
  <c r="M397" i="2"/>
  <c r="L410" i="2"/>
  <c r="N414" i="2"/>
  <c r="L427" i="2"/>
  <c r="N431" i="2"/>
  <c r="L440" i="2"/>
  <c r="N444" i="2"/>
  <c r="O448" i="2"/>
  <c r="N461" i="2"/>
  <c r="O465" i="2"/>
  <c r="L474" i="2"/>
  <c r="O478" i="2"/>
  <c r="O501" i="2"/>
  <c r="M551" i="2"/>
  <c r="N616" i="2"/>
  <c r="M623" i="2"/>
  <c r="L630" i="2"/>
  <c r="M807" i="2"/>
  <c r="N184" i="2"/>
  <c r="L188" i="2"/>
  <c r="N192" i="2"/>
  <c r="M196" i="2"/>
  <c r="L200" i="2"/>
  <c r="M204" i="2"/>
  <c r="L208" i="2"/>
  <c r="O267" i="2"/>
  <c r="O283" i="2"/>
  <c r="O291" i="2"/>
  <c r="N295" i="2"/>
  <c r="O299" i="2"/>
  <c r="O303" i="2"/>
  <c r="M307" i="2"/>
  <c r="N311" i="2"/>
  <c r="L315" i="2"/>
  <c r="M319" i="2"/>
  <c r="N323" i="2"/>
  <c r="O327" i="2"/>
  <c r="M331" i="2"/>
  <c r="O335" i="2"/>
  <c r="L348" i="2"/>
  <c r="M352" i="2"/>
  <c r="M356" i="2"/>
  <c r="N360" i="2"/>
  <c r="M385" i="2"/>
  <c r="N389" i="2"/>
  <c r="O393" i="2"/>
  <c r="L402" i="2"/>
  <c r="O406" i="2"/>
  <c r="M419" i="2"/>
  <c r="M436" i="2"/>
  <c r="N453" i="2"/>
  <c r="O470" i="2"/>
  <c r="L483" i="2"/>
  <c r="N487" i="2"/>
  <c r="O573" i="2"/>
  <c r="N580" i="2"/>
  <c r="O741" i="2"/>
  <c r="N748" i="2"/>
  <c r="M845" i="2"/>
  <c r="M1723" i="2"/>
  <c r="O817" i="2"/>
  <c r="N832" i="2"/>
  <c r="I238" i="3"/>
  <c r="N1705" i="2"/>
  <c r="N1711" i="2"/>
  <c r="N1717" i="2"/>
  <c r="N1723" i="2"/>
  <c r="O341" i="2"/>
  <c r="N345" i="2"/>
  <c r="L349" i="2"/>
  <c r="O360" i="2"/>
  <c r="N364" i="2"/>
  <c r="L368" i="2"/>
  <c r="N379" i="2"/>
  <c r="M383" i="2"/>
  <c r="O402" i="2"/>
  <c r="N406" i="2"/>
  <c r="M410" i="2"/>
  <c r="L414" i="2"/>
  <c r="O437" i="2"/>
  <c r="N441" i="2"/>
  <c r="M445" i="2"/>
  <c r="L449" i="2"/>
  <c r="O472" i="2"/>
  <c r="M476" i="2"/>
  <c r="L480" i="2"/>
  <c r="M484" i="2"/>
  <c r="N488" i="2"/>
  <c r="L510" i="2"/>
  <c r="O609" i="2"/>
  <c r="O645" i="2"/>
  <c r="M659" i="2"/>
  <c r="L666" i="2"/>
  <c r="O673" i="2"/>
  <c r="F239" i="3"/>
  <c r="O1705" i="2"/>
  <c r="O1711" i="2"/>
  <c r="O1717" i="2"/>
  <c r="O1723" i="2"/>
  <c r="G239" i="3"/>
  <c r="L1706" i="2"/>
  <c r="L1712" i="2"/>
  <c r="L1718" i="2"/>
  <c r="L1724" i="2"/>
  <c r="H239" i="3"/>
  <c r="M1706" i="2"/>
  <c r="M1712" i="2"/>
  <c r="M1718" i="2"/>
  <c r="M1724" i="2"/>
  <c r="O769" i="2"/>
  <c r="N784" i="2"/>
  <c r="M791" i="2"/>
  <c r="L798" i="2"/>
  <c r="I239" i="3"/>
  <c r="N1706" i="2"/>
  <c r="N1712" i="2"/>
  <c r="N1718" i="2"/>
  <c r="N1724" i="2"/>
  <c r="O1706" i="2"/>
  <c r="O1712" i="2"/>
  <c r="O1718" i="2"/>
  <c r="O1724" i="2"/>
  <c r="L1707" i="2"/>
  <c r="L1713" i="2"/>
  <c r="L1719" i="2"/>
  <c r="L1725" i="2"/>
  <c r="M1707" i="2"/>
  <c r="M1713" i="2"/>
  <c r="M1719" i="2"/>
  <c r="M1725" i="2"/>
  <c r="N1707" i="2"/>
  <c r="N1713" i="2"/>
  <c r="N1719" i="2"/>
  <c r="N1725" i="2"/>
  <c r="O1707" i="2"/>
  <c r="O1713" i="2"/>
  <c r="O1719" i="2"/>
  <c r="O1725" i="2"/>
  <c r="M108" i="2"/>
  <c r="N115" i="2"/>
  <c r="O122" i="2"/>
  <c r="L126" i="2"/>
  <c r="N133" i="2"/>
  <c r="O140" i="2"/>
  <c r="L144" i="2"/>
  <c r="N151" i="2"/>
  <c r="L155" i="2"/>
  <c r="M162" i="2"/>
  <c r="N169" i="2"/>
  <c r="M180" i="2"/>
  <c r="N187" i="2"/>
  <c r="L191" i="2"/>
  <c r="N198" i="2"/>
  <c r="M202" i="2"/>
  <c r="N213" i="2"/>
  <c r="N224" i="2"/>
  <c r="L228" i="2"/>
  <c r="N235" i="2"/>
  <c r="L239" i="2"/>
  <c r="N246" i="2"/>
  <c r="M250" i="2"/>
  <c r="N261" i="2"/>
  <c r="N272" i="2"/>
  <c r="L276" i="2"/>
  <c r="N283" i="2"/>
  <c r="L287" i="2"/>
  <c r="N294" i="2"/>
  <c r="M298" i="2"/>
  <c r="N309" i="2"/>
  <c r="N320" i="2"/>
  <c r="L324" i="2"/>
  <c r="O331" i="2"/>
  <c r="N335" i="2"/>
  <c r="L339" i="2"/>
  <c r="N354" i="2"/>
  <c r="M358" i="2"/>
  <c r="O369" i="2"/>
  <c r="M373" i="2"/>
  <c r="L377" i="2"/>
  <c r="O388" i="2"/>
  <c r="M392" i="2"/>
  <c r="M396" i="2"/>
  <c r="L400" i="2"/>
  <c r="O423" i="2"/>
  <c r="M427" i="2"/>
  <c r="L431" i="2"/>
  <c r="O454" i="2"/>
  <c r="N458" i="2"/>
  <c r="M462" i="2"/>
  <c r="M466" i="2"/>
  <c r="L470" i="2"/>
  <c r="M683" i="2"/>
  <c r="L1702" i="2"/>
  <c r="L1708" i="2"/>
  <c r="L1714" i="2"/>
  <c r="L1720" i="2"/>
  <c r="L1726" i="2"/>
  <c r="M1702" i="2"/>
  <c r="M1708" i="2"/>
  <c r="M1714" i="2"/>
  <c r="M1720" i="2"/>
  <c r="M1726" i="2"/>
  <c r="N1702" i="2"/>
  <c r="N1708" i="2"/>
  <c r="N1714" i="2"/>
  <c r="N1720" i="2"/>
  <c r="N1726" i="2"/>
  <c r="O126" i="2"/>
  <c r="M130" i="2"/>
  <c r="O137" i="2"/>
  <c r="M148" i="2"/>
  <c r="O155" i="2"/>
  <c r="L159" i="2"/>
  <c r="M166" i="2"/>
  <c r="N173" i="2"/>
  <c r="L177" i="2"/>
  <c r="M184" i="2"/>
  <c r="O191" i="2"/>
  <c r="L195" i="2"/>
  <c r="O206" i="2"/>
  <c r="L210" i="2"/>
  <c r="N217" i="2"/>
  <c r="L221" i="2"/>
  <c r="O228" i="2"/>
  <c r="M232" i="2"/>
  <c r="O239" i="2"/>
  <c r="L243" i="2"/>
  <c r="O254" i="2"/>
  <c r="L258" i="2"/>
  <c r="N265" i="2"/>
  <c r="L269" i="2"/>
  <c r="O276" i="2"/>
  <c r="M280" i="2"/>
  <c r="O287" i="2"/>
  <c r="L291" i="2"/>
  <c r="O302" i="2"/>
  <c r="L306" i="2"/>
  <c r="N313" i="2"/>
  <c r="L317" i="2"/>
  <c r="O324" i="2"/>
  <c r="N328" i="2"/>
  <c r="N343" i="2"/>
  <c r="N347" i="2"/>
  <c r="L351" i="2"/>
  <c r="N362" i="2"/>
  <c r="L366" i="2"/>
  <c r="N381" i="2"/>
  <c r="L385" i="2"/>
  <c r="O400" i="2"/>
  <c r="M404" i="2"/>
  <c r="L408" i="2"/>
  <c r="M412" i="2"/>
  <c r="L416" i="2"/>
  <c r="L420" i="2"/>
  <c r="O431" i="2"/>
  <c r="O435" i="2"/>
  <c r="N439" i="2"/>
  <c r="O443" i="2"/>
  <c r="N447" i="2"/>
  <c r="L451" i="2"/>
  <c r="O474" i="2"/>
  <c r="N478" i="2"/>
  <c r="M482" i="2"/>
  <c r="L486" i="2"/>
  <c r="N556" i="2"/>
  <c r="N859" i="2"/>
  <c r="F236" i="3"/>
  <c r="O1702" i="2"/>
  <c r="O1708" i="2"/>
  <c r="O1714" i="2"/>
  <c r="O1720" i="2"/>
  <c r="O1726" i="2"/>
  <c r="G236" i="3"/>
  <c r="L1703" i="2"/>
  <c r="L1709" i="2"/>
  <c r="L1715" i="2"/>
  <c r="L1721" i="2"/>
  <c r="H236" i="3"/>
  <c r="M1703" i="2"/>
  <c r="M1709" i="2"/>
  <c r="M1715" i="2"/>
  <c r="M1721" i="2"/>
  <c r="I236" i="3"/>
  <c r="N1703" i="2"/>
  <c r="N1709" i="2"/>
  <c r="N1715" i="2"/>
  <c r="N1721" i="2"/>
  <c r="F237" i="3"/>
  <c r="O1703" i="2"/>
  <c r="O1709" i="2"/>
  <c r="O1715" i="2"/>
  <c r="O1721" i="2"/>
  <c r="O825" i="2"/>
  <c r="G237" i="3"/>
  <c r="L1704" i="2"/>
  <c r="L1710" i="2"/>
  <c r="L1716" i="2"/>
  <c r="L1722" i="2"/>
  <c r="O777" i="2"/>
  <c r="H237" i="3"/>
  <c r="M1704" i="2"/>
  <c r="M1710" i="2"/>
  <c r="M1716" i="2"/>
  <c r="M1722" i="2"/>
  <c r="L1727" i="2"/>
  <c r="I237" i="3"/>
  <c r="N1704" i="2"/>
  <c r="N1710" i="2"/>
  <c r="N1716" i="2"/>
  <c r="N1722" i="2"/>
  <c r="M1727" i="2"/>
  <c r="F238" i="3"/>
  <c r="O1704" i="2"/>
  <c r="O1710" i="2"/>
  <c r="O1716" i="2"/>
  <c r="O1722" i="2"/>
  <c r="N1727" i="2"/>
  <c r="N63" i="2"/>
  <c r="N70" i="2"/>
  <c r="O77" i="2"/>
  <c r="M81" i="2"/>
  <c r="N88" i="2"/>
  <c r="O95" i="2"/>
  <c r="L99" i="2"/>
  <c r="N106" i="2"/>
  <c r="L117" i="2"/>
  <c r="N124" i="2"/>
  <c r="L128" i="2"/>
  <c r="M135" i="2"/>
  <c r="N142" i="2"/>
  <c r="O149" i="2"/>
  <c r="M153" i="2"/>
  <c r="N160" i="2"/>
  <c r="O167" i="2"/>
  <c r="L171" i="2"/>
  <c r="N178" i="2"/>
  <c r="N189" i="2"/>
  <c r="N200" i="2"/>
  <c r="L204" i="2"/>
  <c r="N211" i="2"/>
  <c r="L215" i="2"/>
  <c r="N222" i="2"/>
  <c r="M226" i="2"/>
  <c r="N237" i="2"/>
  <c r="N248" i="2"/>
  <c r="L252" i="2"/>
  <c r="N259" i="2"/>
  <c r="L263" i="2"/>
  <c r="N270" i="2"/>
  <c r="M274" i="2"/>
  <c r="N285" i="2"/>
  <c r="N296" i="2"/>
  <c r="L300" i="2"/>
  <c r="N307" i="2"/>
  <c r="L311" i="2"/>
  <c r="N318" i="2"/>
  <c r="M322" i="2"/>
  <c r="O333" i="2"/>
  <c r="M337" i="2"/>
  <c r="L341" i="2"/>
  <c r="O352" i="2"/>
  <c r="L356" i="2"/>
  <c r="O371" i="2"/>
  <c r="N375" i="2"/>
  <c r="O386" i="2"/>
  <c r="M390" i="2"/>
  <c r="M394" i="2"/>
  <c r="L398" i="2"/>
  <c r="O417" i="2"/>
  <c r="N421" i="2"/>
  <c r="M425" i="2"/>
  <c r="L429" i="2"/>
  <c r="L437" i="2"/>
  <c r="O452" i="2"/>
  <c r="N456" i="2"/>
  <c r="N460" i="2"/>
  <c r="M464" i="2"/>
  <c r="M468" i="2"/>
  <c r="L472" i="2"/>
  <c r="L594" i="2"/>
  <c r="O601" i="2"/>
  <c r="N760" i="2"/>
  <c r="M803" i="2"/>
  <c r="L810" i="2"/>
  <c r="G238" i="3"/>
  <c r="L1705" i="2"/>
  <c r="L1711" i="2"/>
  <c r="L1717" i="2"/>
  <c r="L1723" i="2"/>
  <c r="O1727" i="2"/>
  <c r="H238" i="3"/>
  <c r="M1705" i="2"/>
  <c r="M1711" i="2"/>
  <c r="M1717" i="2"/>
  <c r="E198" i="1"/>
  <c r="N1696" i="2"/>
  <c r="L902" i="2"/>
  <c r="M755" i="2"/>
  <c r="F232" i="3"/>
  <c r="L1674" i="2"/>
  <c r="L1680" i="2"/>
  <c r="L1686" i="2"/>
  <c r="L1692" i="2"/>
  <c r="L1698" i="2"/>
  <c r="G232" i="3"/>
  <c r="M1674" i="2"/>
  <c r="M1680" i="2"/>
  <c r="M1686" i="2"/>
  <c r="M1692" i="2"/>
  <c r="M1698" i="2"/>
  <c r="H232" i="3"/>
  <c r="N1674" i="2"/>
  <c r="N1680" i="2"/>
  <c r="N1686" i="2"/>
  <c r="N1692" i="2"/>
  <c r="N1698" i="2"/>
  <c r="I232" i="3"/>
  <c r="O1674" i="2"/>
  <c r="O1680" i="2"/>
  <c r="O1686" i="2"/>
  <c r="O1692" i="2"/>
  <c r="O1698" i="2"/>
  <c r="F233" i="3"/>
  <c r="L1675" i="2"/>
  <c r="L1681" i="2"/>
  <c r="L1687" i="2"/>
  <c r="L1693" i="2"/>
  <c r="L1699" i="2"/>
  <c r="G233" i="3"/>
  <c r="M1675" i="2"/>
  <c r="M1681" i="2"/>
  <c r="M1687" i="2"/>
  <c r="M1693" i="2"/>
  <c r="M1699" i="2"/>
  <c r="H233" i="3"/>
  <c r="N1675" i="2"/>
  <c r="N1681" i="2"/>
  <c r="N1687" i="2"/>
  <c r="N1693" i="2"/>
  <c r="N1699" i="2"/>
  <c r="I233" i="3"/>
  <c r="O1675" i="2"/>
  <c r="O1681" i="2"/>
  <c r="O1687" i="2"/>
  <c r="O1693" i="2"/>
  <c r="O1699" i="2"/>
  <c r="F234" i="3"/>
  <c r="L1676" i="2"/>
  <c r="L1682" i="2"/>
  <c r="L1688" i="2"/>
  <c r="L1694" i="2"/>
  <c r="L1700" i="2"/>
  <c r="G234" i="3"/>
  <c r="M1676" i="2"/>
  <c r="M1682" i="2"/>
  <c r="M1688" i="2"/>
  <c r="M1694" i="2"/>
  <c r="M1700" i="2"/>
  <c r="H234" i="3"/>
  <c r="N1676" i="2"/>
  <c r="N1682" i="2"/>
  <c r="N1688" i="2"/>
  <c r="N1694" i="2"/>
  <c r="N1700" i="2"/>
  <c r="I234" i="3"/>
  <c r="O1676" i="2"/>
  <c r="O1682" i="2"/>
  <c r="O1688" i="2"/>
  <c r="O1694" i="2"/>
  <c r="O1700" i="2"/>
  <c r="F235" i="3"/>
  <c r="L1677" i="2"/>
  <c r="L1683" i="2"/>
  <c r="L1689" i="2"/>
  <c r="L1695" i="2"/>
  <c r="L1701" i="2"/>
  <c r="L750" i="2"/>
  <c r="G235" i="3"/>
  <c r="M1677" i="2"/>
  <c r="M1683" i="2"/>
  <c r="M1689" i="2"/>
  <c r="M1695" i="2"/>
  <c r="M1701" i="2"/>
  <c r="H235" i="3"/>
  <c r="N1677" i="2"/>
  <c r="N1683" i="2"/>
  <c r="N1689" i="2"/>
  <c r="N1695" i="2"/>
  <c r="N1701" i="2"/>
  <c r="I235" i="3"/>
  <c r="O1677" i="2"/>
  <c r="O1683" i="2"/>
  <c r="O1689" i="2"/>
  <c r="O1695" i="2"/>
  <c r="O1701" i="2"/>
  <c r="L1678" i="2"/>
  <c r="L1684" i="2"/>
  <c r="L1690" i="2"/>
  <c r="L1696" i="2"/>
  <c r="M1678" i="2"/>
  <c r="M1684" i="2"/>
  <c r="M1690" i="2"/>
  <c r="M1696" i="2"/>
  <c r="N1678" i="2"/>
  <c r="N1684" i="2"/>
  <c r="N1690" i="2"/>
  <c r="L718" i="2"/>
  <c r="O1678" i="2"/>
  <c r="O1684" i="2"/>
  <c r="O1690" i="2"/>
  <c r="O1696" i="2"/>
  <c r="L1679" i="2"/>
  <c r="L1685" i="2"/>
  <c r="L1691" i="2"/>
  <c r="L1697" i="2"/>
  <c r="M1679" i="2"/>
  <c r="M1685" i="2"/>
  <c r="M1691" i="2"/>
  <c r="M1697" i="2"/>
  <c r="N1679" i="2"/>
  <c r="N1685" i="2"/>
  <c r="N1691" i="2"/>
  <c r="N1697" i="2"/>
  <c r="O1679" i="2"/>
  <c r="O1685" i="2"/>
  <c r="O1691" i="2"/>
  <c r="O1697" i="2"/>
  <c r="F149" i="1"/>
  <c r="F61" i="1"/>
  <c r="E108" i="1"/>
  <c r="F108" i="1"/>
  <c r="E61" i="1"/>
  <c r="E193" i="1"/>
  <c r="N65" i="2"/>
  <c r="M72" i="2"/>
  <c r="L79" i="2"/>
  <c r="O82" i="2"/>
  <c r="N89" i="2"/>
  <c r="M96" i="2"/>
  <c r="L103" i="2"/>
  <c r="O106" i="2"/>
  <c r="N113" i="2"/>
  <c r="M120" i="2"/>
  <c r="L127" i="2"/>
  <c r="O130" i="2"/>
  <c r="N137" i="2"/>
  <c r="M144" i="2"/>
  <c r="L151" i="2"/>
  <c r="O154" i="2"/>
  <c r="N161" i="2"/>
  <c r="M168" i="2"/>
  <c r="L175" i="2"/>
  <c r="O178" i="2"/>
  <c r="N185" i="2"/>
  <c r="M192" i="2"/>
  <c r="L199" i="2"/>
  <c r="O202" i="2"/>
  <c r="N209" i="2"/>
  <c r="M216" i="2"/>
  <c r="L223" i="2"/>
  <c r="O226" i="2"/>
  <c r="N233" i="2"/>
  <c r="M240" i="2"/>
  <c r="L247" i="2"/>
  <c r="O250" i="2"/>
  <c r="N257" i="2"/>
  <c r="M264" i="2"/>
  <c r="L271" i="2"/>
  <c r="O274" i="2"/>
  <c r="N281" i="2"/>
  <c r="M288" i="2"/>
  <c r="L295" i="2"/>
  <c r="O298" i="2"/>
  <c r="N305" i="2"/>
  <c r="M312" i="2"/>
  <c r="L319" i="2"/>
  <c r="O322" i="2"/>
  <c r="N329" i="2"/>
  <c r="M336" i="2"/>
  <c r="L343" i="2"/>
  <c r="O346" i="2"/>
  <c r="N353" i="2"/>
  <c r="M360" i="2"/>
  <c r="L367" i="2"/>
  <c r="O370" i="2"/>
  <c r="N377" i="2"/>
  <c r="M384" i="2"/>
  <c r="L391" i="2"/>
  <c r="O394" i="2"/>
  <c r="N401" i="2"/>
  <c r="M408" i="2"/>
  <c r="L415" i="2"/>
  <c r="O418" i="2"/>
  <c r="N425" i="2"/>
  <c r="M432" i="2"/>
  <c r="L439" i="2"/>
  <c r="O442" i="2"/>
  <c r="N449" i="2"/>
  <c r="M456" i="2"/>
  <c r="L463" i="2"/>
  <c r="O466" i="2"/>
  <c r="N473" i="2"/>
  <c r="M480" i="2"/>
  <c r="L487" i="2"/>
  <c r="O549" i="2"/>
  <c r="M611" i="2"/>
  <c r="L618" i="2"/>
  <c r="M639" i="2"/>
  <c r="L646" i="2"/>
  <c r="O765" i="2"/>
  <c r="N772" i="2"/>
  <c r="M779" i="2"/>
  <c r="L786" i="2"/>
  <c r="E115" i="1"/>
  <c r="L76" i="2"/>
  <c r="O79" i="2"/>
  <c r="N86" i="2"/>
  <c r="M93" i="2"/>
  <c r="L100" i="2"/>
  <c r="O103" i="2"/>
  <c r="N110" i="2"/>
  <c r="M117" i="2"/>
  <c r="L124" i="2"/>
  <c r="O127" i="2"/>
  <c r="N134" i="2"/>
  <c r="M141" i="2"/>
  <c r="L148" i="2"/>
  <c r="O151" i="2"/>
  <c r="N158" i="2"/>
  <c r="M165" i="2"/>
  <c r="L172" i="2"/>
  <c r="O175" i="2"/>
  <c r="N182" i="2"/>
  <c r="M189" i="2"/>
  <c r="L196" i="2"/>
  <c r="O199" i="2"/>
  <c r="N206" i="2"/>
  <c r="M213" i="2"/>
  <c r="L220" i="2"/>
  <c r="O223" i="2"/>
  <c r="N230" i="2"/>
  <c r="M237" i="2"/>
  <c r="L244" i="2"/>
  <c r="O247" i="2"/>
  <c r="N254" i="2"/>
  <c r="M261" i="2"/>
  <c r="L268" i="2"/>
  <c r="O271" i="2"/>
  <c r="N278" i="2"/>
  <c r="M285" i="2"/>
  <c r="L292" i="2"/>
  <c r="O295" i="2"/>
  <c r="N302" i="2"/>
  <c r="M309" i="2"/>
  <c r="L316" i="2"/>
  <c r="O319" i="2"/>
  <c r="N326" i="2"/>
  <c r="M333" i="2"/>
  <c r="L340" i="2"/>
  <c r="O343" i="2"/>
  <c r="N350" i="2"/>
  <c r="M357" i="2"/>
  <c r="L364" i="2"/>
  <c r="O367" i="2"/>
  <c r="N374" i="2"/>
  <c r="M381" i="2"/>
  <c r="L388" i="2"/>
  <c r="O391" i="2"/>
  <c r="N398" i="2"/>
  <c r="M405" i="2"/>
  <c r="L412" i="2"/>
  <c r="O415" i="2"/>
  <c r="N422" i="2"/>
  <c r="M429" i="2"/>
  <c r="L436" i="2"/>
  <c r="O439" i="2"/>
  <c r="N446" i="2"/>
  <c r="M453" i="2"/>
  <c r="L460" i="2"/>
  <c r="O463" i="2"/>
  <c r="N470" i="2"/>
  <c r="M477" i="2"/>
  <c r="L484" i="2"/>
  <c r="O487" i="2"/>
  <c r="N508" i="2"/>
  <c r="O577" i="2"/>
  <c r="N584" i="2"/>
  <c r="O745" i="2"/>
  <c r="N752" i="2"/>
  <c r="M759" i="2"/>
  <c r="N395" i="2"/>
  <c r="M402" i="2"/>
  <c r="L409" i="2"/>
  <c r="O412" i="2"/>
  <c r="N419" i="2"/>
  <c r="M426" i="2"/>
  <c r="L433" i="2"/>
  <c r="O436" i="2"/>
  <c r="N443" i="2"/>
  <c r="M450" i="2"/>
  <c r="L457" i="2"/>
  <c r="O460" i="2"/>
  <c r="N467" i="2"/>
  <c r="M474" i="2"/>
  <c r="L481" i="2"/>
  <c r="O484" i="2"/>
  <c r="M495" i="2"/>
  <c r="L502" i="2"/>
  <c r="M599" i="2"/>
  <c r="L606" i="2"/>
  <c r="M327" i="2"/>
  <c r="L334" i="2"/>
  <c r="O337" i="2"/>
  <c r="N344" i="2"/>
  <c r="M351" i="2"/>
  <c r="L358" i="2"/>
  <c r="O361" i="2"/>
  <c r="N368" i="2"/>
  <c r="M375" i="2"/>
  <c r="L382" i="2"/>
  <c r="O385" i="2"/>
  <c r="N392" i="2"/>
  <c r="M399" i="2"/>
  <c r="L406" i="2"/>
  <c r="O409" i="2"/>
  <c r="N416" i="2"/>
  <c r="M423" i="2"/>
  <c r="L430" i="2"/>
  <c r="O433" i="2"/>
  <c r="N440" i="2"/>
  <c r="M447" i="2"/>
  <c r="L454" i="2"/>
  <c r="O457" i="2"/>
  <c r="N464" i="2"/>
  <c r="M471" i="2"/>
  <c r="L478" i="2"/>
  <c r="O481" i="2"/>
  <c r="O697" i="2"/>
  <c r="N704" i="2"/>
  <c r="M711" i="2"/>
  <c r="M1672" i="2"/>
  <c r="L1145" i="2"/>
  <c r="M195" i="2"/>
  <c r="L202" i="2"/>
  <c r="O205" i="2"/>
  <c r="N212" i="2"/>
  <c r="M219" i="2"/>
  <c r="L226" i="2"/>
  <c r="O229" i="2"/>
  <c r="N236" i="2"/>
  <c r="M243" i="2"/>
  <c r="L250" i="2"/>
  <c r="O253" i="2"/>
  <c r="N260" i="2"/>
  <c r="M267" i="2"/>
  <c r="L274" i="2"/>
  <c r="O277" i="2"/>
  <c r="N284" i="2"/>
  <c r="M291" i="2"/>
  <c r="L298" i="2"/>
  <c r="O301" i="2"/>
  <c r="N308" i="2"/>
  <c r="M315" i="2"/>
  <c r="L322" i="2"/>
  <c r="O325" i="2"/>
  <c r="N332" i="2"/>
  <c r="M339" i="2"/>
  <c r="L346" i="2"/>
  <c r="O349" i="2"/>
  <c r="N356" i="2"/>
  <c r="M363" i="2"/>
  <c r="L370" i="2"/>
  <c r="O373" i="2"/>
  <c r="N380" i="2"/>
  <c r="M387" i="2"/>
  <c r="L394" i="2"/>
  <c r="O397" i="2"/>
  <c r="N404" i="2"/>
  <c r="M411" i="2"/>
  <c r="L418" i="2"/>
  <c r="O421" i="2"/>
  <c r="N428" i="2"/>
  <c r="M435" i="2"/>
  <c r="L442" i="2"/>
  <c r="O445" i="2"/>
  <c r="N452" i="2"/>
  <c r="M459" i="2"/>
  <c r="L466" i="2"/>
  <c r="O469" i="2"/>
  <c r="N476" i="2"/>
  <c r="M483" i="2"/>
  <c r="O513" i="2"/>
  <c r="N520" i="2"/>
  <c r="N652" i="2"/>
  <c r="N680" i="2"/>
  <c r="M687" i="2"/>
  <c r="O729" i="2"/>
  <c r="N820" i="2"/>
  <c r="M827" i="2"/>
  <c r="M834" i="2"/>
  <c r="M841" i="2"/>
  <c r="M848" i="2"/>
  <c r="M855" i="2"/>
  <c r="M862" i="2"/>
  <c r="M1648" i="2"/>
  <c r="L1653" i="2"/>
  <c r="L1659" i="2"/>
  <c r="L1665" i="2"/>
  <c r="L1672" i="2"/>
  <c r="M1653" i="2"/>
  <c r="M1659" i="2"/>
  <c r="M1665" i="2"/>
  <c r="M1650" i="2"/>
  <c r="N1653" i="2"/>
  <c r="N1659" i="2"/>
  <c r="N1665" i="2"/>
  <c r="N1672" i="2"/>
  <c r="O1653" i="2"/>
  <c r="O1659" i="2"/>
  <c r="O1665" i="2"/>
  <c r="O1672" i="2"/>
  <c r="F229" i="3"/>
  <c r="L1654" i="2"/>
  <c r="L1660" i="2"/>
  <c r="L1666" i="2"/>
  <c r="L1673" i="2"/>
  <c r="G229" i="3"/>
  <c r="M1654" i="2"/>
  <c r="M1660" i="2"/>
  <c r="M1666" i="2"/>
  <c r="M1673" i="2"/>
  <c r="H229" i="3"/>
  <c r="N1654" i="2"/>
  <c r="N1660" i="2"/>
  <c r="N1666" i="2"/>
  <c r="N1673" i="2"/>
  <c r="I229" i="3"/>
  <c r="O1654" i="2"/>
  <c r="O1660" i="2"/>
  <c r="O1666" i="2"/>
  <c r="O1673" i="2"/>
  <c r="O489" i="2"/>
  <c r="N496" i="2"/>
  <c r="O537" i="2"/>
  <c r="N544" i="2"/>
  <c r="O585" i="2"/>
  <c r="N592" i="2"/>
  <c r="O633" i="2"/>
  <c r="N640" i="2"/>
  <c r="F230" i="3"/>
  <c r="L1655" i="2"/>
  <c r="L1661" i="2"/>
  <c r="L1667" i="2"/>
  <c r="G230" i="3"/>
  <c r="M1655" i="2"/>
  <c r="M1661" i="2"/>
  <c r="M1667" i="2"/>
  <c r="H230" i="3"/>
  <c r="N1655" i="2"/>
  <c r="N1661" i="2"/>
  <c r="N1667" i="2"/>
  <c r="O717" i="2"/>
  <c r="N724" i="2"/>
  <c r="M731" i="2"/>
  <c r="L738" i="2"/>
  <c r="L814" i="2"/>
  <c r="I230" i="3"/>
  <c r="O1655" i="2"/>
  <c r="O1661" i="2"/>
  <c r="O1667" i="2"/>
  <c r="F231" i="3"/>
  <c r="L1656" i="2"/>
  <c r="L1662" i="2"/>
  <c r="L1669" i="2"/>
  <c r="G231" i="3"/>
  <c r="M1656" i="2"/>
  <c r="M1662" i="2"/>
  <c r="M1669" i="2"/>
  <c r="H231" i="3"/>
  <c r="N1656" i="2"/>
  <c r="N1662" i="2"/>
  <c r="N1669" i="2"/>
  <c r="I231" i="3"/>
  <c r="O1656" i="2"/>
  <c r="O1662" i="2"/>
  <c r="O1669" i="2"/>
  <c r="L1668" i="2"/>
  <c r="L1651" i="2"/>
  <c r="L1657" i="2"/>
  <c r="L1663" i="2"/>
  <c r="L1670" i="2"/>
  <c r="M1668" i="2"/>
  <c r="M1651" i="2"/>
  <c r="M1657" i="2"/>
  <c r="M1663" i="2"/>
  <c r="M1670" i="2"/>
  <c r="N1668" i="2"/>
  <c r="N1651" i="2"/>
  <c r="N1657" i="2"/>
  <c r="N1663" i="2"/>
  <c r="N1670" i="2"/>
  <c r="O1668" i="2"/>
  <c r="O1651" i="2"/>
  <c r="O1657" i="2"/>
  <c r="O1663" i="2"/>
  <c r="O1670" i="2"/>
  <c r="L1652" i="2"/>
  <c r="L1658" i="2"/>
  <c r="L1664" i="2"/>
  <c r="L1671" i="2"/>
  <c r="M1652" i="2"/>
  <c r="M1658" i="2"/>
  <c r="M1664" i="2"/>
  <c r="M1671" i="2"/>
  <c r="M1636" i="2"/>
  <c r="N1652" i="2"/>
  <c r="N1658" i="2"/>
  <c r="N1664" i="2"/>
  <c r="N1671" i="2"/>
  <c r="M1642" i="2"/>
  <c r="O1652" i="2"/>
  <c r="O1658" i="2"/>
  <c r="O1664" i="2"/>
  <c r="O1671" i="2"/>
  <c r="F193" i="1"/>
  <c r="E195" i="1"/>
  <c r="F195" i="1"/>
  <c r="I228" i="3"/>
  <c r="O1639" i="2"/>
  <c r="O1645" i="2"/>
  <c r="L1634" i="2"/>
  <c r="L1640" i="2"/>
  <c r="L1646" i="2"/>
  <c r="M1634" i="2"/>
  <c r="M1640" i="2"/>
  <c r="M1646" i="2"/>
  <c r="N1634" i="2"/>
  <c r="N1640" i="2"/>
  <c r="N1646" i="2"/>
  <c r="O1634" i="2"/>
  <c r="O1640" i="2"/>
  <c r="O1646" i="2"/>
  <c r="L1635" i="2"/>
  <c r="L1641" i="2"/>
  <c r="L1647" i="2"/>
  <c r="M1635" i="2"/>
  <c r="M1641" i="2"/>
  <c r="M1647" i="2"/>
  <c r="N1635" i="2"/>
  <c r="N1641" i="2"/>
  <c r="N1647" i="2"/>
  <c r="O1635" i="2"/>
  <c r="O1641" i="2"/>
  <c r="O1647" i="2"/>
  <c r="L1636" i="2"/>
  <c r="L1642" i="2"/>
  <c r="L1648" i="2"/>
  <c r="N1636" i="2"/>
  <c r="N1642" i="2"/>
  <c r="N1648" i="2"/>
  <c r="O1636" i="2"/>
  <c r="O1642" i="2"/>
  <c r="O1648" i="2"/>
  <c r="L1637" i="2"/>
  <c r="L1643" i="2"/>
  <c r="L1649" i="2"/>
  <c r="M1637" i="2"/>
  <c r="M1643" i="2"/>
  <c r="M1649" i="2"/>
  <c r="N1637" i="2"/>
  <c r="N1643" i="2"/>
  <c r="N1649" i="2"/>
  <c r="O1637" i="2"/>
  <c r="O1643" i="2"/>
  <c r="O1649" i="2"/>
  <c r="F227" i="3"/>
  <c r="L1638" i="2"/>
  <c r="L1644" i="2"/>
  <c r="L1650" i="2"/>
  <c r="G227" i="3"/>
  <c r="M1638" i="2"/>
  <c r="M1644" i="2"/>
  <c r="L1600" i="2"/>
  <c r="H227" i="3"/>
  <c r="N1638" i="2"/>
  <c r="N1644" i="2"/>
  <c r="N1650" i="2"/>
  <c r="I227" i="3"/>
  <c r="O1638" i="2"/>
  <c r="O1644" i="2"/>
  <c r="O1650" i="2"/>
  <c r="F228" i="3"/>
  <c r="L1639" i="2"/>
  <c r="L1645" i="2"/>
  <c r="G228" i="3"/>
  <c r="M1639" i="2"/>
  <c r="M1645" i="2"/>
  <c r="H228" i="3"/>
  <c r="N1639" i="2"/>
  <c r="N1645" i="2"/>
  <c r="F185" i="1"/>
  <c r="E128" i="1"/>
  <c r="H224" i="3"/>
  <c r="N1607" i="2"/>
  <c r="N1613" i="2"/>
  <c r="N1621" i="2"/>
  <c r="N1627" i="2"/>
  <c r="N1633" i="2"/>
  <c r="F225" i="3"/>
  <c r="L1608" i="2"/>
  <c r="L1614" i="2"/>
  <c r="L1622" i="2"/>
  <c r="L1628" i="2"/>
  <c r="M1606" i="2"/>
  <c r="M1612" i="2"/>
  <c r="M1620" i="2"/>
  <c r="M1626" i="2"/>
  <c r="M1632" i="2"/>
  <c r="N1606" i="2"/>
  <c r="N1612" i="2"/>
  <c r="N1620" i="2"/>
  <c r="N1626" i="2"/>
  <c r="N1632" i="2"/>
  <c r="O1606" i="2"/>
  <c r="O1612" i="2"/>
  <c r="O1620" i="2"/>
  <c r="O1626" i="2"/>
  <c r="O1632" i="2"/>
  <c r="F224" i="3"/>
  <c r="L1607" i="2"/>
  <c r="L1613" i="2"/>
  <c r="L1621" i="2"/>
  <c r="L1627" i="2"/>
  <c r="L1633" i="2"/>
  <c r="G224" i="3"/>
  <c r="M1607" i="2"/>
  <c r="M1613" i="2"/>
  <c r="M1621" i="2"/>
  <c r="M1627" i="2"/>
  <c r="M1633" i="2"/>
  <c r="I224" i="3"/>
  <c r="O1607" i="2"/>
  <c r="O1613" i="2"/>
  <c r="O1621" i="2"/>
  <c r="O1627" i="2"/>
  <c r="O1633" i="2"/>
  <c r="G225" i="3"/>
  <c r="M1608" i="2"/>
  <c r="M1614" i="2"/>
  <c r="M1622" i="2"/>
  <c r="M1628" i="2"/>
  <c r="H225" i="3"/>
  <c r="N1608" i="2"/>
  <c r="N1614" i="2"/>
  <c r="N1622" i="2"/>
  <c r="N1628" i="2"/>
  <c r="I225" i="3"/>
  <c r="O1608" i="2"/>
  <c r="O1614" i="2"/>
  <c r="O1622" i="2"/>
  <c r="O1628" i="2"/>
  <c r="F226" i="3"/>
  <c r="L1609" i="2"/>
  <c r="L1615" i="2"/>
  <c r="L1623" i="2"/>
  <c r="L1629" i="2"/>
  <c r="G226" i="3"/>
  <c r="M1609" i="2"/>
  <c r="M1615" i="2"/>
  <c r="M1623" i="2"/>
  <c r="M1629" i="2"/>
  <c r="L1617" i="2"/>
  <c r="H226" i="3"/>
  <c r="N1609" i="2"/>
  <c r="N1615" i="2"/>
  <c r="N1623" i="2"/>
  <c r="N1629" i="2"/>
  <c r="M1617" i="2"/>
  <c r="I226" i="3"/>
  <c r="O1609" i="2"/>
  <c r="O1615" i="2"/>
  <c r="O1623" i="2"/>
  <c r="O1629" i="2"/>
  <c r="N1617" i="2"/>
  <c r="L1604" i="2"/>
  <c r="L1610" i="2"/>
  <c r="L1616" i="2"/>
  <c r="L1624" i="2"/>
  <c r="L1630" i="2"/>
  <c r="O1617" i="2"/>
  <c r="M1604" i="2"/>
  <c r="M1610" i="2"/>
  <c r="M1616" i="2"/>
  <c r="M1624" i="2"/>
  <c r="M1630" i="2"/>
  <c r="N1604" i="2"/>
  <c r="N1610" i="2"/>
  <c r="N1616" i="2"/>
  <c r="N1624" i="2"/>
  <c r="N1630" i="2"/>
  <c r="O1604" i="2"/>
  <c r="O1610" i="2"/>
  <c r="O1616" i="2"/>
  <c r="O1624" i="2"/>
  <c r="O1630" i="2"/>
  <c r="L1605" i="2"/>
  <c r="L1611" i="2"/>
  <c r="L1619" i="2"/>
  <c r="L1625" i="2"/>
  <c r="L1631" i="2"/>
  <c r="O1603" i="2"/>
  <c r="M1605" i="2"/>
  <c r="M1611" i="2"/>
  <c r="M1619" i="2"/>
  <c r="M1625" i="2"/>
  <c r="M1631" i="2"/>
  <c r="L1618" i="2"/>
  <c r="N1605" i="2"/>
  <c r="N1611" i="2"/>
  <c r="N1619" i="2"/>
  <c r="N1625" i="2"/>
  <c r="N1631" i="2"/>
  <c r="M1618" i="2"/>
  <c r="L1599" i="2"/>
  <c r="O1605" i="2"/>
  <c r="O1611" i="2"/>
  <c r="O1619" i="2"/>
  <c r="O1625" i="2"/>
  <c r="O1631" i="2"/>
  <c r="N1618" i="2"/>
  <c r="L1606" i="2"/>
  <c r="L1612" i="2"/>
  <c r="L1620" i="2"/>
  <c r="L1626" i="2"/>
  <c r="L1632" i="2"/>
  <c r="O1618" i="2"/>
  <c r="E149" i="1"/>
  <c r="E164" i="1"/>
  <c r="F164" i="1"/>
  <c r="E186" i="1"/>
  <c r="F186" i="1"/>
  <c r="E185" i="1"/>
  <c r="M1582" i="2"/>
  <c r="M1588" i="2"/>
  <c r="M1594" i="2"/>
  <c r="M1600" i="2"/>
  <c r="N1582" i="2"/>
  <c r="N1588" i="2"/>
  <c r="N1594" i="2"/>
  <c r="N1600" i="2"/>
  <c r="O1582" i="2"/>
  <c r="O1588" i="2"/>
  <c r="O1594" i="2"/>
  <c r="O1600" i="2"/>
  <c r="F221" i="3"/>
  <c r="L1583" i="2"/>
  <c r="L1589" i="2"/>
  <c r="L1595" i="2"/>
  <c r="L1601" i="2"/>
  <c r="G221" i="3"/>
  <c r="M1583" i="2"/>
  <c r="M1589" i="2"/>
  <c r="M1595" i="2"/>
  <c r="M1601" i="2"/>
  <c r="H221" i="3"/>
  <c r="N1583" i="2"/>
  <c r="N1589" i="2"/>
  <c r="N1595" i="2"/>
  <c r="N1601" i="2"/>
  <c r="I221" i="3"/>
  <c r="O1583" i="2"/>
  <c r="O1589" i="2"/>
  <c r="O1595" i="2"/>
  <c r="O1601" i="2"/>
  <c r="F222" i="3"/>
  <c r="L1584" i="2"/>
  <c r="L1590" i="2"/>
  <c r="L1596" i="2"/>
  <c r="L1602" i="2"/>
  <c r="G222" i="3"/>
  <c r="M1584" i="2"/>
  <c r="M1590" i="2"/>
  <c r="M1596" i="2"/>
  <c r="M1602" i="2"/>
  <c r="H222" i="3"/>
  <c r="N1584" i="2"/>
  <c r="N1590" i="2"/>
  <c r="N1596" i="2"/>
  <c r="N1602" i="2"/>
  <c r="M671" i="2"/>
  <c r="L678" i="2"/>
  <c r="M719" i="2"/>
  <c r="L726" i="2"/>
  <c r="M767" i="2"/>
  <c r="L774" i="2"/>
  <c r="M815" i="2"/>
  <c r="L822" i="2"/>
  <c r="I222" i="3"/>
  <c r="O1584" i="2"/>
  <c r="O1590" i="2"/>
  <c r="O1596" i="2"/>
  <c r="O1602" i="2"/>
  <c r="F223" i="3"/>
  <c r="L1585" i="2"/>
  <c r="L1591" i="2"/>
  <c r="L1597" i="2"/>
  <c r="L1603" i="2"/>
  <c r="G223" i="3"/>
  <c r="M1585" i="2"/>
  <c r="M1591" i="2"/>
  <c r="M1597" i="2"/>
  <c r="M1603" i="2"/>
  <c r="H223" i="3"/>
  <c r="N1585" i="2"/>
  <c r="N1591" i="2"/>
  <c r="N1597" i="2"/>
  <c r="N1603" i="2"/>
  <c r="I223" i="3"/>
  <c r="O1585" i="2"/>
  <c r="O1591" i="2"/>
  <c r="O1597" i="2"/>
  <c r="L1580" i="2"/>
  <c r="L1586" i="2"/>
  <c r="L1592" i="2"/>
  <c r="L1598" i="2"/>
  <c r="M1580" i="2"/>
  <c r="M1586" i="2"/>
  <c r="M1592" i="2"/>
  <c r="M1598" i="2"/>
  <c r="N1580" i="2"/>
  <c r="N1586" i="2"/>
  <c r="N1592" i="2"/>
  <c r="N1598" i="2"/>
  <c r="O1580" i="2"/>
  <c r="O1586" i="2"/>
  <c r="O1592" i="2"/>
  <c r="O1598" i="2"/>
  <c r="L1581" i="2"/>
  <c r="L1587" i="2"/>
  <c r="L1593" i="2"/>
  <c r="M1581" i="2"/>
  <c r="M1587" i="2"/>
  <c r="M1593" i="2"/>
  <c r="M1599" i="2"/>
  <c r="N1581" i="2"/>
  <c r="N1587" i="2"/>
  <c r="N1593" i="2"/>
  <c r="N1599" i="2"/>
  <c r="O1581" i="2"/>
  <c r="O1587" i="2"/>
  <c r="O1593" i="2"/>
  <c r="O1599" i="2"/>
  <c r="L1582" i="2"/>
  <c r="L1588" i="2"/>
  <c r="L1594" i="2"/>
  <c r="E63" i="1"/>
  <c r="F180" i="1"/>
  <c r="E57" i="1"/>
  <c r="I52" i="3"/>
  <c r="N891" i="2"/>
  <c r="M493" i="2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<sst xmlns="http://schemas.openxmlformats.org/spreadsheetml/2006/main" count="2695" uniqueCount="325">
  <si>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</si>
  <si>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</si>
  <si>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</si>
  <si>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</si>
  <si>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</si>
  <si>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</si>
  <si>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</si>
  <si>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</si>
  <si>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</si>
  <si>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</si>
  <si>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</si>
  <si>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</si>
  <si>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</si>
  <si>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</si>
  <si>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</si>
  <si>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</si>
  <si>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</si>
  <si>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</si>
  <si>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</si>
  <si>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</si>
  <si>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</si>
  <si>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</si>
  <si>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</si>
  <si>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</si>
  <si>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</si>
  <si>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</si>
  <si>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</si>
  <si>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</si>
  <si>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</si>
  <si>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</si>
  <si>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</si>
  <si>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</si>
  <si>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</si>
  <si>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</si>
  <si>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</si>
  <si>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</si>
  <si>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</si>
  <si>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</si>
  <si>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</si>
  <si>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</si>
  <si>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</si>
  <si>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</si>
  <si>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</si>
  <si>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</si>
  <si>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</si>
  <si>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</si>
  <si>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</si>
  <si>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</si>
  <si>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</si>
  <si>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</si>
  <si>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</si>
  <si>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</si>
  <si>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</si>
  <si>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</si>
  <si>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</si>
  <si>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</si>
  <si>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</si>
  <si>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</si>
  <si>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</si>
  <si>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</si>
  <si>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</si>
  <si>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</si>
  <si>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</si>
  <si>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</si>
  <si>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</si>
  <si>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</si>
  <si>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</si>
  <si>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</si>
  <si>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</si>
  <si>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</si>
  <si>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</si>
  <si>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</si>
  <si>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</si>
  <si>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</si>
  <si>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</si>
  <si>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</si>
  <si>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</si>
  <si>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</si>
  <si>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</si>
  <si>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</si>
  <si>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</si>
  <si>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</si>
  <si>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</si>
  <si>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</si>
  <si>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</si>
  <si>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</si>
  <si>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</si>
  <si>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</si>
  <si>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</si>
  <si>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</si>
  <si>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</si>
  <si>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</si>
  <si>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</si>
  <si>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</si>
  <si>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</si>
  <si>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</si>
  <si>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</si>
  <si>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</si>
  <si>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</si>
  <si>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</si>
  <si>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</si>
  <si>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</si>
  <si>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</si>
  <si>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</si>
  <si>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</si>
  <si>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</si>
  <si>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</si>
  <si>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</si>
  <si>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</si>
  <si>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</si>
  <si>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</si>
  <si>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</si>
  <si>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</si>
  <si>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</si>
  <si>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</si>
  <si>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</si>
  <si>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</si>
  <si>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</si>
  <si>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</si>
  <si>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</si>
  <si>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</si>
  <si>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</si>
  <si>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</si>
  <si>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</si>
  <si>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</si>
  <si>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</si>
  <si>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</si>
  <si>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</si>
  <si>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</si>
  <si>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</si>
  <si>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</si>
  <si>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</si>
  <si>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</si>
  <si>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</si>
  <si>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</si>
  <si>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</si>
  <si>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</si>
  <si>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</si>
  <si>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</si>
  <si>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</si>
  <si>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</si>
  <si>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</si>
  <si>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</si>
  <si>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</si>
  <si>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</si>
  <si>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</si>
  <si>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</si>
  <si>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</si>
  <si>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</si>
  <si>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</si>
  <si>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</si>
  <si>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</si>
  <si>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</si>
  <si>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</si>
  <si>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</si>
  <si>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</si>
  <si>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</si>
  <si>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</si>
  <si>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</si>
  <si>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</si>
  <si>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</si>
  <si>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</si>
  <si>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</si>
  <si>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</si>
  <si>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</si>
  <si>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</si>
  <si>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</si>
  <si>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</si>
  <si>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</si>
  <si>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</si>
  <si>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</si>
  <si>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</si>
  <si>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</si>
  <si>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</si>
  <si>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</si>
  <si>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</si>
  <si>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</si>
  <si>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</si>
  <si>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</si>
  <si>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</si>
  <si>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</si>
  <si>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</si>
  <si>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</si>
  <si>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</si>
  <si>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</si>
  <si>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</si>
  <si>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</si>
  <si>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</si>
  <si>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</si>
  <si>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</si>
  <si>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</si>
  <si>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</si>
  <si>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</si>
  <si>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</si>
  <si>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</si>
  <si>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</si>
  <si>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</si>
  <si>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</si>
  <si>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</si>
  <si>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</si>
  <si>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</si>
  <si>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</si>
  <si>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</si>
  <si>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</si>
  <si>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</si>
  <si>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</si>
  <si>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</si>
  <si>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</si>
  <si>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</si>
  <si>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</si>
  <si>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</si>
  <si>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</si>
  <si>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</si>
  <si>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</si>
  <si>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</si>
  <si>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</si>
  <si>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</si>
  <si>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</si>
  <si>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</si>
  <si>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</si>
  <si>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</si>
  <si>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</si>
  <si>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</si>
  <si>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</si>
  <si>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</si>
  <si>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</si>
  <si>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</si>
  <si>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</si>
  <si>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</si>
  <si>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</si>
  <si>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</si>
  <si>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</si>
  <si>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</si>
  <si>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</si>
  <si>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</si>
  <si>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</si>
  <si>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</si>
  <si>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</si>
  <si>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</si>
  <si>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</si>
  <si>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</si>
  <si>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</si>
  <si>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</si>
  <si>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</si>
  <si>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</si>
  <si>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</si>
  <si>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</si>
  <si>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</si>
  <si>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</si>
  <si>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</si>
  <si>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</si>
  <si>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</si>
  <si>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</si>
  <si>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</si>
  <si>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</si>
  <si>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</si>
  <si>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</si>
  <si>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</si>
  <si>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</si>
  <si>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</si>
  <si>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</si>
  <si>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</si>
  <si>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</si>
  <si>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</si>
  <si>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</si>
  <si>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</si>
  <si>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</si>
  <si>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</si>
  <si>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</si>
  <si>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</si>
  <si>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</si>
  <si>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</si>
  <si>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</si>
  <si>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</si>
  <si>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</si>
  <si>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</si>
  <si>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</si>
  <si>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</si>
  <si>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</si>
  <si>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</si>
  <si>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</si>
  <si>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</si>
  <si>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</si>
  <si>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</si>
  <si>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</si>
  <si>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</si>
  <si>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</si>
  <si>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</si>
  <si>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</si>
  <si>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</si>
  <si>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</si>
  <si>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</si>
  <si>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</si>
  <si>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</si>
  <si>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</si>
  <si>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</si>
  <si>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</si>
  <si>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</si>
  <si>
    <t>achievement_pic/21.png</t>
  </si>
  <si>
    <t>Кирпичная стена</t>
  </si>
  <si>
    <t>Достижение получает вратарь не пропустивший за игровой день ни одного гола.</t>
  </si>
  <si>
    <t>achievement_pic/22.png</t>
  </si>
  <si>
    <t>https://greyusek.github.io/football_stats/</t>
  </si>
  <si>
    <t>https://disk.yandex.ru/i/bXx_SMJi7Z406w</t>
  </si>
  <si>
    <t>Супер Стар</t>
  </si>
  <si>
    <t>Лучший игрок которого выбрали голосованием по результатм игрового дня.</t>
  </si>
  <si>
    <t>achievement_pic/23.png</t>
  </si>
  <si>
    <t>https://disk.yandex.ru/i/2wO4YWJ1OXiFXQ</t>
  </si>
  <si>
    <t>Вася (1900)</t>
  </si>
  <si>
    <t>Александр</t>
  </si>
  <si>
    <t>Владислав</t>
  </si>
  <si>
    <t>https://disk.yandex.ru/i/fvP-auBpj4R6Uw</t>
  </si>
  <si>
    <t>Данила (Руб+1)</t>
  </si>
  <si>
    <t>Гагик (Атай+1)</t>
  </si>
  <si>
    <t>Рашид</t>
  </si>
  <si>
    <t>Эльбек</t>
  </si>
  <si>
    <t>Даня (кипер)</t>
  </si>
  <si>
    <t>https://disk.yandex.ru/i/5mk7gz0gXtDjPQ</t>
  </si>
  <si>
    <t>Костя (Травкин+1)</t>
  </si>
  <si>
    <t>Осень 2026</t>
  </si>
  <si>
    <t>Сокол</t>
  </si>
  <si>
    <t>Роял (Нур+1)</t>
  </si>
  <si>
    <t>Дима (Богдан+1)</t>
  </si>
  <si>
    <t>Дима (Рашид+1)</t>
  </si>
  <si>
    <t>Ислам (Умар+1)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</si>
</sst>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left" vertical="center" wrapText="1"/>
    </xf>
    <xf numFmtId="0" fontId="1" fillId="0" borderId="13" xfId="0" applyNumberFormat="1" applyFont="1" applyFill="1" applyBorder="1" applyAlignment="1">
      <alignment horizontal="left" vertical="center" wrapText="1"/>
    </xf>
    <xf numFmtId="0" fontId="1" fillId="0" borderId="14" xfId="0" applyNumberFormat="1" applyFont="1" applyFill="1" applyBorder="1" applyAlignment="1">
      <alignment horizontal="center" vertical="center" wrapText="1"/>
    </xf>
    <xf numFmtId="165" fontId="1" fillId="0" borderId="14" xfId="0" applyNumberFormat="1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/>
    </xf>
    <xf numFmtId="0" fontId="1" fillId="0" borderId="8" xfId="0" applyNumberFormat="1" applyFont="1" applyFill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201" headerRowDxfId="25" totalsRowDxfId="22" headerRowBorderDxfId="24" tableBorderDxfId="23">
  <autoFilter ref="A1:G201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727">
  <autoFilter ref="A1:O1727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39">
  <autoFilter ref="A1:I239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10">
  <autoFilter ref="A1:K10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4" totalsRowShown="0" headerRowDxfId="14" dataDxfId="13">
  <autoFilter ref="A1:D24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218" totalsRowShown="0" headerRowDxfId="8" dataDxfId="6" headerRowBorderDxfId="7" tableBorderDxfId="5" totalsRowBorderDxfId="4">
  <autoFilter ref="A1:D218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disk.yandex.ru/i/5mk7gz0gXtDjPQ" TargetMode="External"/><Relationship Id="rId3" Type="http://schemas.openxmlformats.org/officeDocument/2006/relationships/hyperlink" Target="https://disk.yandex.ru/i/P7FmDCZ548qHag" TargetMode="External"/><Relationship Id="rId7" Type="http://schemas.openxmlformats.org/officeDocument/2006/relationships/hyperlink" Target="https://disk.yandex.ru/i/fvP-auBpj4R6Uw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6" Type="http://schemas.openxmlformats.org/officeDocument/2006/relationships/hyperlink" Target="https://disk.yandex.ru/i/2wO4YWJ1OXiFXQ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mitino.streamlit.app/" TargetMode="External"/><Relationship Id="rId10" Type="http://schemas.openxmlformats.org/officeDocument/2006/relationships/hyperlink" Target="https://greyusek.github.io/football_stats/" TargetMode="External"/><Relationship Id="rId4" Type="http://schemas.openxmlformats.org/officeDocument/2006/relationships/hyperlink" Target="https://disk.yandex.ru/i/woYWD66OJCtQEw" TargetMode="External"/><Relationship Id="rId9" Type="http://schemas.openxmlformats.org/officeDocument/2006/relationships/hyperlink" Target="https://greyusek.github.io/football_stats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201"/>
  <sheetViews>
    <sheetView topLeftCell="A169" workbookViewId="0">
      <selection activeCell="B201" sqref="B201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87</v>
      </c>
      <c r="D3" s="11">
        <f>SUMIFS(_stats[assists_on_date],_stats[player_id],_players[[#This Row],[player_id]])</f>
        <v>56</v>
      </c>
      <c r="E3" s="11">
        <f>SUMIFS(_stats[wins_on_date],_stats[player_id],_players[[#This Row],[player_id]])</f>
        <v>227</v>
      </c>
      <c r="F3" s="11">
        <f>SUMIFS(_stats[draws_on_date],_stats[player_id],_players[[#This Row],[player_id]])</f>
        <v>58</v>
      </c>
      <c r="G3" s="12">
        <f>SUMIFS(_stats[foul_on_date],_stats[player_id],_players[[#This Row],[player_id]])</f>
        <v>4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43</v>
      </c>
      <c r="D6" s="16">
        <f>SUMIFS(_stats[assists_on_date],_stats[player_id],_players[[#This Row],[player_id]])</f>
        <v>24</v>
      </c>
      <c r="E6" s="16">
        <f>SUMIFS(_stats[wins_on_date],_stats[player_id],_players[[#This Row],[player_id]])</f>
        <v>240</v>
      </c>
      <c r="F6" s="16">
        <f>SUMIFS(_stats[draws_on_date],_stats[player_id],_players[[#This Row],[player_id]])</f>
        <v>69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72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114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62</v>
      </c>
      <c r="D8" s="11">
        <f>SUMIFS(_stats[assists_on_date],_stats[player_id],_players[[#This Row],[player_id]])</f>
        <v>31</v>
      </c>
      <c r="E8" s="11">
        <f>SUMIFS(_stats[wins_on_date],_stats[player_id],_players[[#This Row],[player_id]])</f>
        <v>187</v>
      </c>
      <c r="F8" s="11">
        <f>SUMIFS(_stats[draws_on_date],_stats[player_id],_players[[#This Row],[player_id]])</f>
        <v>63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5</v>
      </c>
      <c r="D10" s="16">
        <f>SUMIFS(_stats[assists_on_date],_stats[player_id],_players[[#This Row],[player_id]])</f>
        <v>7</v>
      </c>
      <c r="E10" s="16">
        <f>SUMIFS(_stats[wins_on_date],_stats[player_id],_players[[#This Row],[player_id]])</f>
        <v>86</v>
      </c>
      <c r="F10" s="16">
        <f>SUMIFS(_stats[draws_on_date],_stats[player_id],_players[[#This Row],[player_id]])</f>
        <v>26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89</v>
      </c>
      <c r="D12" s="16">
        <f>SUMIFS(_stats[assists_on_date],_stats[player_id],_players[[#This Row],[player_id]])</f>
        <v>101</v>
      </c>
      <c r="E12" s="16">
        <f>SUMIFS(_stats[wins_on_date],_stats[player_id],_players[[#This Row],[player_id]])</f>
        <v>182</v>
      </c>
      <c r="F12" s="16">
        <f>SUMIFS(_stats[draws_on_date],_stats[player_id],_players[[#This Row],[player_id]])</f>
        <v>62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13</v>
      </c>
      <c r="D14" s="11">
        <f>SUMIFS(_stats[assists_on_date],_stats[player_id],_players[[#This Row],[player_id]])</f>
        <v>12</v>
      </c>
      <c r="E14" s="11">
        <f>SUMIFS(_stats[wins_on_date],_stats[player_id],_players[[#This Row],[player_id]])</f>
        <v>200</v>
      </c>
      <c r="F14" s="11">
        <f>SUMIFS(_stats[draws_on_date],_stats[player_id],_players[[#This Row],[player_id]])</f>
        <v>63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25</v>
      </c>
      <c r="D16" s="11">
        <f>SUMIFS(_stats[assists_on_date],_stats[player_id],_players[[#This Row],[player_id]])</f>
        <v>37</v>
      </c>
      <c r="E16" s="11">
        <f>SUMIFS(_stats[wins_on_date],_stats[player_id],_players[[#This Row],[player_id]])</f>
        <v>76</v>
      </c>
      <c r="F16" s="11">
        <f>SUMIFS(_stats[draws_on_date],_stats[player_id],_players[[#This Row],[player_id]])</f>
        <v>14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12</v>
      </c>
      <c r="D17" s="11">
        <f>SUMIFS(_stats[assists_on_date],_stats[player_id],_players[[#This Row],[player_id]])</f>
        <v>29</v>
      </c>
      <c r="E17" s="11">
        <f>SUMIFS(_stats[wins_on_date],_stats[player_id],_players[[#This Row],[player_id]])</f>
        <v>79</v>
      </c>
      <c r="F17" s="11">
        <f>SUMIFS(_stats[draws_on_date],_stats[player_id],_players[[#This Row],[player_id]])</f>
        <v>27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44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113</v>
      </c>
      <c r="F18" s="11">
        <f>SUMIFS(_stats[draws_on_date],_stats[player_id],_players[[#This Row],[player_id]])</f>
        <v>20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24</v>
      </c>
      <c r="D20" s="11">
        <f>SUMIFS(_stats[assists_on_date],_stats[player_id],_players[[#This Row],[player_id]])</f>
        <v>23</v>
      </c>
      <c r="E20" s="11">
        <f>SUMIFS(_stats[wins_on_date],_stats[player_id],_players[[#This Row],[player_id]])</f>
        <v>134</v>
      </c>
      <c r="F20" s="11">
        <f>SUMIFS(_stats[draws_on_date],_stats[player_id],_players[[#This Row],[player_id]])</f>
        <v>35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45</v>
      </c>
      <c r="D21" s="11">
        <f>SUMIFS(_stats[assists_on_date],_stats[player_id],_players[[#This Row],[player_id]])</f>
        <v>58</v>
      </c>
      <c r="E21" s="11">
        <f>SUMIFS(_stats[wins_on_date],_stats[player_id],_players[[#This Row],[player_id]])</f>
        <v>160</v>
      </c>
      <c r="F21" s="11">
        <f>SUMIFS(_stats[draws_on_date],_stats[player_id],_players[[#This Row],[player_id]])</f>
        <v>47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5</v>
      </c>
      <c r="D22" s="16">
        <f>SUMIFS(_stats[assists_on_date],_stats[player_id],_players[[#This Row],[player_id]])</f>
        <v>9</v>
      </c>
      <c r="E22" s="16">
        <f>SUMIFS(_stats[wins_on_date],_stats[player_id],_players[[#This Row],[player_id]])</f>
        <v>137</v>
      </c>
      <c r="F22" s="16">
        <f>SUMIFS(_stats[draws_on_date],_stats[player_id],_players[[#This Row],[player_id]])</f>
        <v>32</v>
      </c>
      <c r="G22" s="17">
        <f>SUMIFS(_stats[foul_on_date],_stats[player_id],_players[[#This Row],[player_id]])</f>
        <v>1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42</v>
      </c>
      <c r="D23" s="11">
        <f>SUMIFS(_stats[assists_on_date],_stats[player_id],_players[[#This Row],[player_id]])</f>
        <v>42</v>
      </c>
      <c r="E23" s="11">
        <f>SUMIFS(_stats[wins_on_date],_stats[player_id],_players[[#This Row],[player_id]])</f>
        <v>149</v>
      </c>
      <c r="F23" s="11">
        <f>SUMIFS(_stats[draws_on_date],_stats[player_id],_players[[#This Row],[player_id]])</f>
        <v>37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20</v>
      </c>
      <c r="D25" s="11">
        <f>SUMIFS(_stats[assists_on_date],_stats[player_id],_players[[#This Row],[player_id]])</f>
        <v>28</v>
      </c>
      <c r="E25" s="11">
        <f>SUMIFS(_stats[wins_on_date],_stats[player_id],_players[[#This Row],[player_id]])</f>
        <v>126</v>
      </c>
      <c r="F25" s="11">
        <f>SUMIFS(_stats[draws_on_date],_stats[player_id],_players[[#This Row],[player_id]])</f>
        <v>41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11</v>
      </c>
      <c r="E26" s="16">
        <f>SUMIFS(_stats[wins_on_date],_stats[player_id],_players[[#This Row],[player_id]])</f>
        <v>58</v>
      </c>
      <c r="F26" s="16">
        <f>SUMIFS(_stats[draws_on_date],_stats[player_id],_players[[#This Row],[player_id]])</f>
        <v>18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18</v>
      </c>
      <c r="D27" s="11">
        <f>SUMIFS(_stats[assists_on_date],_stats[player_id],_players[[#This Row],[player_id]])</f>
        <v>25</v>
      </c>
      <c r="E27" s="11">
        <f>SUMIFS(_stats[wins_on_date],_stats[player_id],_players[[#This Row],[player_id]])</f>
        <v>108</v>
      </c>
      <c r="F27" s="11">
        <f>SUMIFS(_stats[draws_on_date],_stats[player_id],_players[[#This Row],[player_id]])</f>
        <v>26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75</v>
      </c>
      <c r="F28" s="11">
        <f>SUMIFS(_stats[draws_on_date],_stats[player_id],_players[[#This Row],[player_id]])</f>
        <v>30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13</v>
      </c>
      <c r="D30" s="16">
        <f>SUMIFS(_stats[assists_on_date],_stats[player_id],_players[[#This Row],[player_id]])</f>
        <v>7</v>
      </c>
      <c r="E30" s="16">
        <f>SUMIFS(_stats[wins_on_date],_stats[player_id],_players[[#This Row],[player_id]])</f>
        <v>58</v>
      </c>
      <c r="F30" s="16">
        <f>SUMIFS(_stats[draws_on_date],_stats[player_id],_players[[#This Row],[player_id]])</f>
        <v>17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12</v>
      </c>
      <c r="E32" s="11">
        <f>SUMIFS(_stats[wins_on_date],_stats[player_id],_players[[#This Row],[player_id]])</f>
        <v>46</v>
      </c>
      <c r="F32" s="11">
        <f>SUMIFS(_stats[draws_on_date],_stats[player_id],_players[[#This Row],[player_id]])</f>
        <v>19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11</v>
      </c>
      <c r="D33" s="11">
        <f>SUMIFS(_stats[assists_on_date],_stats[player_id],_players[[#This Row],[player_id]])</f>
        <v>8</v>
      </c>
      <c r="E33" s="11">
        <f>SUMIFS(_stats[wins_on_date],_stats[player_id],_players[[#This Row],[player_id]])</f>
        <v>34</v>
      </c>
      <c r="F33" s="11">
        <f>SUMIFS(_stats[draws_on_date],_stats[player_id],_players[[#This Row],[player_id]])</f>
        <v>18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27</v>
      </c>
      <c r="E38" s="11">
        <f>SUMIFS(_stats[wins_on_date],_stats[player_id],_players[[#This Row],[player_id]])</f>
        <v>90</v>
      </c>
      <c r="F38" s="11">
        <f>SUMIFS(_stats[draws_on_date],_stats[player_id],_players[[#This Row],[player_id]])</f>
        <v>37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4</v>
      </c>
      <c r="E39" s="11">
        <f>SUMIFS(_stats[wins_on_date],_stats[player_id],_players[[#This Row],[player_id]])</f>
        <v>194</v>
      </c>
      <c r="F39" s="11">
        <f>SUMIFS(_stats[draws_on_date],_stats[player_id],_players[[#This Row],[player_id]])</f>
        <v>75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14</v>
      </c>
      <c r="E41" s="11">
        <f>SUMIFS(_stats[wins_on_date],_stats[player_id],_players[[#This Row],[player_id]])</f>
        <v>101</v>
      </c>
      <c r="F41" s="11">
        <f>SUMIFS(_stats[draws_on_date],_stats[player_id],_players[[#This Row],[player_id]])</f>
        <v>37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12</v>
      </c>
      <c r="D43" s="11">
        <f>SUMIFS(_stats[assists_on_date],_stats[player_id],_players[[#This Row],[player_id]])</f>
        <v>13</v>
      </c>
      <c r="E43" s="11">
        <f>SUMIFS(_stats[wins_on_date],_stats[player_id],_players[[#This Row],[player_id]])</f>
        <v>75</v>
      </c>
      <c r="F43" s="11">
        <f>SUMIFS(_stats[draws_on_date],_stats[player_id],_players[[#This Row],[player_id]])</f>
        <v>34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2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74</v>
      </c>
      <c r="F48" s="16">
        <f>SUMIFS(_stats[draws_on_date],_stats[player_id],_players[[#This Row],[player_id]])</f>
        <v>20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55</v>
      </c>
      <c r="F50" s="11">
        <f>SUMIFS(_stats[draws_on_date],_stats[player_id],_players[[#This Row],[player_id]])</f>
        <v>20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6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17</v>
      </c>
      <c r="F55" s="11">
        <f>SUMIFS(_stats[draws_on_date],_stats[player_id],_players[[#This Row],[player_id]])</f>
        <v>10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33</v>
      </c>
      <c r="D59" s="16">
        <f>SUMIFS(_stats[assists_on_date],_stats[player_id],_players[[#This Row],[player_id]])</f>
        <v>11</v>
      </c>
      <c r="E59" s="16">
        <f>SUMIFS(_stats[wins_on_date],_stats[player_id],_players[[#This Row],[player_id]])</f>
        <v>66</v>
      </c>
      <c r="F59" s="16">
        <f>SUMIFS(_stats[draws_on_date],_stats[player_id],_players[[#This Row],[player_id]])</f>
        <v>25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11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22</v>
      </c>
      <c r="F60" s="16">
        <f>SUMIFS(_stats[draws_on_date],_stats[player_id],_players[[#This Row],[player_id]])</f>
        <v>9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23</v>
      </c>
      <c r="D64" s="16">
        <f>SUMIFS(_stats[assists_on_date],_stats[player_id],_players[[#This Row],[player_id]])</f>
        <v>19</v>
      </c>
      <c r="E64" s="16">
        <f>SUMIFS(_stats[wins_on_date],_stats[player_id],_players[[#This Row],[player_id]])</f>
        <v>144</v>
      </c>
      <c r="F64" s="16">
        <f>SUMIFS(_stats[draws_on_date],_stats[player_id],_players[[#This Row],[player_id]])</f>
        <v>49</v>
      </c>
      <c r="G64" s="17">
        <f>SUMIFS(_stats[foul_on_date],_stats[player_id],_players[[#This Row],[player_id]])</f>
        <v>3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48</v>
      </c>
      <c r="D76" s="16">
        <f>SUMIFS(_stats[assists_on_date],_stats[player_id],_players[[#This Row],[player_id]])</f>
        <v>24</v>
      </c>
      <c r="E76" s="16">
        <f>SUMIFS(_stats[wins_on_date],_stats[player_id],_players[[#This Row],[player_id]])</f>
        <v>58</v>
      </c>
      <c r="F76" s="16">
        <f>SUMIFS(_stats[draws_on_date],_stats[player_id],_players[[#This Row],[player_id]])</f>
        <v>18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1</v>
      </c>
      <c r="D88" s="16">
        <f>SUMIFS(_stats[assists_on_date],_stats[player_id],_players[[#This Row],[player_id]])</f>
        <v>3</v>
      </c>
      <c r="E88" s="16">
        <f>SUMIFS(_stats[wins_on_date],_stats[player_id],_players[[#This Row],[player_id]])</f>
        <v>19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5</v>
      </c>
      <c r="D92" s="16">
        <f>SUMIFS(_stats[assists_on_date],_stats[player_id],_players[[#This Row],[player_id]])</f>
        <v>3</v>
      </c>
      <c r="E92" s="16">
        <f>SUMIFS(_stats[wins_on_date],_stats[player_id],_players[[#This Row],[player_id]])</f>
        <v>13</v>
      </c>
      <c r="F92" s="16">
        <f>SUMIFS(_stats[draws_on_date],_stats[player_id],_players[[#This Row],[player_id]])</f>
        <v>7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6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23</v>
      </c>
      <c r="F96" s="16">
        <f>SUMIFS(_stats[draws_on_date],_stats[player_id],_players[[#This Row],[player_id]])</f>
        <v>11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7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11</v>
      </c>
      <c r="F106" s="16">
        <f>SUMIFS(_stats[draws_on_date],_stats[player_id],_players[[#This Row],[player_id]])</f>
        <v>14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2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2</v>
      </c>
      <c r="F108" s="16">
        <f>SUMIFS(_stats[draws_on_date],_stats[player_id],_players[[#This Row],[player_id]])</f>
        <v>5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21</v>
      </c>
      <c r="D120" s="16">
        <f>SUMIFS(_stats[assists_on_date],_stats[player_id],_players[[#This Row],[player_id]])</f>
        <v>12</v>
      </c>
      <c r="E120" s="16">
        <f>SUMIFS(_stats[wins_on_date],_stats[player_id],_players[[#This Row],[player_id]])</f>
        <v>65</v>
      </c>
      <c r="F120" s="16">
        <f>SUMIFS(_stats[draws_on_date],_stats[player_id],_players[[#This Row],[player_id]])</f>
        <v>32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17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78</v>
      </c>
      <c r="F121" s="16">
        <f>SUMIFS(_stats[draws_on_date],_stats[player_id],_players[[#This Row],[player_id]])</f>
        <v>30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14</v>
      </c>
      <c r="D126" s="16">
        <f>SUMIFS(_stats[assists_on_date],_stats[player_id],_players[[#This Row],[player_id]])</f>
        <v>8</v>
      </c>
      <c r="E126" s="16">
        <f>SUMIFS(_stats[wins_on_date],_stats[player_id],_players[[#This Row],[player_id]])</f>
        <v>37</v>
      </c>
      <c r="F126" s="16">
        <f>SUMIFS(_stats[draws_on_date],_stats[player_id],_players[[#This Row],[player_id]])</f>
        <v>21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2</v>
      </c>
      <c r="D130" s="16">
        <f>SUMIFS(_stats[assists_on_date],_stats[player_id],_players[[#This Row],[player_id]])</f>
        <v>1</v>
      </c>
      <c r="E130" s="16">
        <f>SUMIFS(_stats[wins_on_date],_stats[player_id],_players[[#This Row],[player_id]])</f>
        <v>15</v>
      </c>
      <c r="F130" s="16">
        <f>SUMIFS(_stats[draws_on_date],_stats[player_id],_players[[#This Row],[player_id]])</f>
        <v>12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4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10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15</v>
      </c>
      <c r="F134" s="16">
        <f>SUMIFS(_stats[draws_on_date],_stats[player_id],_players[[#This Row],[player_id]])</f>
        <v>9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11</v>
      </c>
      <c r="D137" s="16">
        <f>SUMIFS(_stats[assists_on_date],_stats[player_id],_players[[#This Row],[player_id]])</f>
        <v>9</v>
      </c>
      <c r="E137" s="16">
        <f>SUMIFS(_stats[wins_on_date],_stats[player_id],_players[[#This Row],[player_id]])</f>
        <v>44</v>
      </c>
      <c r="F137" s="16">
        <f>SUMIFS(_stats[draws_on_date],_stats[player_id],_players[[#This Row],[player_id]])</f>
        <v>17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2</v>
      </c>
      <c r="D148" s="16">
        <f>SUMIFS(_stats[assists_on_date],_stats[player_id],_players[[#This Row],[player_id]])</f>
        <v>1</v>
      </c>
      <c r="E148" s="16">
        <f>SUMIFS(_stats[wins_on_date],_stats[player_id],_players[[#This Row],[player_id]])</f>
        <v>30</v>
      </c>
      <c r="F148" s="16">
        <f>SUMIFS(_stats[draws_on_date],_stats[player_id],_players[[#This Row],[player_id]])</f>
        <v>21</v>
      </c>
      <c r="G148" s="17">
        <f>SUMIFS(_stats[foul_on_date],_stats[player_id],_players[[#This Row],[player_id]])</f>
        <v>3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23</v>
      </c>
      <c r="D152" s="16">
        <f>SUMIFS(_stats[assists_on_date],_stats[player_id],_players[[#This Row],[player_id]])</f>
        <v>6</v>
      </c>
      <c r="E152" s="16">
        <f>SUMIFS(_stats[wins_on_date],_stats[player_id],_players[[#This Row],[player_id]])</f>
        <v>47</v>
      </c>
      <c r="F152" s="16">
        <f>SUMIFS(_stats[draws_on_date],_stats[player_id],_players[[#This Row],[player_id]])</f>
        <v>15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7</v>
      </c>
      <c r="F164" s="16">
        <f>SUMIFS(_stats[draws_on_date],_stats[player_id],_players[[#This Row],[player_id]])</f>
        <v>3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290</v>
      </c>
      <c r="B183" s="92" t="s">
        <v>290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294</v>
      </c>
      <c r="B184" s="103" t="s">
        <v>294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295</v>
      </c>
      <c r="B185" s="103" t="s">
        <v>295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4</v>
      </c>
      <c r="F185" s="73">
        <f>SUMIFS(_stats[draws_on_date],_stats[player_id],_players[[#This Row],[player_id]])</f>
        <v>2</v>
      </c>
      <c r="G185" s="93">
        <f>SUMIFS(_stats[foul_on_date],_stats[player_id],_players[[#This Row],[player_id]])</f>
        <v>0</v>
      </c>
    </row>
    <row r="186" spans="1:7" x14ac:dyDescent="0.25">
      <c r="A186" s="103" t="s">
        <v>296</v>
      </c>
      <c r="B186" s="103" t="s">
        <v>296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5</v>
      </c>
      <c r="F186" s="73">
        <f>SUMIFS(_stats[draws_on_date],_stats[player_id],_players[[#This Row],[player_id]])</f>
        <v>3</v>
      </c>
      <c r="G186" s="93">
        <f>SUMIFS(_stats[foul_on_date],_stats[player_id],_players[[#This Row],[player_id]])</f>
        <v>0</v>
      </c>
    </row>
    <row r="187" spans="1:7" x14ac:dyDescent="0.25">
      <c r="A187" s="103" t="s">
        <v>297</v>
      </c>
      <c r="B187" s="103" t="s">
        <v>297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  <row r="188" spans="1:7" x14ac:dyDescent="0.25">
      <c r="A188" s="111" t="s">
        <v>308</v>
      </c>
      <c r="B188" s="111" t="s">
        <v>308</v>
      </c>
      <c r="C188" s="73">
        <f>SUMIFS(_stats[goals_on_date],_stats[player_id],_players[[#This Row],[player_id]])</f>
        <v>2</v>
      </c>
      <c r="D188" s="73">
        <f>SUMIFS(_stats[assists_on_date],_stats[player_id],_players[[#This Row],[player_id]])</f>
        <v>0</v>
      </c>
      <c r="E188" s="73">
        <f>SUMIFS(_stats[wins_on_date],_stats[player_id],_players[[#This Row],[player_id]])</f>
        <v>2</v>
      </c>
      <c r="F188" s="73">
        <f>SUMIFS(_stats[draws_on_date],_stats[player_id],_players[[#This Row],[player_id]])</f>
        <v>2</v>
      </c>
      <c r="G188" s="93">
        <f>SUMIFS(_stats[foul_on_date],_stats[player_id],_players[[#This Row],[player_id]])</f>
        <v>0</v>
      </c>
    </row>
    <row r="189" spans="1:7" x14ac:dyDescent="0.25">
      <c r="A189" s="111" t="s">
        <v>309</v>
      </c>
      <c r="B189" s="112" t="s">
        <v>309</v>
      </c>
      <c r="C189" s="73">
        <f>SUMIFS(_stats[goals_on_date],_stats[player_id],_players[[#This Row],[player_id]])</f>
        <v>0</v>
      </c>
      <c r="D189" s="73">
        <f>SUMIFS(_stats[assists_on_date],_stats[player_id],_players[[#This Row],[player_id]])</f>
        <v>1</v>
      </c>
      <c r="E189" s="73">
        <f>SUMIFS(_stats[wins_on_date],_stats[player_id],_players[[#This Row],[player_id]])</f>
        <v>5</v>
      </c>
      <c r="F189" s="73">
        <f>SUMIFS(_stats[draws_on_date],_stats[player_id],_players[[#This Row],[player_id]])</f>
        <v>2</v>
      </c>
      <c r="G189" s="93">
        <f>SUMIFS(_stats[foul_on_date],_stats[player_id],_players[[#This Row],[player_id]])</f>
        <v>0</v>
      </c>
    </row>
    <row r="190" spans="1:7" x14ac:dyDescent="0.25">
      <c r="A190" s="111" t="s">
        <v>310</v>
      </c>
      <c r="B190" s="111" t="s">
        <v>310</v>
      </c>
      <c r="C190" s="73">
        <f>SUMIFS(_stats[goals_on_date],_stats[player_id],_players[[#This Row],[player_id]])</f>
        <v>0</v>
      </c>
      <c r="D190" s="73">
        <f>SUMIFS(_stats[assists_on_date],_stats[player_id],_players[[#This Row],[player_id]])</f>
        <v>1</v>
      </c>
      <c r="E190" s="73">
        <f>SUMIFS(_stats[wins_on_date],_stats[player_id],_players[[#This Row],[player_id]])</f>
        <v>2</v>
      </c>
      <c r="F190" s="73">
        <f>SUMIFS(_stats[draws_on_date],_stats[player_id],_players[[#This Row],[player_id]])</f>
        <v>2</v>
      </c>
      <c r="G190" s="93">
        <f>SUMIFS(_stats[foul_on_date],_stats[player_id],_players[[#This Row],[player_id]])</f>
        <v>0</v>
      </c>
    </row>
    <row r="191" spans="1:7" x14ac:dyDescent="0.25">
      <c r="A191" s="111" t="s">
        <v>312</v>
      </c>
      <c r="B191" s="112" t="s">
        <v>312</v>
      </c>
      <c r="C191" s="73">
        <f>SUMIFS(_stats[goals_on_date],_stats[player_id],_players[[#This Row],[player_id]])</f>
        <v>0</v>
      </c>
      <c r="D191" s="73">
        <f>SUMIFS(_stats[assists_on_date],_stats[player_id],_players[[#This Row],[player_id]])</f>
        <v>0</v>
      </c>
      <c r="E191" s="73">
        <f>SUMIFS(_stats[wins_on_date],_stats[player_id],_players[[#This Row],[player_id]])</f>
        <v>2</v>
      </c>
      <c r="F191" s="73">
        <f>SUMIFS(_stats[draws_on_date],_stats[player_id],_players[[#This Row],[player_id]])</f>
        <v>2</v>
      </c>
      <c r="G191" s="93">
        <f>SUMIFS(_stats[foul_on_date],_stats[player_id],_players[[#This Row],[player_id]])</f>
        <v>0</v>
      </c>
    </row>
    <row r="192" spans="1:7" x14ac:dyDescent="0.25">
      <c r="A192" s="111" t="s">
        <v>313</v>
      </c>
      <c r="B192" s="112" t="s">
        <v>313</v>
      </c>
      <c r="C192" s="73">
        <f>SUMIFS(_stats[goals_on_date],_stats[player_id],_players[[#This Row],[player_id]])</f>
        <v>0</v>
      </c>
      <c r="D192" s="73">
        <f>SUMIFS(_stats[assists_on_date],_stats[player_id],_players[[#This Row],[player_id]])</f>
        <v>0</v>
      </c>
      <c r="E192" s="73">
        <f>SUMIFS(_stats[wins_on_date],_stats[player_id],_players[[#This Row],[player_id]])</f>
        <v>0</v>
      </c>
      <c r="F192" s="73">
        <f>SUMIFS(_stats[draws_on_date],_stats[player_id],_players[[#This Row],[player_id]])</f>
        <v>3</v>
      </c>
      <c r="G192" s="93">
        <f>SUMIFS(_stats[foul_on_date],_stats[player_id],_players[[#This Row],[player_id]])</f>
        <v>0</v>
      </c>
    </row>
    <row r="193" spans="1:7" x14ac:dyDescent="0.25">
      <c r="A193" s="111" t="s">
        <v>314</v>
      </c>
      <c r="B193" s="112" t="s">
        <v>314</v>
      </c>
      <c r="C193" s="73">
        <f>SUMIFS(_stats[goals_on_date],_stats[player_id],_players[[#This Row],[player_id]])</f>
        <v>0</v>
      </c>
      <c r="D193" s="73">
        <f>SUMIFS(_stats[assists_on_date],_stats[player_id],_players[[#This Row],[player_id]])</f>
        <v>1</v>
      </c>
      <c r="E193" s="73">
        <f>SUMIFS(_stats[wins_on_date],_stats[player_id],_players[[#This Row],[player_id]])</f>
        <v>8</v>
      </c>
      <c r="F193" s="73">
        <f>SUMIFS(_stats[draws_on_date],_stats[player_id],_players[[#This Row],[player_id]])</f>
        <v>10</v>
      </c>
      <c r="G193" s="93">
        <f>SUMIFS(_stats[foul_on_date],_stats[player_id],_players[[#This Row],[player_id]])</f>
        <v>0</v>
      </c>
    </row>
    <row r="194" spans="1:7" x14ac:dyDescent="0.25">
      <c r="A194" s="111" t="s">
        <v>315</v>
      </c>
      <c r="B194" s="112" t="s">
        <v>315</v>
      </c>
      <c r="C194" s="73">
        <f>SUMIFS(_stats[goals_on_date],_stats[player_id],_players[[#This Row],[player_id]])</f>
        <v>0</v>
      </c>
      <c r="D194" s="73">
        <f>SUMIFS(_stats[assists_on_date],_stats[player_id],_players[[#This Row],[player_id]])</f>
        <v>0</v>
      </c>
      <c r="E194" s="73">
        <f>SUMIFS(_stats[wins_on_date],_stats[player_id],_players[[#This Row],[player_id]])</f>
        <v>0</v>
      </c>
      <c r="F194" s="73">
        <f>SUMIFS(_stats[draws_on_date],_stats[player_id],_players[[#This Row],[player_id]])</f>
        <v>3</v>
      </c>
      <c r="G194" s="93">
        <f>SUMIFS(_stats[foul_on_date],_stats[player_id],_players[[#This Row],[player_id]])</f>
        <v>0</v>
      </c>
    </row>
    <row r="195" spans="1:7" x14ac:dyDescent="0.25">
      <c r="A195" s="111" t="s">
        <v>316</v>
      </c>
      <c r="B195" s="112" t="s">
        <v>316</v>
      </c>
      <c r="C195" s="73">
        <f>SUMIFS(_stats[goals_on_date],_stats[player_id],_players[[#This Row],[player_id]])</f>
        <v>1</v>
      </c>
      <c r="D195" s="73">
        <f>SUMIFS(_stats[assists_on_date],_stats[player_id],_players[[#This Row],[player_id]])</f>
        <v>0</v>
      </c>
      <c r="E195" s="73">
        <f>SUMIFS(_stats[wins_on_date],_stats[player_id],_players[[#This Row],[player_id]])</f>
        <v>8</v>
      </c>
      <c r="F195" s="73">
        <f>SUMIFS(_stats[draws_on_date],_stats[player_id],_players[[#This Row],[player_id]])</f>
        <v>6</v>
      </c>
      <c r="G195" s="93">
        <f>SUMIFS(_stats[foul_on_date],_stats[player_id],_players[[#This Row],[player_id]])</f>
        <v>0</v>
      </c>
    </row>
    <row r="196" spans="1:7" x14ac:dyDescent="0.25">
      <c r="A196" s="111" t="s">
        <v>318</v>
      </c>
      <c r="B196" s="111" t="s">
        <v>318</v>
      </c>
      <c r="C196" s="73">
        <f>SUMIFS(_stats[goals_on_date],_stats[player_id],_players[[#This Row],[player_id]])</f>
        <v>1</v>
      </c>
      <c r="D196" s="73">
        <f>SUMIFS(_stats[assists_on_date],_stats[player_id],_players[[#This Row],[player_id]])</f>
        <v>0</v>
      </c>
      <c r="E196" s="73">
        <f>SUMIFS(_stats[wins_on_date],_stats[player_id],_players[[#This Row],[player_id]])</f>
        <v>1</v>
      </c>
      <c r="F196" s="73">
        <f>SUMIFS(_stats[draws_on_date],_stats[player_id],_players[[#This Row],[player_id]])</f>
        <v>0</v>
      </c>
      <c r="G196" s="93">
        <f>SUMIFS(_stats[foul_on_date],_stats[player_id],_players[[#This Row],[player_id]])</f>
        <v>0</v>
      </c>
    </row>
    <row r="197" spans="1:7" x14ac:dyDescent="0.25">
      <c r="A197" s="111" t="s">
        <v>321</v>
      </c>
      <c r="B197" s="112" t="s">
        <v>321</v>
      </c>
      <c r="C197" s="73">
        <f>SUMIFS(_stats[goals_on_date],_stats[player_id],_players[[#This Row],[player_id]])</f>
        <v>0</v>
      </c>
      <c r="D197" s="73">
        <f>SUMIFS(_stats[assists_on_date],_stats[player_id],_players[[#This Row],[player_id]])</f>
        <v>0</v>
      </c>
      <c r="E197" s="73">
        <f>SUMIFS(_stats[wins_on_date],_stats[player_id],_players[[#This Row],[player_id]])</f>
        <v>1</v>
      </c>
      <c r="F197" s="73">
        <f>SUMIFS(_stats[draws_on_date],_stats[player_id],_players[[#This Row],[player_id]])</f>
        <v>3</v>
      </c>
      <c r="G197" s="93">
        <f>SUMIFS(_stats[foul_on_date],_stats[player_id],_players[[#This Row],[player_id]])</f>
        <v>0</v>
      </c>
    </row>
    <row r="198" spans="1:7" x14ac:dyDescent="0.25">
      <c r="A198" s="111" t="s">
        <v>322</v>
      </c>
      <c r="B198" s="111" t="s">
        <v>322</v>
      </c>
      <c r="C198" s="73">
        <f>SUMIFS(_stats[goals_on_date],_stats[player_id],_players[[#This Row],[player_id]])</f>
        <v>3</v>
      </c>
      <c r="D198" s="73">
        <f>SUMIFS(_stats[assists_on_date],_stats[player_id],_players[[#This Row],[player_id]])</f>
        <v>0</v>
      </c>
      <c r="E198" s="73">
        <f>SUMIFS(_stats[wins_on_date],_stats[player_id],_players[[#This Row],[player_id]])</f>
        <v>6</v>
      </c>
      <c r="F198" s="73">
        <f>SUMIFS(_stats[draws_on_date],_stats[player_id],_players[[#This Row],[player_id]])</f>
        <v>6</v>
      </c>
      <c r="G198" s="93">
        <f>SUMIFS(_stats[foul_on_date],_stats[player_id],_players[[#This Row],[player_id]])</f>
        <v>0</v>
      </c>
    </row>
    <row r="199" spans="1:7" x14ac:dyDescent="0.25">
      <c r="A199" s="111" t="s">
        <v>320</v>
      </c>
      <c r="B199" s="112" t="s">
        <v>320</v>
      </c>
      <c r="C199" s="73">
        <f>SUMIFS(_stats[goals_on_date],_stats[player_id],_players[[#This Row],[player_id]])</f>
        <v>1</v>
      </c>
      <c r="D199" s="73">
        <f>SUMIFS(_stats[assists_on_date],_stats[player_id],_players[[#This Row],[player_id]])</f>
        <v>2</v>
      </c>
      <c r="E199" s="73">
        <f>SUMIFS(_stats[wins_on_date],_stats[player_id],_players[[#This Row],[player_id]])</f>
        <v>19</v>
      </c>
      <c r="F199" s="73">
        <f>SUMIFS(_stats[draws_on_date],_stats[player_id],_players[[#This Row],[player_id]])</f>
        <v>8</v>
      </c>
      <c r="G199" s="93">
        <f>SUMIFS(_stats[foul_on_date],_stats[player_id],_players[[#This Row],[player_id]])</f>
        <v>0</v>
      </c>
    </row>
    <row r="200" spans="1:7" x14ac:dyDescent="0.25">
      <c r="A200" s="111" t="s">
        <v>323</v>
      </c>
      <c r="B200" s="111" t="s">
        <v>323</v>
      </c>
      <c r="C200" s="73">
        <f>SUMIFS(_stats[goals_on_date],_stats[player_id],_players[[#This Row],[player_id]])</f>
        <v>0</v>
      </c>
      <c r="D200" s="73">
        <f>SUMIFS(_stats[assists_on_date],_stats[player_id],_players[[#This Row],[player_id]])</f>
        <v>0</v>
      </c>
      <c r="E200" s="73">
        <f>SUMIFS(_stats[wins_on_date],_stats[player_id],_players[[#This Row],[player_id]])</f>
        <v>1</v>
      </c>
      <c r="F200" s="73">
        <f>SUMIFS(_stats[draws_on_date],_stats[player_id],_players[[#This Row],[player_id]])</f>
        <v>1</v>
      </c>
      <c r="G200" s="93">
        <f>SUMIFS(_stats[foul_on_date],_stats[player_id],_players[[#This Row],[player_id]])</f>
        <v>0</v>
      </c>
    </row>
    <row r="201" spans="1:7" x14ac:dyDescent="0.25">
      <c r="A201" s="111" t="s">
        <v>324</v>
      </c>
      <c r="B201" s="112" t="s">
        <v>324</v>
      </c>
      <c r="C201" s="73">
        <f>SUMIFS(_stats[goals_on_date],_stats[player_id],_players[[#This Row],[player_id]])</f>
        <v>0</v>
      </c>
      <c r="D201" s="73">
        <f>SUMIFS(_stats[assists_on_date],_stats[player_id],_players[[#This Row],[player_id]])</f>
        <v>0</v>
      </c>
      <c r="E201" s="73">
        <f>SUMIFS(_stats[wins_on_date],_stats[player_id],_players[[#This Row],[player_id]])</f>
        <v>4</v>
      </c>
      <c r="F201" s="73">
        <f>SUMIFS(_stats[draws_on_date],_stats[player_id],_players[[#This Row],[player_id]])</f>
        <v>3</v>
      </c>
      <c r="G201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727"/>
  <sheetViews>
    <sheetView topLeftCell="A1682" workbookViewId="0">
      <selection activeCell="D1730" sqref="D1730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290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294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295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296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297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  <row r="1580" spans="1:15" x14ac:dyDescent="0.25">
      <c r="A1580" s="6">
        <v>46236</v>
      </c>
      <c r="B1580" s="72">
        <v>1</v>
      </c>
      <c r="C1580" s="104" t="s">
        <v>8</v>
      </c>
      <c r="D1580" s="10" t="str">
        <f>IFERROR(VLOOKUP(_stats[[#This Row],[player_id]],_players[[player_id]:[player_name]],2,0),"")</f>
        <v>Костя</v>
      </c>
      <c r="E1580" s="72">
        <v>5</v>
      </c>
      <c r="F1580" s="102">
        <v>2</v>
      </c>
      <c r="G1580" s="10">
        <f>SUMIFS(_teams[wins_on_date],_teams[date],_stats[[#This Row],[date]],_teams[team_number],_stats[[#This Row],[team_number]])</f>
        <v>5</v>
      </c>
      <c r="H1580" s="10">
        <f>SUMIFS(_teams[draws_on_date],_teams[date],_stats[[#This Row],[date]],_teams[team_number],_stats[[#This Row],[team_number]])</f>
        <v>2</v>
      </c>
      <c r="I1580" s="72">
        <v>0</v>
      </c>
      <c r="J1580" s="104">
        <v>0</v>
      </c>
      <c r="K1580" s="72">
        <v>7</v>
      </c>
      <c r="L1580" s="53" t="str">
        <f>VLOOKUP(_stats[[#This Row],[tournament]],tournaments_n_rules[],2,0)</f>
        <v>УПК</v>
      </c>
      <c r="M1580" s="53" t="str">
        <f>VLOOKUP(_stats[[#This Row],[tournament]],tournaments_n_rules[],3,0)</f>
        <v>Лето 2026</v>
      </c>
      <c r="N1580" s="54">
        <f>VLOOKUP(_stats[[#This Row],[tournament]],tournaments_n_rules[],4,0)</f>
        <v>46194</v>
      </c>
      <c r="O1580" s="54">
        <f>VLOOKUP(_stats[[#This Row],[tournament]],tournaments_n_rules[],5,0)</f>
        <v>46265</v>
      </c>
    </row>
    <row r="1581" spans="1:15" x14ac:dyDescent="0.25">
      <c r="A1581" s="6">
        <v>46236</v>
      </c>
      <c r="B1581" s="72">
        <v>1</v>
      </c>
      <c r="C1581" s="104" t="s">
        <v>126</v>
      </c>
      <c r="D1581" s="10" t="str">
        <f>IFERROR(VLOOKUP(_stats[[#This Row],[player_id]],_players[[player_id]:[player_name]],2,0),"")</f>
        <v>Макс Логинов</v>
      </c>
      <c r="E1581" s="72">
        <v>0</v>
      </c>
      <c r="F1581" s="102">
        <v>0</v>
      </c>
      <c r="G1581" s="10">
        <f>SUMIFS(_teams[wins_on_date],_teams[date],_stats[[#This Row],[date]],_teams[team_number],_stats[[#This Row],[team_number]])</f>
        <v>5</v>
      </c>
      <c r="H1581" s="10">
        <f>SUMIFS(_teams[draws_on_date],_teams[date],_stats[[#This Row],[date]],_teams[team_number],_stats[[#This Row],[team_number]])</f>
        <v>2</v>
      </c>
      <c r="I1581" s="72">
        <v>0</v>
      </c>
      <c r="J1581" s="104">
        <v>0</v>
      </c>
      <c r="K1581" s="72">
        <v>7</v>
      </c>
      <c r="L1581" s="53" t="str">
        <f>VLOOKUP(_stats[[#This Row],[tournament]],tournaments_n_rules[],2,0)</f>
        <v>УПК</v>
      </c>
      <c r="M1581" s="53" t="str">
        <f>VLOOKUP(_stats[[#This Row],[tournament]],tournaments_n_rules[],3,0)</f>
        <v>Лето 2026</v>
      </c>
      <c r="N1581" s="54">
        <f>VLOOKUP(_stats[[#This Row],[tournament]],tournaments_n_rules[],4,0)</f>
        <v>46194</v>
      </c>
      <c r="O1581" s="54">
        <f>VLOOKUP(_stats[[#This Row],[tournament]],tournaments_n_rules[],5,0)</f>
        <v>46265</v>
      </c>
    </row>
    <row r="1582" spans="1:15" x14ac:dyDescent="0.25">
      <c r="A1582" s="6">
        <v>46236</v>
      </c>
      <c r="B1582" s="72">
        <v>1</v>
      </c>
      <c r="C1582" s="104" t="s">
        <v>13</v>
      </c>
      <c r="D1582" s="10" t="str">
        <f>IFERROR(VLOOKUP(_stats[[#This Row],[player_id]],_players[[player_id]:[player_name]],2,0),"")</f>
        <v>Нурик</v>
      </c>
      <c r="E1582" s="72">
        <v>2</v>
      </c>
      <c r="F1582" s="102">
        <v>1</v>
      </c>
      <c r="G1582" s="10">
        <f>SUMIFS(_teams[wins_on_date],_teams[date],_stats[[#This Row],[date]],_teams[team_number],_stats[[#This Row],[team_number]])</f>
        <v>5</v>
      </c>
      <c r="H1582" s="10">
        <f>SUMIFS(_teams[draws_on_date],_teams[date],_stats[[#This Row],[date]],_teams[team_number],_stats[[#This Row],[team_number]])</f>
        <v>2</v>
      </c>
      <c r="I1582" s="72">
        <v>0</v>
      </c>
      <c r="J1582" s="104">
        <v>0</v>
      </c>
      <c r="K1582" s="72">
        <v>7</v>
      </c>
      <c r="L1582" s="53" t="str">
        <f>VLOOKUP(_stats[[#This Row],[tournament]],tournaments_n_rules[],2,0)</f>
        <v>УПК</v>
      </c>
      <c r="M1582" s="53" t="str">
        <f>VLOOKUP(_stats[[#This Row],[tournament]],tournaments_n_rules[],3,0)</f>
        <v>Лето 2026</v>
      </c>
      <c r="N1582" s="54">
        <f>VLOOKUP(_stats[[#This Row],[tournament]],tournaments_n_rules[],4,0)</f>
        <v>46194</v>
      </c>
      <c r="O1582" s="54">
        <f>VLOOKUP(_stats[[#This Row],[tournament]],tournaments_n_rules[],5,0)</f>
        <v>46265</v>
      </c>
    </row>
    <row r="1583" spans="1:15" x14ac:dyDescent="0.25">
      <c r="A1583" s="6">
        <v>46236</v>
      </c>
      <c r="B1583" s="72">
        <v>1</v>
      </c>
      <c r="C1583" s="104" t="s">
        <v>44</v>
      </c>
      <c r="D1583" s="10" t="str">
        <f>IFERROR(VLOOKUP(_stats[[#This Row],[player_id]],_players[[player_id]:[player_name]],2,0),"")</f>
        <v>Женя (кипер)</v>
      </c>
      <c r="E1583" s="72">
        <v>0</v>
      </c>
      <c r="F1583" s="102">
        <v>0</v>
      </c>
      <c r="G1583" s="10">
        <f>SUMIFS(_teams[wins_on_date],_teams[date],_stats[[#This Row],[date]],_teams[team_number],_stats[[#This Row],[team_number]])</f>
        <v>5</v>
      </c>
      <c r="H1583" s="10">
        <f>SUMIFS(_teams[draws_on_date],_teams[date],_stats[[#This Row],[date]],_teams[team_number],_stats[[#This Row],[team_number]])</f>
        <v>2</v>
      </c>
      <c r="I1583" s="72">
        <v>4</v>
      </c>
      <c r="J1583" s="104">
        <v>0</v>
      </c>
      <c r="K1583" s="72">
        <v>7</v>
      </c>
      <c r="L1583" s="53" t="str">
        <f>VLOOKUP(_stats[[#This Row],[tournament]],tournaments_n_rules[],2,0)</f>
        <v>УПК</v>
      </c>
      <c r="M1583" s="53" t="str">
        <f>VLOOKUP(_stats[[#This Row],[tournament]],tournaments_n_rules[],3,0)</f>
        <v>Лето 2026</v>
      </c>
      <c r="N1583" s="54">
        <f>VLOOKUP(_stats[[#This Row],[tournament]],tournaments_n_rules[],4,0)</f>
        <v>46194</v>
      </c>
      <c r="O1583" s="54">
        <f>VLOOKUP(_stats[[#This Row],[tournament]],tournaments_n_rules[],5,0)</f>
        <v>46265</v>
      </c>
    </row>
    <row r="1584" spans="1:15" x14ac:dyDescent="0.25">
      <c r="A1584" s="6">
        <v>46236</v>
      </c>
      <c r="B1584" s="72">
        <v>1</v>
      </c>
      <c r="C1584" s="104" t="s">
        <v>25</v>
      </c>
      <c r="D1584" s="10" t="str">
        <f>IFERROR(VLOOKUP(_stats[[#This Row],[player_id]],_players[[player_id]:[player_name]],2,0),"")</f>
        <v>Атай</v>
      </c>
      <c r="E1584" s="72">
        <v>0</v>
      </c>
      <c r="F1584" s="102">
        <v>1</v>
      </c>
      <c r="G1584" s="10">
        <f>SUMIFS(_teams[wins_on_date],_teams[date],_stats[[#This Row],[date]],_teams[team_number],_stats[[#This Row],[team_number]])</f>
        <v>5</v>
      </c>
      <c r="H1584" s="10">
        <f>SUMIFS(_teams[draws_on_date],_teams[date],_stats[[#This Row],[date]],_teams[team_number],_stats[[#This Row],[team_number]])</f>
        <v>2</v>
      </c>
      <c r="I1584" s="72">
        <v>0</v>
      </c>
      <c r="J1584" s="104">
        <v>0</v>
      </c>
      <c r="K1584" s="72">
        <v>7</v>
      </c>
      <c r="L1584" s="53" t="str">
        <f>VLOOKUP(_stats[[#This Row],[tournament]],tournaments_n_rules[],2,0)</f>
        <v>УПК</v>
      </c>
      <c r="M1584" s="53" t="str">
        <f>VLOOKUP(_stats[[#This Row],[tournament]],tournaments_n_rules[],3,0)</f>
        <v>Лето 2026</v>
      </c>
      <c r="N1584" s="54">
        <f>VLOOKUP(_stats[[#This Row],[tournament]],tournaments_n_rules[],4,0)</f>
        <v>46194</v>
      </c>
      <c r="O1584" s="54">
        <f>VLOOKUP(_stats[[#This Row],[tournament]],tournaments_n_rules[],5,0)</f>
        <v>46265</v>
      </c>
    </row>
    <row r="1585" spans="1:15" x14ac:dyDescent="0.25">
      <c r="A1585" s="6">
        <v>46236</v>
      </c>
      <c r="B1585" s="72">
        <v>1</v>
      </c>
      <c r="C1585" s="104" t="s">
        <v>19</v>
      </c>
      <c r="D1585" s="10" t="str">
        <f>IFERROR(VLOOKUP(_stats[[#This Row],[player_id]],_players[[player_id]:[player_name]],2,0),"")</f>
        <v>Олег Шишкин</v>
      </c>
      <c r="E1585" s="72">
        <v>2</v>
      </c>
      <c r="F1585" s="102">
        <v>1</v>
      </c>
      <c r="G1585" s="10">
        <f>SUMIFS(_teams[wins_on_date],_teams[date],_stats[[#This Row],[date]],_teams[team_number],_stats[[#This Row],[team_number]])</f>
        <v>5</v>
      </c>
      <c r="H1585" s="10">
        <f>SUMIFS(_teams[draws_on_date],_teams[date],_stats[[#This Row],[date]],_teams[team_number],_stats[[#This Row],[team_number]])</f>
        <v>2</v>
      </c>
      <c r="I1585" s="72">
        <v>0</v>
      </c>
      <c r="J1585" s="104">
        <v>0</v>
      </c>
      <c r="K1585" s="72">
        <v>7</v>
      </c>
      <c r="L1585" s="53" t="str">
        <f>VLOOKUP(_stats[[#This Row],[tournament]],tournaments_n_rules[],2,0)</f>
        <v>УПК</v>
      </c>
      <c r="M1585" s="53" t="str">
        <f>VLOOKUP(_stats[[#This Row],[tournament]],tournaments_n_rules[],3,0)</f>
        <v>Лето 2026</v>
      </c>
      <c r="N1585" s="54">
        <f>VLOOKUP(_stats[[#This Row],[tournament]],tournaments_n_rules[],4,0)</f>
        <v>46194</v>
      </c>
      <c r="O1585" s="54">
        <f>VLOOKUP(_stats[[#This Row],[tournament]],tournaments_n_rules[],5,0)</f>
        <v>46265</v>
      </c>
    </row>
    <row r="1586" spans="1:15" x14ac:dyDescent="0.25">
      <c r="A1586" s="6">
        <v>46236</v>
      </c>
      <c r="B1586" s="72">
        <v>1</v>
      </c>
      <c r="C1586" s="104" t="s">
        <v>309</v>
      </c>
      <c r="D1586" s="10" t="str">
        <f>IFERROR(VLOOKUP(_stats[[#This Row],[player_id]],_players[[player_id]:[player_name]],2,0),"")</f>
        <v>Александр</v>
      </c>
      <c r="E1586" s="72">
        <v>0</v>
      </c>
      <c r="F1586" s="102">
        <v>1</v>
      </c>
      <c r="G1586" s="10">
        <f>SUMIFS(_teams[wins_on_date],_teams[date],_stats[[#This Row],[date]],_teams[team_number],_stats[[#This Row],[team_number]])</f>
        <v>5</v>
      </c>
      <c r="H1586" s="10">
        <f>SUMIFS(_teams[draws_on_date],_teams[date],_stats[[#This Row],[date]],_teams[team_number],_stats[[#This Row],[team_number]])</f>
        <v>2</v>
      </c>
      <c r="I1586" s="72">
        <v>0</v>
      </c>
      <c r="J1586" s="104">
        <v>0</v>
      </c>
      <c r="K1586" s="72">
        <v>7</v>
      </c>
      <c r="L1586" s="53" t="str">
        <f>VLOOKUP(_stats[[#This Row],[tournament]],tournaments_n_rules[],2,0)</f>
        <v>УПК</v>
      </c>
      <c r="M1586" s="53" t="str">
        <f>VLOOKUP(_stats[[#This Row],[tournament]],tournaments_n_rules[],3,0)</f>
        <v>Лето 2026</v>
      </c>
      <c r="N1586" s="54">
        <f>VLOOKUP(_stats[[#This Row],[tournament]],tournaments_n_rules[],4,0)</f>
        <v>46194</v>
      </c>
      <c r="O1586" s="54">
        <f>VLOOKUP(_stats[[#This Row],[tournament]],tournaments_n_rules[],5,0)</f>
        <v>46265</v>
      </c>
    </row>
    <row r="1587" spans="1:15" x14ac:dyDescent="0.25">
      <c r="A1587" s="6">
        <v>46236</v>
      </c>
      <c r="B1587" s="72">
        <v>3</v>
      </c>
      <c r="C1587" s="104" t="s">
        <v>55</v>
      </c>
      <c r="D1587" s="10" t="str">
        <f>IFERROR(VLOOKUP(_stats[[#This Row],[player_id]],_players[[player_id]:[player_name]],2,0),"")</f>
        <v>Кирилл (АК+1)</v>
      </c>
      <c r="E1587" s="72">
        <v>0</v>
      </c>
      <c r="F1587" s="102">
        <v>0</v>
      </c>
      <c r="G1587" s="10">
        <f>SUMIFS(_teams[wins_on_date],_teams[date],_stats[[#This Row],[date]],_teams[team_number],_stats[[#This Row],[team_number]])</f>
        <v>2</v>
      </c>
      <c r="H1587" s="10">
        <f>SUMIFS(_teams[draws_on_date],_teams[date],_stats[[#This Row],[date]],_teams[team_number],_stats[[#This Row],[team_number]])</f>
        <v>2</v>
      </c>
      <c r="I1587" s="72">
        <v>0</v>
      </c>
      <c r="J1587" s="104">
        <v>0</v>
      </c>
      <c r="K1587" s="72">
        <v>7</v>
      </c>
      <c r="L1587" s="53" t="str">
        <f>VLOOKUP(_stats[[#This Row],[tournament]],tournaments_n_rules[],2,0)</f>
        <v>УПК</v>
      </c>
      <c r="M1587" s="53" t="str">
        <f>VLOOKUP(_stats[[#This Row],[tournament]],tournaments_n_rules[],3,0)</f>
        <v>Лето 2026</v>
      </c>
      <c r="N1587" s="54">
        <f>VLOOKUP(_stats[[#This Row],[tournament]],tournaments_n_rules[],4,0)</f>
        <v>46194</v>
      </c>
      <c r="O1587" s="54">
        <f>VLOOKUP(_stats[[#This Row],[tournament]],tournaments_n_rules[],5,0)</f>
        <v>46265</v>
      </c>
    </row>
    <row r="1588" spans="1:15" x14ac:dyDescent="0.25">
      <c r="A1588" s="6">
        <v>46236</v>
      </c>
      <c r="B1588" s="72">
        <v>3</v>
      </c>
      <c r="C1588" s="104" t="s">
        <v>131</v>
      </c>
      <c r="D1588" s="10" t="str">
        <f>IFERROR(VLOOKUP(_stats[[#This Row],[player_id]],_players[[player_id]:[player_name]],2,0),"")</f>
        <v>Коля (АК+1)</v>
      </c>
      <c r="E1588" s="72">
        <v>1</v>
      </c>
      <c r="F1588" s="102">
        <v>0</v>
      </c>
      <c r="G1588" s="10">
        <f>SUMIFS(_teams[wins_on_date],_teams[date],_stats[[#This Row],[date]],_teams[team_number],_stats[[#This Row],[team_number]])</f>
        <v>2</v>
      </c>
      <c r="H1588" s="10">
        <f>SUMIFS(_teams[draws_on_date],_teams[date],_stats[[#This Row],[date]],_teams[team_number],_stats[[#This Row],[team_number]])</f>
        <v>2</v>
      </c>
      <c r="I1588" s="72">
        <v>0</v>
      </c>
      <c r="J1588" s="104">
        <v>0</v>
      </c>
      <c r="K1588" s="72">
        <v>7</v>
      </c>
      <c r="L1588" s="53" t="str">
        <f>VLOOKUP(_stats[[#This Row],[tournament]],tournaments_n_rules[],2,0)</f>
        <v>УПК</v>
      </c>
      <c r="M1588" s="53" t="str">
        <f>VLOOKUP(_stats[[#This Row],[tournament]],tournaments_n_rules[],3,0)</f>
        <v>Лето 2026</v>
      </c>
      <c r="N1588" s="54">
        <f>VLOOKUP(_stats[[#This Row],[tournament]],tournaments_n_rules[],4,0)</f>
        <v>46194</v>
      </c>
      <c r="O1588" s="54">
        <f>VLOOKUP(_stats[[#This Row],[tournament]],tournaments_n_rules[],5,0)</f>
        <v>46265</v>
      </c>
    </row>
    <row r="1589" spans="1:15" x14ac:dyDescent="0.25">
      <c r="A1589" s="6">
        <v>46236</v>
      </c>
      <c r="B1589" s="72">
        <v>1</v>
      </c>
      <c r="C1589" s="104" t="s">
        <v>48</v>
      </c>
      <c r="D1589" s="10" t="str">
        <f>IFERROR(VLOOKUP(_stats[[#This Row],[player_id]],_players[[player_id]:[player_name]],2,0),"")</f>
        <v>Андрей (АК+1)</v>
      </c>
      <c r="E1589" s="72">
        <v>0</v>
      </c>
      <c r="F1589" s="102">
        <v>0</v>
      </c>
      <c r="G1589" s="10">
        <f>SUMIFS(_teams[wins_on_date],_teams[date],_stats[[#This Row],[date]],_teams[team_number],_stats[[#This Row],[team_number]])</f>
        <v>5</v>
      </c>
      <c r="H1589" s="10">
        <f>SUMIFS(_teams[draws_on_date],_teams[date],_stats[[#This Row],[date]],_teams[team_number],_stats[[#This Row],[team_number]])</f>
        <v>2</v>
      </c>
      <c r="I1589" s="72">
        <v>0</v>
      </c>
      <c r="J1589" s="104">
        <v>0</v>
      </c>
      <c r="K1589" s="72">
        <v>7</v>
      </c>
      <c r="L1589" s="53" t="str">
        <f>VLOOKUP(_stats[[#This Row],[tournament]],tournaments_n_rules[],2,0)</f>
        <v>УПК</v>
      </c>
      <c r="M1589" s="53" t="str">
        <f>VLOOKUP(_stats[[#This Row],[tournament]],tournaments_n_rules[],3,0)</f>
        <v>Лето 2026</v>
      </c>
      <c r="N1589" s="54">
        <f>VLOOKUP(_stats[[#This Row],[tournament]],tournaments_n_rules[],4,0)</f>
        <v>46194</v>
      </c>
      <c r="O1589" s="54">
        <f>VLOOKUP(_stats[[#This Row],[tournament]],tournaments_n_rules[],5,0)</f>
        <v>46265</v>
      </c>
    </row>
    <row r="1590" spans="1:15" x14ac:dyDescent="0.25">
      <c r="A1590" s="6">
        <v>46236</v>
      </c>
      <c r="B1590" s="72">
        <v>2</v>
      </c>
      <c r="C1590" s="104" t="s">
        <v>310</v>
      </c>
      <c r="D1590" s="10" t="str">
        <f>IFERROR(VLOOKUP(_stats[[#This Row],[player_id]],_players[[player_id]:[player_name]],2,0),"")</f>
        <v>Владислав</v>
      </c>
      <c r="E1590" s="72">
        <v>0</v>
      </c>
      <c r="F1590" s="102">
        <v>1</v>
      </c>
      <c r="G1590" s="10">
        <f>SUMIFS(_teams[wins_on_date],_teams[date],_stats[[#This Row],[date]],_teams[team_number],_stats[[#This Row],[team_number]])</f>
        <v>2</v>
      </c>
      <c r="H1590" s="10">
        <f>SUMIFS(_teams[draws_on_date],_teams[date],_stats[[#This Row],[date]],_teams[team_number],_stats[[#This Row],[team_number]])</f>
        <v>2</v>
      </c>
      <c r="I1590" s="72">
        <v>1</v>
      </c>
      <c r="J1590" s="104">
        <v>0</v>
      </c>
      <c r="K1590" s="72">
        <v>7</v>
      </c>
      <c r="L1590" s="53" t="str">
        <f>VLOOKUP(_stats[[#This Row],[tournament]],tournaments_n_rules[],2,0)</f>
        <v>УПК</v>
      </c>
      <c r="M1590" s="53" t="str">
        <f>VLOOKUP(_stats[[#This Row],[tournament]],tournaments_n_rules[],3,0)</f>
        <v>Лето 2026</v>
      </c>
      <c r="N1590" s="54">
        <f>VLOOKUP(_stats[[#This Row],[tournament]],tournaments_n_rules[],4,0)</f>
        <v>46194</v>
      </c>
      <c r="O1590" s="54">
        <f>VLOOKUP(_stats[[#This Row],[tournament]],tournaments_n_rules[],5,0)</f>
        <v>46265</v>
      </c>
    </row>
    <row r="1591" spans="1:15" x14ac:dyDescent="0.25">
      <c r="A1591" s="6">
        <v>46236</v>
      </c>
      <c r="B1591" s="72">
        <v>2</v>
      </c>
      <c r="C1591" s="104" t="s">
        <v>43</v>
      </c>
      <c r="D1591" s="10" t="str">
        <f>IFERROR(VLOOKUP(_stats[[#This Row],[player_id]],_players[[player_id]:[player_name]],2,0),"")</f>
        <v>Никита</v>
      </c>
      <c r="E1591" s="72">
        <v>0</v>
      </c>
      <c r="F1591" s="102">
        <v>1</v>
      </c>
      <c r="G1591" s="10">
        <f>SUMIFS(_teams[wins_on_date],_teams[date],_stats[[#This Row],[date]],_teams[team_number],_stats[[#This Row],[team_number]])</f>
        <v>2</v>
      </c>
      <c r="H1591" s="10">
        <f>SUMIFS(_teams[draws_on_date],_teams[date],_stats[[#This Row],[date]],_teams[team_number],_stats[[#This Row],[team_number]])</f>
        <v>2</v>
      </c>
      <c r="I1591" s="72">
        <v>0</v>
      </c>
      <c r="J1591" s="104">
        <v>0</v>
      </c>
      <c r="K1591" s="72">
        <v>7</v>
      </c>
      <c r="L1591" s="53" t="str">
        <f>VLOOKUP(_stats[[#This Row],[tournament]],tournaments_n_rules[],2,0)</f>
        <v>УПК</v>
      </c>
      <c r="M1591" s="53" t="str">
        <f>VLOOKUP(_stats[[#This Row],[tournament]],tournaments_n_rules[],3,0)</f>
        <v>Лето 2026</v>
      </c>
      <c r="N1591" s="54">
        <f>VLOOKUP(_stats[[#This Row],[tournament]],tournaments_n_rules[],4,0)</f>
        <v>46194</v>
      </c>
      <c r="O1591" s="54">
        <f>VLOOKUP(_stats[[#This Row],[tournament]],tournaments_n_rules[],5,0)</f>
        <v>46265</v>
      </c>
    </row>
    <row r="1592" spans="1:15" x14ac:dyDescent="0.25">
      <c r="A1592" s="6">
        <v>46236</v>
      </c>
      <c r="B1592" s="72">
        <v>3</v>
      </c>
      <c r="C1592" s="104" t="s">
        <v>11</v>
      </c>
      <c r="D1592" s="10" t="str">
        <f>IFERROR(VLOOKUP(_stats[[#This Row],[player_id]],_players[[player_id]:[player_name]],2,0),"")</f>
        <v>Сергей Крюков</v>
      </c>
      <c r="E1592" s="72">
        <v>0</v>
      </c>
      <c r="F1592" s="102">
        <v>0</v>
      </c>
      <c r="G1592" s="10">
        <f>SUMIFS(_teams[wins_on_date],_teams[date],_stats[[#This Row],[date]],_teams[team_number],_stats[[#This Row],[team_number]])</f>
        <v>2</v>
      </c>
      <c r="H1592" s="10">
        <f>SUMIFS(_teams[draws_on_date],_teams[date],_stats[[#This Row],[date]],_teams[team_number],_stats[[#This Row],[team_number]])</f>
        <v>2</v>
      </c>
      <c r="I1592" s="72">
        <v>1</v>
      </c>
      <c r="J1592" s="104">
        <v>0</v>
      </c>
      <c r="K1592" s="72">
        <v>7</v>
      </c>
      <c r="L1592" s="53" t="str">
        <f>VLOOKUP(_stats[[#This Row],[tournament]],tournaments_n_rules[],2,0)</f>
        <v>УПК</v>
      </c>
      <c r="M1592" s="53" t="str">
        <f>VLOOKUP(_stats[[#This Row],[tournament]],tournaments_n_rules[],3,0)</f>
        <v>Лето 2026</v>
      </c>
      <c r="N1592" s="54">
        <f>VLOOKUP(_stats[[#This Row],[tournament]],tournaments_n_rules[],4,0)</f>
        <v>46194</v>
      </c>
      <c r="O1592" s="54">
        <f>VLOOKUP(_stats[[#This Row],[tournament]],tournaments_n_rules[],5,0)</f>
        <v>46265</v>
      </c>
    </row>
    <row r="1593" spans="1:15" x14ac:dyDescent="0.25">
      <c r="A1593" s="6">
        <v>46236</v>
      </c>
      <c r="B1593" s="72">
        <v>2</v>
      </c>
      <c r="C1593" s="104" t="s">
        <v>125</v>
      </c>
      <c r="D1593" s="10" t="str">
        <f>IFERROR(VLOOKUP(_stats[[#This Row],[player_id]],_players[[player_id]:[player_name]],2,0),"")</f>
        <v>Арги</v>
      </c>
      <c r="E1593" s="72">
        <v>1</v>
      </c>
      <c r="F1593" s="102">
        <v>1</v>
      </c>
      <c r="G1593" s="10">
        <f>SUMIFS(_teams[wins_on_date],_teams[date],_stats[[#This Row],[date]],_teams[team_number],_stats[[#This Row],[team_number]])</f>
        <v>2</v>
      </c>
      <c r="H1593" s="10">
        <f>SUMIFS(_teams[draws_on_date],_teams[date],_stats[[#This Row],[date]],_teams[team_number],_stats[[#This Row],[team_number]])</f>
        <v>2</v>
      </c>
      <c r="I1593" s="72">
        <v>0</v>
      </c>
      <c r="J1593" s="104">
        <v>0</v>
      </c>
      <c r="K1593" s="72">
        <v>7</v>
      </c>
      <c r="L1593" s="53" t="str">
        <f>VLOOKUP(_stats[[#This Row],[tournament]],tournaments_n_rules[],2,0)</f>
        <v>УПК</v>
      </c>
      <c r="M1593" s="53" t="str">
        <f>VLOOKUP(_stats[[#This Row],[tournament]],tournaments_n_rules[],3,0)</f>
        <v>Лето 2026</v>
      </c>
      <c r="N1593" s="54">
        <f>VLOOKUP(_stats[[#This Row],[tournament]],tournaments_n_rules[],4,0)</f>
        <v>46194</v>
      </c>
      <c r="O1593" s="54">
        <f>VLOOKUP(_stats[[#This Row],[tournament]],tournaments_n_rules[],5,0)</f>
        <v>46265</v>
      </c>
    </row>
    <row r="1594" spans="1:15" x14ac:dyDescent="0.25">
      <c r="A1594" s="6">
        <v>46236</v>
      </c>
      <c r="B1594" s="72">
        <v>2</v>
      </c>
      <c r="C1594" s="104" t="s">
        <v>139</v>
      </c>
      <c r="D1594" s="10" t="str">
        <f>IFERROR(VLOOKUP(_stats[[#This Row],[player_id]],_players[[player_id]:[player_name]],2,0),"")</f>
        <v>Мухамед (Руб+1)</v>
      </c>
      <c r="E1594" s="72">
        <v>0</v>
      </c>
      <c r="F1594" s="102">
        <v>0</v>
      </c>
      <c r="G1594" s="10">
        <f>SUMIFS(_teams[wins_on_date],_teams[date],_stats[[#This Row],[date]],_teams[team_number],_stats[[#This Row],[team_number]])</f>
        <v>2</v>
      </c>
      <c r="H1594" s="10">
        <f>SUMIFS(_teams[draws_on_date],_teams[date],_stats[[#This Row],[date]],_teams[team_number],_stats[[#This Row],[team_number]])</f>
        <v>2</v>
      </c>
      <c r="I1594" s="72">
        <v>0</v>
      </c>
      <c r="J1594" s="104">
        <v>0</v>
      </c>
      <c r="K1594" s="72">
        <v>7</v>
      </c>
      <c r="L1594" s="53" t="str">
        <f>VLOOKUP(_stats[[#This Row],[tournament]],tournaments_n_rules[],2,0)</f>
        <v>УПК</v>
      </c>
      <c r="M1594" s="53" t="str">
        <f>VLOOKUP(_stats[[#This Row],[tournament]],tournaments_n_rules[],3,0)</f>
        <v>Лето 2026</v>
      </c>
      <c r="N1594" s="54">
        <f>VLOOKUP(_stats[[#This Row],[tournament]],tournaments_n_rules[],4,0)</f>
        <v>46194</v>
      </c>
      <c r="O1594" s="54">
        <f>VLOOKUP(_stats[[#This Row],[tournament]],tournaments_n_rules[],5,0)</f>
        <v>46265</v>
      </c>
    </row>
    <row r="1595" spans="1:15" x14ac:dyDescent="0.25">
      <c r="A1595" s="6">
        <v>46236</v>
      </c>
      <c r="B1595" s="72">
        <v>3</v>
      </c>
      <c r="C1595" s="104" t="s">
        <v>65</v>
      </c>
      <c r="D1595" s="10" t="str">
        <f>IFERROR(VLOOKUP(_stats[[#This Row],[player_id]],_players[[player_id]:[player_name]],2,0),"")</f>
        <v>Марат (Атай+1)</v>
      </c>
      <c r="E1595" s="72">
        <v>2</v>
      </c>
      <c r="F1595" s="102">
        <v>0</v>
      </c>
      <c r="G1595" s="10">
        <f>SUMIFS(_teams[wins_on_date],_teams[date],_stats[[#This Row],[date]],_teams[team_number],_stats[[#This Row],[team_number]])</f>
        <v>2</v>
      </c>
      <c r="H1595" s="10">
        <f>SUMIFS(_teams[draws_on_date],_teams[date],_stats[[#This Row],[date]],_teams[team_number],_stats[[#This Row],[team_number]])</f>
        <v>2</v>
      </c>
      <c r="I1595" s="72">
        <v>1</v>
      </c>
      <c r="J1595" s="104">
        <v>0</v>
      </c>
      <c r="K1595" s="72">
        <v>7</v>
      </c>
      <c r="L1595" s="53" t="str">
        <f>VLOOKUP(_stats[[#This Row],[tournament]],tournaments_n_rules[],2,0)</f>
        <v>УПК</v>
      </c>
      <c r="M1595" s="53" t="str">
        <f>VLOOKUP(_stats[[#This Row],[tournament]],tournaments_n_rules[],3,0)</f>
        <v>Лето 2026</v>
      </c>
      <c r="N1595" s="54">
        <f>VLOOKUP(_stats[[#This Row],[tournament]],tournaments_n_rules[],4,0)</f>
        <v>46194</v>
      </c>
      <c r="O1595" s="54">
        <f>VLOOKUP(_stats[[#This Row],[tournament]],tournaments_n_rules[],5,0)</f>
        <v>46265</v>
      </c>
    </row>
    <row r="1596" spans="1:15" x14ac:dyDescent="0.25">
      <c r="A1596" s="6">
        <v>46236</v>
      </c>
      <c r="B1596" s="72">
        <v>2</v>
      </c>
      <c r="C1596" s="104" t="s">
        <v>296</v>
      </c>
      <c r="D1596" s="10" t="str">
        <f>IFERROR(VLOOKUP(_stats[[#This Row],[player_id]],_players[[player_id]:[player_name]],2,0),"")</f>
        <v>Денис (Вова +1)</v>
      </c>
      <c r="E1596" s="72">
        <v>0</v>
      </c>
      <c r="F1596" s="102">
        <v>0</v>
      </c>
      <c r="G1596" s="10">
        <f>SUMIFS(_teams[wins_on_date],_teams[date],_stats[[#This Row],[date]],_teams[team_number],_stats[[#This Row],[team_number]])</f>
        <v>2</v>
      </c>
      <c r="H1596" s="10">
        <f>SUMIFS(_teams[draws_on_date],_teams[date],_stats[[#This Row],[date]],_teams[team_number],_stats[[#This Row],[team_number]])</f>
        <v>2</v>
      </c>
      <c r="I1596" s="72">
        <v>0</v>
      </c>
      <c r="J1596" s="104">
        <v>0</v>
      </c>
      <c r="K1596" s="72">
        <v>7</v>
      </c>
      <c r="L1596" s="53" t="str">
        <f>VLOOKUP(_stats[[#This Row],[tournament]],tournaments_n_rules[],2,0)</f>
        <v>УПК</v>
      </c>
      <c r="M1596" s="53" t="str">
        <f>VLOOKUP(_stats[[#This Row],[tournament]],tournaments_n_rules[],3,0)</f>
        <v>Лето 2026</v>
      </c>
      <c r="N1596" s="54">
        <f>VLOOKUP(_stats[[#This Row],[tournament]],tournaments_n_rules[],4,0)</f>
        <v>46194</v>
      </c>
      <c r="O1596" s="54">
        <f>VLOOKUP(_stats[[#This Row],[tournament]],tournaments_n_rules[],5,0)</f>
        <v>46265</v>
      </c>
    </row>
    <row r="1597" spans="1:15" x14ac:dyDescent="0.25">
      <c r="A1597" s="6">
        <v>46236</v>
      </c>
      <c r="B1597" s="72">
        <v>2</v>
      </c>
      <c r="C1597" s="104" t="s">
        <v>169</v>
      </c>
      <c r="D1597" s="10" t="str">
        <f>IFERROR(VLOOKUP(_stats[[#This Row],[player_id]],_players[[player_id]:[player_name]],2,0),"")</f>
        <v>Вадим (1747)</v>
      </c>
      <c r="E1597" s="72">
        <v>0</v>
      </c>
      <c r="F1597" s="102">
        <v>0</v>
      </c>
      <c r="G1597" s="10">
        <f>SUMIFS(_teams[wins_on_date],_teams[date],_stats[[#This Row],[date]],_teams[team_number],_stats[[#This Row],[team_number]])</f>
        <v>2</v>
      </c>
      <c r="H1597" s="10">
        <f>SUMIFS(_teams[draws_on_date],_teams[date],_stats[[#This Row],[date]],_teams[team_number],_stats[[#This Row],[team_number]])</f>
        <v>2</v>
      </c>
      <c r="I1597" s="72">
        <v>0</v>
      </c>
      <c r="J1597" s="104">
        <v>0</v>
      </c>
      <c r="K1597" s="72">
        <v>7</v>
      </c>
      <c r="L1597" s="53" t="str">
        <f>VLOOKUP(_stats[[#This Row],[tournament]],tournaments_n_rules[],2,0)</f>
        <v>УПК</v>
      </c>
      <c r="M1597" s="53" t="str">
        <f>VLOOKUP(_stats[[#This Row],[tournament]],tournaments_n_rules[],3,0)</f>
        <v>Лето 2026</v>
      </c>
      <c r="N1597" s="54">
        <f>VLOOKUP(_stats[[#This Row],[tournament]],tournaments_n_rules[],4,0)</f>
        <v>46194</v>
      </c>
      <c r="O1597" s="54">
        <f>VLOOKUP(_stats[[#This Row],[tournament]],tournaments_n_rules[],5,0)</f>
        <v>46265</v>
      </c>
    </row>
    <row r="1598" spans="1:15" x14ac:dyDescent="0.25">
      <c r="A1598" s="6">
        <v>46236</v>
      </c>
      <c r="B1598" s="72">
        <v>2</v>
      </c>
      <c r="C1598" s="104" t="s">
        <v>23</v>
      </c>
      <c r="D1598" s="10" t="str">
        <f>IFERROR(VLOOKUP(_stats[[#This Row],[player_id]],_players[[player_id]:[player_name]],2,0),"")</f>
        <v>Вова</v>
      </c>
      <c r="E1598" s="72">
        <v>2</v>
      </c>
      <c r="F1598" s="102">
        <v>0</v>
      </c>
      <c r="G1598" s="10">
        <f>SUMIFS(_teams[wins_on_date],_teams[date],_stats[[#This Row],[date]],_teams[team_number],_stats[[#This Row],[team_number]])</f>
        <v>2</v>
      </c>
      <c r="H1598" s="10">
        <f>SUMIFS(_teams[draws_on_date],_teams[date],_stats[[#This Row],[date]],_teams[team_number],_stats[[#This Row],[team_number]])</f>
        <v>2</v>
      </c>
      <c r="I1598" s="72">
        <v>1</v>
      </c>
      <c r="J1598" s="104">
        <v>0</v>
      </c>
      <c r="K1598" s="72">
        <v>7</v>
      </c>
      <c r="L1598" s="53" t="str">
        <f>VLOOKUP(_stats[[#This Row],[tournament]],tournaments_n_rules[],2,0)</f>
        <v>УПК</v>
      </c>
      <c r="M1598" s="53" t="str">
        <f>VLOOKUP(_stats[[#This Row],[tournament]],tournaments_n_rules[],3,0)</f>
        <v>Лето 2026</v>
      </c>
      <c r="N1598" s="54">
        <f>VLOOKUP(_stats[[#This Row],[tournament]],tournaments_n_rules[],4,0)</f>
        <v>46194</v>
      </c>
      <c r="O1598" s="54">
        <f>VLOOKUP(_stats[[#This Row],[tournament]],tournaments_n_rules[],5,0)</f>
        <v>46265</v>
      </c>
    </row>
    <row r="1599" spans="1:15" x14ac:dyDescent="0.25">
      <c r="A1599" s="6">
        <v>46236</v>
      </c>
      <c r="B1599" s="72">
        <v>3</v>
      </c>
      <c r="C1599" s="104" t="s">
        <v>38</v>
      </c>
      <c r="D1599" s="10" t="str">
        <f>IFERROR(VLOOKUP(_stats[[#This Row],[player_id]],_players[[player_id]:[player_name]],2,0),"")</f>
        <v>Рамиль (АК+1)</v>
      </c>
      <c r="E1599" s="72">
        <v>0</v>
      </c>
      <c r="F1599" s="102">
        <v>0</v>
      </c>
      <c r="G1599" s="10">
        <f>SUMIFS(_teams[wins_on_date],_teams[date],_stats[[#This Row],[date]],_teams[team_number],_stats[[#This Row],[team_number]])</f>
        <v>2</v>
      </c>
      <c r="H1599" s="10">
        <f>SUMIFS(_teams[draws_on_date],_teams[date],_stats[[#This Row],[date]],_teams[team_number],_stats[[#This Row],[team_number]])</f>
        <v>2</v>
      </c>
      <c r="I1599" s="72">
        <v>0</v>
      </c>
      <c r="J1599" s="104">
        <v>0</v>
      </c>
      <c r="K1599" s="72">
        <v>7</v>
      </c>
      <c r="L1599" s="53" t="str">
        <f>VLOOKUP(_stats[[#This Row],[tournament]],tournaments_n_rules[],2,0)</f>
        <v>УПК</v>
      </c>
      <c r="M1599" s="53" t="str">
        <f>VLOOKUP(_stats[[#This Row],[tournament]],tournaments_n_rules[],3,0)</f>
        <v>Лето 2026</v>
      </c>
      <c r="N1599" s="54">
        <f>VLOOKUP(_stats[[#This Row],[tournament]],tournaments_n_rules[],4,0)</f>
        <v>46194</v>
      </c>
      <c r="O1599" s="54">
        <f>VLOOKUP(_stats[[#This Row],[tournament]],tournaments_n_rules[],5,0)</f>
        <v>46265</v>
      </c>
    </row>
    <row r="1600" spans="1:15" x14ac:dyDescent="0.25">
      <c r="A1600" s="6">
        <v>46236</v>
      </c>
      <c r="B1600" s="72">
        <v>3</v>
      </c>
      <c r="C1600" s="104" t="s">
        <v>295</v>
      </c>
      <c r="D1600" s="10" t="str">
        <f>IFERROR(VLOOKUP(_stats[[#This Row],[player_id]],_players[[player_id]:[player_name]],2,0),"")</f>
        <v>Гоша (АК+1)</v>
      </c>
      <c r="E1600" s="72">
        <v>0</v>
      </c>
      <c r="F1600" s="102">
        <v>0</v>
      </c>
      <c r="G1600" s="10">
        <f>SUMIFS(_teams[wins_on_date],_teams[date],_stats[[#This Row],[date]],_teams[team_number],_stats[[#This Row],[team_number]])</f>
        <v>2</v>
      </c>
      <c r="H1600" s="10">
        <f>SUMIFS(_teams[draws_on_date],_teams[date],_stats[[#This Row],[date]],_teams[team_number],_stats[[#This Row],[team_number]])</f>
        <v>2</v>
      </c>
      <c r="I1600" s="72">
        <v>0</v>
      </c>
      <c r="J1600" s="104">
        <v>0</v>
      </c>
      <c r="K1600" s="72">
        <v>7</v>
      </c>
      <c r="L1600" s="53" t="str">
        <f>VLOOKUP(_stats[[#This Row],[tournament]],tournaments_n_rules[],2,0)</f>
        <v>УПК</v>
      </c>
      <c r="M1600" s="53" t="str">
        <f>VLOOKUP(_stats[[#This Row],[tournament]],tournaments_n_rules[],3,0)</f>
        <v>Лето 2026</v>
      </c>
      <c r="N1600" s="54">
        <f>VLOOKUP(_stats[[#This Row],[tournament]],tournaments_n_rules[],4,0)</f>
        <v>46194</v>
      </c>
      <c r="O1600" s="54">
        <f>VLOOKUP(_stats[[#This Row],[tournament]],tournaments_n_rules[],5,0)</f>
        <v>46265</v>
      </c>
    </row>
    <row r="1601" spans="1:15" x14ac:dyDescent="0.25">
      <c r="A1601" s="6">
        <v>46236</v>
      </c>
      <c r="B1601" s="72">
        <v>3</v>
      </c>
      <c r="C1601" s="104" t="s">
        <v>46</v>
      </c>
      <c r="D1601" s="10" t="str">
        <f>IFERROR(VLOOKUP(_stats[[#This Row],[player_id]],_players[[player_id]:[player_name]],2,0),"")</f>
        <v>Рома Сурнин</v>
      </c>
      <c r="E1601" s="72">
        <v>0</v>
      </c>
      <c r="F1601" s="102">
        <v>0</v>
      </c>
      <c r="G1601" s="10">
        <f>SUMIFS(_teams[wins_on_date],_teams[date],_stats[[#This Row],[date]],_teams[team_number],_stats[[#This Row],[team_number]])</f>
        <v>2</v>
      </c>
      <c r="H1601" s="10">
        <f>SUMIFS(_teams[draws_on_date],_teams[date],_stats[[#This Row],[date]],_teams[team_number],_stats[[#This Row],[team_number]])</f>
        <v>2</v>
      </c>
      <c r="I1601" s="72">
        <v>2</v>
      </c>
      <c r="J1601" s="104">
        <v>0</v>
      </c>
      <c r="K1601" s="72">
        <v>7</v>
      </c>
      <c r="L1601" s="53" t="str">
        <f>VLOOKUP(_stats[[#This Row],[tournament]],tournaments_n_rules[],2,0)</f>
        <v>УПК</v>
      </c>
      <c r="M1601" s="53" t="str">
        <f>VLOOKUP(_stats[[#This Row],[tournament]],tournaments_n_rules[],3,0)</f>
        <v>Лето 2026</v>
      </c>
      <c r="N1601" s="54">
        <f>VLOOKUP(_stats[[#This Row],[tournament]],tournaments_n_rules[],4,0)</f>
        <v>46194</v>
      </c>
      <c r="O1601" s="54">
        <f>VLOOKUP(_stats[[#This Row],[tournament]],tournaments_n_rules[],5,0)</f>
        <v>46265</v>
      </c>
    </row>
    <row r="1602" spans="1:15" x14ac:dyDescent="0.25">
      <c r="A1602" s="6">
        <v>46236</v>
      </c>
      <c r="B1602" s="72">
        <v>2</v>
      </c>
      <c r="C1602" s="104" t="s">
        <v>111</v>
      </c>
      <c r="D1602" s="10" t="str">
        <f>IFERROR(VLOOKUP(_stats[[#This Row],[player_id]],_players[[player_id]:[player_name]],2,0),"")</f>
        <v>Дима (Спартак)</v>
      </c>
      <c r="E1602" s="72">
        <v>1</v>
      </c>
      <c r="F1602" s="102">
        <v>0</v>
      </c>
      <c r="G1602" s="10">
        <f>SUMIFS(_teams[wins_on_date],_teams[date],_stats[[#This Row],[date]],_teams[team_number],_stats[[#This Row],[team_number]])</f>
        <v>2</v>
      </c>
      <c r="H1602" s="10">
        <f>SUMIFS(_teams[draws_on_date],_teams[date],_stats[[#This Row],[date]],_teams[team_number],_stats[[#This Row],[team_number]])</f>
        <v>2</v>
      </c>
      <c r="I1602" s="72">
        <v>0</v>
      </c>
      <c r="J1602" s="104">
        <v>0</v>
      </c>
      <c r="K1602" s="72">
        <v>7</v>
      </c>
      <c r="L1602" s="53" t="str">
        <f>VLOOKUP(_stats[[#This Row],[tournament]],tournaments_n_rules[],2,0)</f>
        <v>УПК</v>
      </c>
      <c r="M1602" s="53" t="str">
        <f>VLOOKUP(_stats[[#This Row],[tournament]],tournaments_n_rules[],3,0)</f>
        <v>Лето 2026</v>
      </c>
      <c r="N1602" s="54">
        <f>VLOOKUP(_stats[[#This Row],[tournament]],tournaments_n_rules[],4,0)</f>
        <v>46194</v>
      </c>
      <c r="O1602" s="54">
        <f>VLOOKUP(_stats[[#This Row],[tournament]],tournaments_n_rules[],5,0)</f>
        <v>46265</v>
      </c>
    </row>
    <row r="1603" spans="1:15" x14ac:dyDescent="0.25">
      <c r="A1603" s="6">
        <v>46236</v>
      </c>
      <c r="B1603" s="72">
        <v>3</v>
      </c>
      <c r="C1603" s="104" t="s">
        <v>308</v>
      </c>
      <c r="D1603" s="10" t="str">
        <f>IFERROR(VLOOKUP(_stats[[#This Row],[player_id]],_players[[player_id]:[player_name]],2,0),"")</f>
        <v>Вася (1900)</v>
      </c>
      <c r="E1603" s="72">
        <v>2</v>
      </c>
      <c r="F1603" s="102">
        <v>0</v>
      </c>
      <c r="G1603" s="10">
        <f>SUMIFS(_teams[wins_on_date],_teams[date],_stats[[#This Row],[date]],_teams[team_number],_stats[[#This Row],[team_number]])</f>
        <v>2</v>
      </c>
      <c r="H1603" s="10">
        <f>SUMIFS(_teams[draws_on_date],_teams[date],_stats[[#This Row],[date]],_teams[team_number],_stats[[#This Row],[team_number]])</f>
        <v>2</v>
      </c>
      <c r="I1603" s="72">
        <v>0</v>
      </c>
      <c r="J1603" s="104">
        <v>0</v>
      </c>
      <c r="K1603" s="72">
        <v>7</v>
      </c>
      <c r="L1603" s="53" t="str">
        <f>VLOOKUP(_stats[[#This Row],[tournament]],tournaments_n_rules[],2,0)</f>
        <v>УПК</v>
      </c>
      <c r="M1603" s="53" t="str">
        <f>VLOOKUP(_stats[[#This Row],[tournament]],tournaments_n_rules[],3,0)</f>
        <v>Лето 2026</v>
      </c>
      <c r="N1603" s="54">
        <f>VLOOKUP(_stats[[#This Row],[tournament]],tournaments_n_rules[],4,0)</f>
        <v>46194</v>
      </c>
      <c r="O1603" s="54">
        <f>VLOOKUP(_stats[[#This Row],[tournament]],tournaments_n_rules[],5,0)</f>
        <v>46265</v>
      </c>
    </row>
    <row r="1604" spans="1:15" x14ac:dyDescent="0.25">
      <c r="A1604" s="6">
        <v>46243</v>
      </c>
      <c r="B1604" s="72">
        <v>2</v>
      </c>
      <c r="C1604" s="104" t="s">
        <v>48</v>
      </c>
      <c r="D1604" s="10" t="str">
        <f>IFERROR(VLOOKUP(_stats[[#This Row],[player_id]],_players[[player_id]:[player_name]],2,0),"")</f>
        <v>Андрей (АК+1)</v>
      </c>
      <c r="E1604" s="72">
        <v>0</v>
      </c>
      <c r="F1604" s="102">
        <v>0</v>
      </c>
      <c r="G1604" s="10">
        <f>SUMIFS(_teams[wins_on_date],_teams[date],_stats[[#This Row],[date]],_teams[team_number],_stats[[#This Row],[team_number]])</f>
        <v>6</v>
      </c>
      <c r="H1604" s="10">
        <f>SUMIFS(_teams[draws_on_date],_teams[date],_stats[[#This Row],[date]],_teams[team_number],_stats[[#This Row],[team_number]])</f>
        <v>3</v>
      </c>
      <c r="I1604" s="72">
        <v>0</v>
      </c>
      <c r="J1604" s="104">
        <v>0</v>
      </c>
      <c r="K1604" s="72">
        <v>7</v>
      </c>
      <c r="L1604" s="53" t="str">
        <f>VLOOKUP(_stats[[#This Row],[tournament]],tournaments_n_rules[],2,0)</f>
        <v>УПК</v>
      </c>
      <c r="M1604" s="53" t="str">
        <f>VLOOKUP(_stats[[#This Row],[tournament]],tournaments_n_rules[],3,0)</f>
        <v>Лето 2026</v>
      </c>
      <c r="N1604" s="54">
        <f>VLOOKUP(_stats[[#This Row],[tournament]],tournaments_n_rules[],4,0)</f>
        <v>46194</v>
      </c>
      <c r="O1604" s="54">
        <f>VLOOKUP(_stats[[#This Row],[tournament]],tournaments_n_rules[],5,0)</f>
        <v>46265</v>
      </c>
    </row>
    <row r="1605" spans="1:15" x14ac:dyDescent="0.25">
      <c r="A1605" s="6">
        <v>46243</v>
      </c>
      <c r="B1605" s="72">
        <v>3</v>
      </c>
      <c r="C1605" s="104" t="s">
        <v>32</v>
      </c>
      <c r="D1605" s="10" t="str">
        <f>IFERROR(VLOOKUP(_stats[[#This Row],[player_id]],_players[[player_id]:[player_name]],2,0),"")</f>
        <v>Миша</v>
      </c>
      <c r="E1605" s="72">
        <v>2</v>
      </c>
      <c r="F1605" s="102">
        <v>1</v>
      </c>
      <c r="G1605" s="10">
        <f>SUMIFS(_teams[wins_on_date],_teams[date],_stats[[#This Row],[date]],_teams[team_number],_stats[[#This Row],[team_number]])</f>
        <v>2</v>
      </c>
      <c r="H1605" s="10">
        <f>SUMIFS(_teams[draws_on_date],_teams[date],_stats[[#This Row],[date]],_teams[team_number],_stats[[#This Row],[team_number]])</f>
        <v>2</v>
      </c>
      <c r="I1605" s="72">
        <v>0</v>
      </c>
      <c r="J1605" s="104">
        <v>0</v>
      </c>
      <c r="K1605" s="72">
        <v>7</v>
      </c>
      <c r="L1605" s="53" t="str">
        <f>VLOOKUP(_stats[[#This Row],[tournament]],tournaments_n_rules[],2,0)</f>
        <v>УПК</v>
      </c>
      <c r="M1605" s="53" t="str">
        <f>VLOOKUP(_stats[[#This Row],[tournament]],tournaments_n_rules[],3,0)</f>
        <v>Лето 2026</v>
      </c>
      <c r="N1605" s="54">
        <f>VLOOKUP(_stats[[#This Row],[tournament]],tournaments_n_rules[],4,0)</f>
        <v>46194</v>
      </c>
      <c r="O1605" s="54">
        <f>VLOOKUP(_stats[[#This Row],[tournament]],tournaments_n_rules[],5,0)</f>
        <v>46265</v>
      </c>
    </row>
    <row r="1606" spans="1:15" x14ac:dyDescent="0.25">
      <c r="A1606" s="6">
        <v>46243</v>
      </c>
      <c r="B1606" s="72">
        <v>2</v>
      </c>
      <c r="C1606" s="104" t="s">
        <v>55</v>
      </c>
      <c r="D1606" s="10" t="str">
        <f>IFERROR(VLOOKUP(_stats[[#This Row],[player_id]],_players[[player_id]:[player_name]],2,0),"")</f>
        <v>Кирилл (АК+1)</v>
      </c>
      <c r="E1606" s="72">
        <v>0</v>
      </c>
      <c r="F1606" s="102">
        <v>0</v>
      </c>
      <c r="G1606" s="10">
        <f>SUMIFS(_teams[wins_on_date],_teams[date],_stats[[#This Row],[date]],_teams[team_number],_stats[[#This Row],[team_number]])</f>
        <v>6</v>
      </c>
      <c r="H1606" s="10">
        <f>SUMIFS(_teams[draws_on_date],_teams[date],_stats[[#This Row],[date]],_teams[team_number],_stats[[#This Row],[team_number]])</f>
        <v>3</v>
      </c>
      <c r="I1606" s="72">
        <v>0</v>
      </c>
      <c r="J1606" s="104">
        <v>0</v>
      </c>
      <c r="K1606" s="72">
        <v>7</v>
      </c>
      <c r="L1606" s="53" t="str">
        <f>VLOOKUP(_stats[[#This Row],[tournament]],tournaments_n_rules[],2,0)</f>
        <v>УПК</v>
      </c>
      <c r="M1606" s="53" t="str">
        <f>VLOOKUP(_stats[[#This Row],[tournament]],tournaments_n_rules[],3,0)</f>
        <v>Лето 2026</v>
      </c>
      <c r="N1606" s="54">
        <f>VLOOKUP(_stats[[#This Row],[tournament]],tournaments_n_rules[],4,0)</f>
        <v>46194</v>
      </c>
      <c r="O1606" s="54">
        <f>VLOOKUP(_stats[[#This Row],[tournament]],tournaments_n_rules[],5,0)</f>
        <v>46265</v>
      </c>
    </row>
    <row r="1607" spans="1:15" x14ac:dyDescent="0.25">
      <c r="A1607" s="6">
        <v>46243</v>
      </c>
      <c r="B1607" s="72">
        <v>1</v>
      </c>
      <c r="C1607" s="104" t="s">
        <v>139</v>
      </c>
      <c r="D1607" s="10" t="str">
        <f>IFERROR(VLOOKUP(_stats[[#This Row],[player_id]],_players[[player_id]:[player_name]],2,0),"")</f>
        <v>Мухамед (Руб+1)</v>
      </c>
      <c r="E1607" s="72">
        <v>0</v>
      </c>
      <c r="F1607" s="102">
        <v>0</v>
      </c>
      <c r="G1607" s="10">
        <f>SUMIFS(_teams[wins_on_date],_teams[date],_stats[[#This Row],[date]],_teams[team_number],_stats[[#This Row],[team_number]])</f>
        <v>0</v>
      </c>
      <c r="H1607" s="10">
        <f>SUMIFS(_teams[draws_on_date],_teams[date],_stats[[#This Row],[date]],_teams[team_number],_stats[[#This Row],[team_number]])</f>
        <v>3</v>
      </c>
      <c r="I1607" s="72">
        <v>0</v>
      </c>
      <c r="J1607" s="104">
        <v>0</v>
      </c>
      <c r="K1607" s="72">
        <v>7</v>
      </c>
      <c r="L1607" s="53" t="str">
        <f>VLOOKUP(_stats[[#This Row],[tournament]],tournaments_n_rules[],2,0)</f>
        <v>УПК</v>
      </c>
      <c r="M1607" s="53" t="str">
        <f>VLOOKUP(_stats[[#This Row],[tournament]],tournaments_n_rules[],3,0)</f>
        <v>Лето 2026</v>
      </c>
      <c r="N1607" s="54">
        <f>VLOOKUP(_stats[[#This Row],[tournament]],tournaments_n_rules[],4,0)</f>
        <v>46194</v>
      </c>
      <c r="O1607" s="54">
        <f>VLOOKUP(_stats[[#This Row],[tournament]],tournaments_n_rules[],5,0)</f>
        <v>46265</v>
      </c>
    </row>
    <row r="1608" spans="1:15" x14ac:dyDescent="0.25">
      <c r="A1608" s="6">
        <v>46243</v>
      </c>
      <c r="B1608" s="72">
        <v>3</v>
      </c>
      <c r="C1608" s="104" t="s">
        <v>35</v>
      </c>
      <c r="D1608" s="10" t="str">
        <f>IFERROR(VLOOKUP(_stats[[#This Row],[player_id]],_players[[player_id]:[player_name]],2,0),"")</f>
        <v>Рубик</v>
      </c>
      <c r="E1608" s="72">
        <v>0</v>
      </c>
      <c r="F1608" s="102">
        <v>0</v>
      </c>
      <c r="G1608" s="10">
        <f>SUMIFS(_teams[wins_on_date],_teams[date],_stats[[#This Row],[date]],_teams[team_number],_stats[[#This Row],[team_number]])</f>
        <v>2</v>
      </c>
      <c r="H1608" s="10">
        <f>SUMIFS(_teams[draws_on_date],_teams[date],_stats[[#This Row],[date]],_teams[team_number],_stats[[#This Row],[team_number]])</f>
        <v>2</v>
      </c>
      <c r="I1608" s="72">
        <v>0</v>
      </c>
      <c r="J1608" s="104">
        <v>0</v>
      </c>
      <c r="K1608" s="72">
        <v>7</v>
      </c>
      <c r="L1608" s="53" t="str">
        <f>VLOOKUP(_stats[[#This Row],[tournament]],tournaments_n_rules[],2,0)</f>
        <v>УПК</v>
      </c>
      <c r="M1608" s="53" t="str">
        <f>VLOOKUP(_stats[[#This Row],[tournament]],tournaments_n_rules[],3,0)</f>
        <v>Лето 2026</v>
      </c>
      <c r="N1608" s="54">
        <f>VLOOKUP(_stats[[#This Row],[tournament]],tournaments_n_rules[],4,0)</f>
        <v>46194</v>
      </c>
      <c r="O1608" s="54">
        <f>VLOOKUP(_stats[[#This Row],[tournament]],tournaments_n_rules[],5,0)</f>
        <v>46265</v>
      </c>
    </row>
    <row r="1609" spans="1:15" x14ac:dyDescent="0.25">
      <c r="A1609" s="6">
        <v>46243</v>
      </c>
      <c r="B1609" s="72">
        <v>1</v>
      </c>
      <c r="C1609" s="104" t="s">
        <v>25</v>
      </c>
      <c r="D1609" s="10" t="str">
        <f>IFERROR(VLOOKUP(_stats[[#This Row],[player_id]],_players[[player_id]:[player_name]],2,0),"")</f>
        <v>Атай</v>
      </c>
      <c r="E1609" s="72">
        <v>0</v>
      </c>
      <c r="F1609" s="102">
        <v>0</v>
      </c>
      <c r="G1609" s="10">
        <f>SUMIFS(_teams[wins_on_date],_teams[date],_stats[[#This Row],[date]],_teams[team_number],_stats[[#This Row],[team_number]])</f>
        <v>0</v>
      </c>
      <c r="H1609" s="10">
        <f>SUMIFS(_teams[draws_on_date],_teams[date],_stats[[#This Row],[date]],_teams[team_number],_stats[[#This Row],[team_number]])</f>
        <v>3</v>
      </c>
      <c r="I1609" s="72">
        <v>0</v>
      </c>
      <c r="J1609" s="104">
        <v>0</v>
      </c>
      <c r="K1609" s="72">
        <v>7</v>
      </c>
      <c r="L1609" s="53" t="str">
        <f>VLOOKUP(_stats[[#This Row],[tournament]],tournaments_n_rules[],2,0)</f>
        <v>УПК</v>
      </c>
      <c r="M1609" s="53" t="str">
        <f>VLOOKUP(_stats[[#This Row],[tournament]],tournaments_n_rules[],3,0)</f>
        <v>Лето 2026</v>
      </c>
      <c r="N1609" s="54">
        <f>VLOOKUP(_stats[[#This Row],[tournament]],tournaments_n_rules[],4,0)</f>
        <v>46194</v>
      </c>
      <c r="O1609" s="54">
        <f>VLOOKUP(_stats[[#This Row],[tournament]],tournaments_n_rules[],5,0)</f>
        <v>46265</v>
      </c>
    </row>
    <row r="1610" spans="1:15" x14ac:dyDescent="0.25">
      <c r="A1610" s="6">
        <v>46243</v>
      </c>
      <c r="B1610" s="72">
        <v>2</v>
      </c>
      <c r="C1610" s="104" t="s">
        <v>17</v>
      </c>
      <c r="D1610" s="10" t="str">
        <f>IFERROR(VLOOKUP(_stats[[#This Row],[player_id]],_players[[player_id]:[player_name]],2,0),"")</f>
        <v>Юра Пименов</v>
      </c>
      <c r="E1610" s="72">
        <v>4</v>
      </c>
      <c r="F1610" s="102">
        <v>2</v>
      </c>
      <c r="G1610" s="10">
        <f>SUMIFS(_teams[wins_on_date],_teams[date],_stats[[#This Row],[date]],_teams[team_number],_stats[[#This Row],[team_number]])</f>
        <v>6</v>
      </c>
      <c r="H1610" s="10">
        <f>SUMIFS(_teams[draws_on_date],_teams[date],_stats[[#This Row],[date]],_teams[team_number],_stats[[#This Row],[team_number]])</f>
        <v>3</v>
      </c>
      <c r="I1610" s="72">
        <v>0</v>
      </c>
      <c r="J1610" s="104">
        <v>0</v>
      </c>
      <c r="K1610" s="72">
        <v>7</v>
      </c>
      <c r="L1610" s="53" t="str">
        <f>VLOOKUP(_stats[[#This Row],[tournament]],tournaments_n_rules[],2,0)</f>
        <v>УПК</v>
      </c>
      <c r="M1610" s="53" t="str">
        <f>VLOOKUP(_stats[[#This Row],[tournament]],tournaments_n_rules[],3,0)</f>
        <v>Лето 2026</v>
      </c>
      <c r="N1610" s="54">
        <f>VLOOKUP(_stats[[#This Row],[tournament]],tournaments_n_rules[],4,0)</f>
        <v>46194</v>
      </c>
      <c r="O1610" s="54">
        <f>VLOOKUP(_stats[[#This Row],[tournament]],tournaments_n_rules[],5,0)</f>
        <v>46265</v>
      </c>
    </row>
    <row r="1611" spans="1:15" x14ac:dyDescent="0.25">
      <c r="A1611" s="6">
        <v>46243</v>
      </c>
      <c r="B1611" s="72">
        <v>2</v>
      </c>
      <c r="C1611" s="104" t="s">
        <v>26</v>
      </c>
      <c r="D1611" s="10" t="str">
        <f>IFERROR(VLOOKUP(_stats[[#This Row],[player_id]],_players[[player_id]:[player_name]],2,0),"")</f>
        <v>Игорь Фомичев</v>
      </c>
      <c r="E1611" s="72">
        <v>3</v>
      </c>
      <c r="F1611" s="102">
        <v>2</v>
      </c>
      <c r="G1611" s="10">
        <f>SUMIFS(_teams[wins_on_date],_teams[date],_stats[[#This Row],[date]],_teams[team_number],_stats[[#This Row],[team_number]])</f>
        <v>6</v>
      </c>
      <c r="H1611" s="10">
        <f>SUMIFS(_teams[draws_on_date],_teams[date],_stats[[#This Row],[date]],_teams[team_number],_stats[[#This Row],[team_number]])</f>
        <v>3</v>
      </c>
      <c r="I1611" s="72">
        <v>0</v>
      </c>
      <c r="J1611" s="104">
        <v>0</v>
      </c>
      <c r="K1611" s="72">
        <v>7</v>
      </c>
      <c r="L1611" s="53" t="str">
        <f>VLOOKUP(_stats[[#This Row],[tournament]],tournaments_n_rules[],2,0)</f>
        <v>УПК</v>
      </c>
      <c r="M1611" s="53" t="str">
        <f>VLOOKUP(_stats[[#This Row],[tournament]],tournaments_n_rules[],3,0)</f>
        <v>Лето 2026</v>
      </c>
      <c r="N1611" s="54">
        <f>VLOOKUP(_stats[[#This Row],[tournament]],tournaments_n_rules[],4,0)</f>
        <v>46194</v>
      </c>
      <c r="O1611" s="54">
        <f>VLOOKUP(_stats[[#This Row],[tournament]],tournaments_n_rules[],5,0)</f>
        <v>46265</v>
      </c>
    </row>
    <row r="1612" spans="1:15" x14ac:dyDescent="0.25">
      <c r="A1612" s="6">
        <v>46243</v>
      </c>
      <c r="B1612" s="72">
        <v>2</v>
      </c>
      <c r="C1612" s="104" t="s">
        <v>126</v>
      </c>
      <c r="D1612" s="10" t="str">
        <f>IFERROR(VLOOKUP(_stats[[#This Row],[player_id]],_players[[player_id]:[player_name]],2,0),"")</f>
        <v>Макс Логинов</v>
      </c>
      <c r="E1612" s="72">
        <v>1</v>
      </c>
      <c r="F1612" s="102">
        <v>0</v>
      </c>
      <c r="G1612" s="10">
        <f>SUMIFS(_teams[wins_on_date],_teams[date],_stats[[#This Row],[date]],_teams[team_number],_stats[[#This Row],[team_number]])</f>
        <v>6</v>
      </c>
      <c r="H1612" s="10">
        <f>SUMIFS(_teams[draws_on_date],_teams[date],_stats[[#This Row],[date]],_teams[team_number],_stats[[#This Row],[team_number]])</f>
        <v>3</v>
      </c>
      <c r="I1612" s="72">
        <v>0</v>
      </c>
      <c r="J1612" s="104">
        <v>0</v>
      </c>
      <c r="K1612" s="72">
        <v>7</v>
      </c>
      <c r="L1612" s="53" t="str">
        <f>VLOOKUP(_stats[[#This Row],[tournament]],tournaments_n_rules[],2,0)</f>
        <v>УПК</v>
      </c>
      <c r="M1612" s="53" t="str">
        <f>VLOOKUP(_stats[[#This Row],[tournament]],tournaments_n_rules[],3,0)</f>
        <v>Лето 2026</v>
      </c>
      <c r="N1612" s="54">
        <f>VLOOKUP(_stats[[#This Row],[tournament]],tournaments_n_rules[],4,0)</f>
        <v>46194</v>
      </c>
      <c r="O1612" s="54">
        <f>VLOOKUP(_stats[[#This Row],[tournament]],tournaments_n_rules[],5,0)</f>
        <v>46265</v>
      </c>
    </row>
    <row r="1613" spans="1:15" x14ac:dyDescent="0.25">
      <c r="A1613" s="6">
        <v>46243</v>
      </c>
      <c r="B1613" s="72">
        <v>2</v>
      </c>
      <c r="C1613" s="104" t="s">
        <v>64</v>
      </c>
      <c r="D1613" s="10" t="str">
        <f>IFERROR(VLOOKUP(_stats[[#This Row],[player_id]],_players[[player_id]:[player_name]],2,0),"")</f>
        <v>Никита (АК+1)</v>
      </c>
      <c r="E1613" s="72">
        <v>3</v>
      </c>
      <c r="F1613" s="102">
        <v>3</v>
      </c>
      <c r="G1613" s="10">
        <f>SUMIFS(_teams[wins_on_date],_teams[date],_stats[[#This Row],[date]],_teams[team_number],_stats[[#This Row],[team_number]])</f>
        <v>6</v>
      </c>
      <c r="H1613" s="10">
        <f>SUMIFS(_teams[draws_on_date],_teams[date],_stats[[#This Row],[date]],_teams[team_number],_stats[[#This Row],[team_number]])</f>
        <v>3</v>
      </c>
      <c r="I1613" s="72">
        <v>0</v>
      </c>
      <c r="J1613" s="104">
        <v>0</v>
      </c>
      <c r="K1613" s="72">
        <v>7</v>
      </c>
      <c r="L1613" s="53" t="str">
        <f>VLOOKUP(_stats[[#This Row],[tournament]],tournaments_n_rules[],2,0)</f>
        <v>УПК</v>
      </c>
      <c r="M1613" s="53" t="str">
        <f>VLOOKUP(_stats[[#This Row],[tournament]],tournaments_n_rules[],3,0)</f>
        <v>Лето 2026</v>
      </c>
      <c r="N1613" s="54">
        <f>VLOOKUP(_stats[[#This Row],[tournament]],tournaments_n_rules[],4,0)</f>
        <v>46194</v>
      </c>
      <c r="O1613" s="54">
        <f>VLOOKUP(_stats[[#This Row],[tournament]],tournaments_n_rules[],5,0)</f>
        <v>46265</v>
      </c>
    </row>
    <row r="1614" spans="1:15" x14ac:dyDescent="0.25">
      <c r="A1614" s="6">
        <v>46243</v>
      </c>
      <c r="B1614" s="72">
        <v>2</v>
      </c>
      <c r="C1614" s="104" t="s">
        <v>19</v>
      </c>
      <c r="D1614" s="10" t="str">
        <f>IFERROR(VLOOKUP(_stats[[#This Row],[player_id]],_players[[player_id]:[player_name]],2,0),"")</f>
        <v>Олег Шишкин</v>
      </c>
      <c r="E1614" s="72">
        <v>0</v>
      </c>
      <c r="F1614" s="102">
        <v>0</v>
      </c>
      <c r="G1614" s="10">
        <f>SUMIFS(_teams[wins_on_date],_teams[date],_stats[[#This Row],[date]],_teams[team_number],_stats[[#This Row],[team_number]])</f>
        <v>6</v>
      </c>
      <c r="H1614" s="10">
        <f>SUMIFS(_teams[draws_on_date],_teams[date],_stats[[#This Row],[date]],_teams[team_number],_stats[[#This Row],[team_number]])</f>
        <v>3</v>
      </c>
      <c r="I1614" s="72">
        <v>0</v>
      </c>
      <c r="J1614" s="104">
        <v>0</v>
      </c>
      <c r="K1614" s="72">
        <v>7</v>
      </c>
      <c r="L1614" s="53" t="str">
        <f>VLOOKUP(_stats[[#This Row],[tournament]],tournaments_n_rules[],2,0)</f>
        <v>УПК</v>
      </c>
      <c r="M1614" s="53" t="str">
        <f>VLOOKUP(_stats[[#This Row],[tournament]],tournaments_n_rules[],3,0)</f>
        <v>Лето 2026</v>
      </c>
      <c r="N1614" s="54">
        <f>VLOOKUP(_stats[[#This Row],[tournament]],tournaments_n_rules[],4,0)</f>
        <v>46194</v>
      </c>
      <c r="O1614" s="54">
        <f>VLOOKUP(_stats[[#This Row],[tournament]],tournaments_n_rules[],5,0)</f>
        <v>46265</v>
      </c>
    </row>
    <row r="1615" spans="1:15" x14ac:dyDescent="0.25">
      <c r="A1615" s="6">
        <v>46243</v>
      </c>
      <c r="B1615" s="72">
        <v>3</v>
      </c>
      <c r="C1615" s="104" t="s">
        <v>8</v>
      </c>
      <c r="D1615" s="10" t="str">
        <f>IFERROR(VLOOKUP(_stats[[#This Row],[player_id]],_players[[player_id]:[player_name]],2,0),"")</f>
        <v>Костя</v>
      </c>
      <c r="E1615" s="72">
        <v>1</v>
      </c>
      <c r="F1615" s="102">
        <v>0</v>
      </c>
      <c r="G1615" s="10">
        <f>SUMIFS(_teams[wins_on_date],_teams[date],_stats[[#This Row],[date]],_teams[team_number],_stats[[#This Row],[team_number]])</f>
        <v>2</v>
      </c>
      <c r="H1615" s="10">
        <f>SUMIFS(_teams[draws_on_date],_teams[date],_stats[[#This Row],[date]],_teams[team_number],_stats[[#This Row],[team_number]])</f>
        <v>2</v>
      </c>
      <c r="I1615" s="72">
        <v>0</v>
      </c>
      <c r="J1615" s="104">
        <v>0</v>
      </c>
      <c r="K1615" s="72">
        <v>7</v>
      </c>
      <c r="L1615" s="53" t="str">
        <f>VLOOKUP(_stats[[#This Row],[tournament]],tournaments_n_rules[],2,0)</f>
        <v>УПК</v>
      </c>
      <c r="M1615" s="53" t="str">
        <f>VLOOKUP(_stats[[#This Row],[tournament]],tournaments_n_rules[],3,0)</f>
        <v>Лето 2026</v>
      </c>
      <c r="N1615" s="54">
        <f>VLOOKUP(_stats[[#This Row],[tournament]],tournaments_n_rules[],4,0)</f>
        <v>46194</v>
      </c>
      <c r="O1615" s="54">
        <f>VLOOKUP(_stats[[#This Row],[tournament]],tournaments_n_rules[],5,0)</f>
        <v>46265</v>
      </c>
    </row>
    <row r="1616" spans="1:15" x14ac:dyDescent="0.25">
      <c r="A1616" s="6">
        <v>46243</v>
      </c>
      <c r="B1616" s="72">
        <v>1</v>
      </c>
      <c r="C1616" s="104" t="s">
        <v>13</v>
      </c>
      <c r="D1616" s="10" t="str">
        <f>IFERROR(VLOOKUP(_stats[[#This Row],[player_id]],_players[[player_id]:[player_name]],2,0),"")</f>
        <v>Нурик</v>
      </c>
      <c r="E1616" s="72">
        <v>0</v>
      </c>
      <c r="F1616" s="102">
        <v>1</v>
      </c>
      <c r="G1616" s="10">
        <f>SUMIFS(_teams[wins_on_date],_teams[date],_stats[[#This Row],[date]],_teams[team_number],_stats[[#This Row],[team_number]])</f>
        <v>0</v>
      </c>
      <c r="H1616" s="10">
        <f>SUMIFS(_teams[draws_on_date],_teams[date],_stats[[#This Row],[date]],_teams[team_number],_stats[[#This Row],[team_number]])</f>
        <v>3</v>
      </c>
      <c r="I1616" s="72">
        <v>0</v>
      </c>
      <c r="J1616" s="104">
        <v>0</v>
      </c>
      <c r="K1616" s="72">
        <v>7</v>
      </c>
      <c r="L1616" s="53" t="str">
        <f>VLOOKUP(_stats[[#This Row],[tournament]],tournaments_n_rules[],2,0)</f>
        <v>УПК</v>
      </c>
      <c r="M1616" s="53" t="str">
        <f>VLOOKUP(_stats[[#This Row],[tournament]],tournaments_n_rules[],3,0)</f>
        <v>Лето 2026</v>
      </c>
      <c r="N1616" s="54">
        <f>VLOOKUP(_stats[[#This Row],[tournament]],tournaments_n_rules[],4,0)</f>
        <v>46194</v>
      </c>
      <c r="O1616" s="54">
        <f>VLOOKUP(_stats[[#This Row],[tournament]],tournaments_n_rules[],5,0)</f>
        <v>46265</v>
      </c>
    </row>
    <row r="1617" spans="1:15" x14ac:dyDescent="0.25">
      <c r="A1617" s="6">
        <v>46243</v>
      </c>
      <c r="B1617" s="72">
        <v>2</v>
      </c>
      <c r="C1617" s="104" t="s">
        <v>44</v>
      </c>
      <c r="D1617" s="10" t="str">
        <f>IFERROR(VLOOKUP(_stats[[#This Row],[player_id]],_players[[player_id]:[player_name]],2,0),"")</f>
        <v>Женя (кипер)</v>
      </c>
      <c r="E1617" s="72">
        <v>0</v>
      </c>
      <c r="F1617" s="102">
        <v>1</v>
      </c>
      <c r="G1617" s="10">
        <f>SUMIFS(_teams[wins_on_date],_teams[date],_stats[[#This Row],[date]],_teams[team_number],_stats[[#This Row],[team_number]])</f>
        <v>6</v>
      </c>
      <c r="H1617" s="10">
        <f>SUMIFS(_teams[draws_on_date],_teams[date],_stats[[#This Row],[date]],_teams[team_number],_stats[[#This Row],[team_number]])</f>
        <v>3</v>
      </c>
      <c r="I1617" s="72">
        <v>6</v>
      </c>
      <c r="J1617" s="104">
        <v>0</v>
      </c>
      <c r="K1617" s="72">
        <v>7</v>
      </c>
      <c r="L1617" s="53" t="str">
        <f>VLOOKUP(_stats[[#This Row],[tournament]],tournaments_n_rules[],2,0)</f>
        <v>УПК</v>
      </c>
      <c r="M1617" s="53" t="str">
        <f>VLOOKUP(_stats[[#This Row],[tournament]],tournaments_n_rules[],3,0)</f>
        <v>Лето 2026</v>
      </c>
      <c r="N1617" s="54">
        <f>VLOOKUP(_stats[[#This Row],[tournament]],tournaments_n_rules[],4,0)</f>
        <v>46194</v>
      </c>
      <c r="O1617" s="54">
        <f>VLOOKUP(_stats[[#This Row],[tournament]],tournaments_n_rules[],5,0)</f>
        <v>46265</v>
      </c>
    </row>
    <row r="1618" spans="1:15" x14ac:dyDescent="0.25">
      <c r="A1618" s="6">
        <v>46243</v>
      </c>
      <c r="B1618" s="72">
        <v>3</v>
      </c>
      <c r="C1618" s="104" t="s">
        <v>43</v>
      </c>
      <c r="D1618" s="10" t="str">
        <f>IFERROR(VLOOKUP(_stats[[#This Row],[player_id]],_players[[player_id]:[player_name]],2,0),"")</f>
        <v>Никита</v>
      </c>
      <c r="E1618" s="72">
        <v>0</v>
      </c>
      <c r="F1618" s="102">
        <v>2</v>
      </c>
      <c r="G1618" s="10">
        <f>SUMIFS(_teams[wins_on_date],_teams[date],_stats[[#This Row],[date]],_teams[team_number],_stats[[#This Row],[team_number]])</f>
        <v>2</v>
      </c>
      <c r="H1618" s="10">
        <f>SUMIFS(_teams[draws_on_date],_teams[date],_stats[[#This Row],[date]],_teams[team_number],_stats[[#This Row],[team_number]])</f>
        <v>2</v>
      </c>
      <c r="I1618" s="72">
        <v>0</v>
      </c>
      <c r="J1618" s="104">
        <v>0</v>
      </c>
      <c r="K1618" s="72">
        <v>7</v>
      </c>
      <c r="L1618" s="53" t="str">
        <f>VLOOKUP(_stats[[#This Row],[tournament]],tournaments_n_rules[],2,0)</f>
        <v>УПК</v>
      </c>
      <c r="M1618" s="53" t="str">
        <f>VLOOKUP(_stats[[#This Row],[tournament]],tournaments_n_rules[],3,0)</f>
        <v>Лето 2026</v>
      </c>
      <c r="N1618" s="54">
        <f>VLOOKUP(_stats[[#This Row],[tournament]],tournaments_n_rules[],4,0)</f>
        <v>46194</v>
      </c>
      <c r="O1618" s="54">
        <f>VLOOKUP(_stats[[#This Row],[tournament]],tournaments_n_rules[],5,0)</f>
        <v>46265</v>
      </c>
    </row>
    <row r="1619" spans="1:15" x14ac:dyDescent="0.25">
      <c r="A1619" s="6">
        <v>46243</v>
      </c>
      <c r="B1619" s="72">
        <v>3</v>
      </c>
      <c r="C1619" s="104" t="s">
        <v>11</v>
      </c>
      <c r="D1619" s="10" t="str">
        <f>IFERROR(VLOOKUP(_stats[[#This Row],[player_id]],_players[[player_id]:[player_name]],2,0),"")</f>
        <v>Сергей Крюков</v>
      </c>
      <c r="E1619" s="72">
        <v>0</v>
      </c>
      <c r="F1619" s="102">
        <v>0</v>
      </c>
      <c r="G1619" s="10">
        <f>SUMIFS(_teams[wins_on_date],_teams[date],_stats[[#This Row],[date]],_teams[team_number],_stats[[#This Row],[team_number]])</f>
        <v>2</v>
      </c>
      <c r="H1619" s="10">
        <f>SUMIFS(_teams[draws_on_date],_teams[date],_stats[[#This Row],[date]],_teams[team_number],_stats[[#This Row],[team_number]])</f>
        <v>2</v>
      </c>
      <c r="I1619" s="72">
        <v>0</v>
      </c>
      <c r="J1619" s="104">
        <v>0</v>
      </c>
      <c r="K1619" s="72">
        <v>7</v>
      </c>
      <c r="L1619" s="53" t="str">
        <f>VLOOKUP(_stats[[#This Row],[tournament]],tournaments_n_rules[],2,0)</f>
        <v>УПК</v>
      </c>
      <c r="M1619" s="53" t="str">
        <f>VLOOKUP(_stats[[#This Row],[tournament]],tournaments_n_rules[],3,0)</f>
        <v>Лето 2026</v>
      </c>
      <c r="N1619" s="54">
        <f>VLOOKUP(_stats[[#This Row],[tournament]],tournaments_n_rules[],4,0)</f>
        <v>46194</v>
      </c>
      <c r="O1619" s="54">
        <f>VLOOKUP(_stats[[#This Row],[tournament]],tournaments_n_rules[],5,0)</f>
        <v>46265</v>
      </c>
    </row>
    <row r="1620" spans="1:15" x14ac:dyDescent="0.25">
      <c r="A1620" s="6">
        <v>46243</v>
      </c>
      <c r="B1620" s="72">
        <v>1</v>
      </c>
      <c r="C1620" s="104" t="s">
        <v>125</v>
      </c>
      <c r="D1620" s="10" t="str">
        <f>IFERROR(VLOOKUP(_stats[[#This Row],[player_id]],_players[[player_id]:[player_name]],2,0),"")</f>
        <v>Арги</v>
      </c>
      <c r="E1620" s="72">
        <v>0</v>
      </c>
      <c r="F1620" s="102">
        <v>0</v>
      </c>
      <c r="G1620" s="10">
        <f>SUMIFS(_teams[wins_on_date],_teams[date],_stats[[#This Row],[date]],_teams[team_number],_stats[[#This Row],[team_number]])</f>
        <v>0</v>
      </c>
      <c r="H1620" s="10">
        <f>SUMIFS(_teams[draws_on_date],_teams[date],_stats[[#This Row],[date]],_teams[team_number],_stats[[#This Row],[team_number]])</f>
        <v>3</v>
      </c>
      <c r="I1620" s="72">
        <v>0</v>
      </c>
      <c r="J1620" s="104">
        <v>0</v>
      </c>
      <c r="K1620" s="72">
        <v>7</v>
      </c>
      <c r="L1620" s="53" t="str">
        <f>VLOOKUP(_stats[[#This Row],[tournament]],tournaments_n_rules[],2,0)</f>
        <v>УПК</v>
      </c>
      <c r="M1620" s="53" t="str">
        <f>VLOOKUP(_stats[[#This Row],[tournament]],tournaments_n_rules[],3,0)</f>
        <v>Лето 2026</v>
      </c>
      <c r="N1620" s="54">
        <f>VLOOKUP(_stats[[#This Row],[tournament]],tournaments_n_rules[],4,0)</f>
        <v>46194</v>
      </c>
      <c r="O1620" s="54">
        <f>VLOOKUP(_stats[[#This Row],[tournament]],tournaments_n_rules[],5,0)</f>
        <v>46265</v>
      </c>
    </row>
    <row r="1621" spans="1:15" x14ac:dyDescent="0.25">
      <c r="A1621" s="6">
        <v>46243</v>
      </c>
      <c r="B1621" s="72">
        <v>1</v>
      </c>
      <c r="C1621" s="104" t="s">
        <v>65</v>
      </c>
      <c r="D1621" s="10" t="str">
        <f>IFERROR(VLOOKUP(_stats[[#This Row],[player_id]],_players[[player_id]:[player_name]],2,0),"")</f>
        <v>Марат (Атай+1)</v>
      </c>
      <c r="E1621" s="72">
        <v>0</v>
      </c>
      <c r="F1621" s="102">
        <v>0</v>
      </c>
      <c r="G1621" s="10">
        <f>SUMIFS(_teams[wins_on_date],_teams[date],_stats[[#This Row],[date]],_teams[team_number],_stats[[#This Row],[team_number]])</f>
        <v>0</v>
      </c>
      <c r="H1621" s="10">
        <f>SUMIFS(_teams[draws_on_date],_teams[date],_stats[[#This Row],[date]],_teams[team_number],_stats[[#This Row],[team_number]])</f>
        <v>3</v>
      </c>
      <c r="I1621" s="72">
        <v>0</v>
      </c>
      <c r="J1621" s="104">
        <v>0</v>
      </c>
      <c r="K1621" s="72">
        <v>7</v>
      </c>
      <c r="L1621" s="53" t="str">
        <f>VLOOKUP(_stats[[#This Row],[tournament]],tournaments_n_rules[],2,0)</f>
        <v>УПК</v>
      </c>
      <c r="M1621" s="53" t="str">
        <f>VLOOKUP(_stats[[#This Row],[tournament]],tournaments_n_rules[],3,0)</f>
        <v>Лето 2026</v>
      </c>
      <c r="N1621" s="54">
        <f>VLOOKUP(_stats[[#This Row],[tournament]],tournaments_n_rules[],4,0)</f>
        <v>46194</v>
      </c>
      <c r="O1621" s="54">
        <f>VLOOKUP(_stats[[#This Row],[tournament]],tournaments_n_rules[],5,0)</f>
        <v>46265</v>
      </c>
    </row>
    <row r="1622" spans="1:15" x14ac:dyDescent="0.25">
      <c r="A1622" s="6">
        <v>46243</v>
      </c>
      <c r="B1622" s="72">
        <v>1</v>
      </c>
      <c r="C1622" s="104" t="s">
        <v>23</v>
      </c>
      <c r="D1622" s="10" t="str">
        <f>IFERROR(VLOOKUP(_stats[[#This Row],[player_id]],_players[[player_id]:[player_name]],2,0),"")</f>
        <v>Вова</v>
      </c>
      <c r="E1622" s="72">
        <v>0</v>
      </c>
      <c r="F1622" s="102">
        <v>0</v>
      </c>
      <c r="G1622" s="10">
        <f>SUMIFS(_teams[wins_on_date],_teams[date],_stats[[#This Row],[date]],_teams[team_number],_stats[[#This Row],[team_number]])</f>
        <v>0</v>
      </c>
      <c r="H1622" s="10">
        <f>SUMIFS(_teams[draws_on_date],_teams[date],_stats[[#This Row],[date]],_teams[team_number],_stats[[#This Row],[team_number]])</f>
        <v>3</v>
      </c>
      <c r="I1622" s="72">
        <v>0</v>
      </c>
      <c r="J1622" s="104">
        <v>0</v>
      </c>
      <c r="K1622" s="72">
        <v>7</v>
      </c>
      <c r="L1622" s="53" t="str">
        <f>VLOOKUP(_stats[[#This Row],[tournament]],tournaments_n_rules[],2,0)</f>
        <v>УПК</v>
      </c>
      <c r="M1622" s="53" t="str">
        <f>VLOOKUP(_stats[[#This Row],[tournament]],tournaments_n_rules[],3,0)</f>
        <v>Лето 2026</v>
      </c>
      <c r="N1622" s="54">
        <f>VLOOKUP(_stats[[#This Row],[tournament]],tournaments_n_rules[],4,0)</f>
        <v>46194</v>
      </c>
      <c r="O1622" s="54">
        <f>VLOOKUP(_stats[[#This Row],[tournament]],tournaments_n_rules[],5,0)</f>
        <v>46265</v>
      </c>
    </row>
    <row r="1623" spans="1:15" x14ac:dyDescent="0.25">
      <c r="A1623" s="6">
        <v>46243</v>
      </c>
      <c r="B1623" s="72">
        <v>1</v>
      </c>
      <c r="C1623" s="104" t="s">
        <v>136</v>
      </c>
      <c r="D1623" s="10" t="str">
        <f>IFERROR(VLOOKUP(_stats[[#This Row],[player_id]],_players[[player_id]:[player_name]],2,0),"")</f>
        <v>Заур (Руб+1)</v>
      </c>
      <c r="E1623" s="72">
        <v>1</v>
      </c>
      <c r="F1623" s="102">
        <v>0</v>
      </c>
      <c r="G1623" s="10">
        <f>SUMIFS(_teams[wins_on_date],_teams[date],_stats[[#This Row],[date]],_teams[team_number],_stats[[#This Row],[team_number]])</f>
        <v>0</v>
      </c>
      <c r="H1623" s="10">
        <f>SUMIFS(_teams[draws_on_date],_teams[date],_stats[[#This Row],[date]],_teams[team_number],_stats[[#This Row],[team_number]])</f>
        <v>3</v>
      </c>
      <c r="I1623" s="72">
        <v>0</v>
      </c>
      <c r="J1623" s="104">
        <v>0</v>
      </c>
      <c r="K1623" s="72">
        <v>7</v>
      </c>
      <c r="L1623" s="53" t="str">
        <f>VLOOKUP(_stats[[#This Row],[tournament]],tournaments_n_rules[],2,0)</f>
        <v>УПК</v>
      </c>
      <c r="M1623" s="53" t="str">
        <f>VLOOKUP(_stats[[#This Row],[tournament]],tournaments_n_rules[],3,0)</f>
        <v>Лето 2026</v>
      </c>
      <c r="N1623" s="54">
        <f>VLOOKUP(_stats[[#This Row],[tournament]],tournaments_n_rules[],4,0)</f>
        <v>46194</v>
      </c>
      <c r="O1623" s="54">
        <f>VLOOKUP(_stats[[#This Row],[tournament]],tournaments_n_rules[],5,0)</f>
        <v>46265</v>
      </c>
    </row>
    <row r="1624" spans="1:15" x14ac:dyDescent="0.25">
      <c r="A1624" s="6">
        <v>46243</v>
      </c>
      <c r="B1624" s="72">
        <v>3</v>
      </c>
      <c r="C1624" s="104" t="s">
        <v>312</v>
      </c>
      <c r="D1624" s="10" t="str">
        <f>IFERROR(VLOOKUP(_stats[[#This Row],[player_id]],_players[[player_id]:[player_name]],2,0),"")</f>
        <v>Данила (Руб+1)</v>
      </c>
      <c r="E1624" s="72">
        <v>0</v>
      </c>
      <c r="F1624" s="102">
        <v>0</v>
      </c>
      <c r="G1624" s="10">
        <f>SUMIFS(_teams[wins_on_date],_teams[date],_stats[[#This Row],[date]],_teams[team_number],_stats[[#This Row],[team_number]])</f>
        <v>2</v>
      </c>
      <c r="H1624" s="10">
        <f>SUMIFS(_teams[draws_on_date],_teams[date],_stats[[#This Row],[date]],_teams[team_number],_stats[[#This Row],[team_number]])</f>
        <v>2</v>
      </c>
      <c r="I1624" s="72">
        <v>0</v>
      </c>
      <c r="J1624" s="104">
        <v>0</v>
      </c>
      <c r="K1624" s="72">
        <v>7</v>
      </c>
      <c r="L1624" s="53" t="str">
        <f>VLOOKUP(_stats[[#This Row],[tournament]],tournaments_n_rules[],2,0)</f>
        <v>УПК</v>
      </c>
      <c r="M1624" s="53" t="str">
        <f>VLOOKUP(_stats[[#This Row],[tournament]],tournaments_n_rules[],3,0)</f>
        <v>Лето 2026</v>
      </c>
      <c r="N1624" s="54">
        <f>VLOOKUP(_stats[[#This Row],[tournament]],tournaments_n_rules[],4,0)</f>
        <v>46194</v>
      </c>
      <c r="O1624" s="54">
        <f>VLOOKUP(_stats[[#This Row],[tournament]],tournaments_n_rules[],5,0)</f>
        <v>46265</v>
      </c>
    </row>
    <row r="1625" spans="1:15" x14ac:dyDescent="0.25">
      <c r="A1625" s="6">
        <v>46243</v>
      </c>
      <c r="B1625" s="72">
        <v>3</v>
      </c>
      <c r="C1625" s="104" t="s">
        <v>60</v>
      </c>
      <c r="D1625" s="10" t="str">
        <f>IFERROR(VLOOKUP(_stats[[#This Row],[player_id]],_players[[player_id]:[player_name]],2,0),"")</f>
        <v>Игорь (Ник +1)</v>
      </c>
      <c r="E1625" s="72">
        <v>1</v>
      </c>
      <c r="F1625" s="102">
        <v>0</v>
      </c>
      <c r="G1625" s="10">
        <f>SUMIFS(_teams[wins_on_date],_teams[date],_stats[[#This Row],[date]],_teams[team_number],_stats[[#This Row],[team_number]])</f>
        <v>2</v>
      </c>
      <c r="H1625" s="10">
        <f>SUMIFS(_teams[draws_on_date],_teams[date],_stats[[#This Row],[date]],_teams[team_number],_stats[[#This Row],[team_number]])</f>
        <v>2</v>
      </c>
      <c r="I1625" s="72">
        <v>0</v>
      </c>
      <c r="J1625" s="104">
        <v>0</v>
      </c>
      <c r="K1625" s="72">
        <v>7</v>
      </c>
      <c r="L1625" s="53" t="str">
        <f>VLOOKUP(_stats[[#This Row],[tournament]],tournaments_n_rules[],2,0)</f>
        <v>УПК</v>
      </c>
      <c r="M1625" s="53" t="str">
        <f>VLOOKUP(_stats[[#This Row],[tournament]],tournaments_n_rules[],3,0)</f>
        <v>Лето 2026</v>
      </c>
      <c r="N1625" s="54">
        <f>VLOOKUP(_stats[[#This Row],[tournament]],tournaments_n_rules[],4,0)</f>
        <v>46194</v>
      </c>
      <c r="O1625" s="54">
        <f>VLOOKUP(_stats[[#This Row],[tournament]],tournaments_n_rules[],5,0)</f>
        <v>46265</v>
      </c>
    </row>
    <row r="1626" spans="1:15" x14ac:dyDescent="0.25">
      <c r="A1626" s="6">
        <v>46243</v>
      </c>
      <c r="B1626" s="72">
        <v>3</v>
      </c>
      <c r="C1626" s="104" t="s">
        <v>157</v>
      </c>
      <c r="D1626" s="10" t="str">
        <f>IFERROR(VLOOKUP(_stats[[#This Row],[player_id]],_players[[player_id]:[player_name]],2,0),"")</f>
        <v>Никита (Сурэн+1)</v>
      </c>
      <c r="E1626" s="72">
        <v>0</v>
      </c>
      <c r="F1626" s="102">
        <v>0</v>
      </c>
      <c r="G1626" s="10">
        <f>SUMIFS(_teams[wins_on_date],_teams[date],_stats[[#This Row],[date]],_teams[team_number],_stats[[#This Row],[team_number]])</f>
        <v>2</v>
      </c>
      <c r="H1626" s="10">
        <f>SUMIFS(_teams[draws_on_date],_teams[date],_stats[[#This Row],[date]],_teams[team_number],_stats[[#This Row],[team_number]])</f>
        <v>2</v>
      </c>
      <c r="I1626" s="72">
        <v>0</v>
      </c>
      <c r="J1626" s="104">
        <v>0</v>
      </c>
      <c r="K1626" s="72">
        <v>7</v>
      </c>
      <c r="L1626" s="53" t="str">
        <f>VLOOKUP(_stats[[#This Row],[tournament]],tournaments_n_rules[],2,0)</f>
        <v>УПК</v>
      </c>
      <c r="M1626" s="53" t="str">
        <f>VLOOKUP(_stats[[#This Row],[tournament]],tournaments_n_rules[],3,0)</f>
        <v>Лето 2026</v>
      </c>
      <c r="N1626" s="54">
        <f>VLOOKUP(_stats[[#This Row],[tournament]],tournaments_n_rules[],4,0)</f>
        <v>46194</v>
      </c>
      <c r="O1626" s="54">
        <f>VLOOKUP(_stats[[#This Row],[tournament]],tournaments_n_rules[],5,0)</f>
        <v>46265</v>
      </c>
    </row>
    <row r="1627" spans="1:15" x14ac:dyDescent="0.25">
      <c r="A1627" s="6">
        <v>46243</v>
      </c>
      <c r="B1627" s="72">
        <v>1</v>
      </c>
      <c r="C1627" s="104" t="s">
        <v>313</v>
      </c>
      <c r="D1627" s="10" t="str">
        <f>IFERROR(VLOOKUP(_stats[[#This Row],[player_id]],_players[[player_id]:[player_name]],2,0),"")</f>
        <v>Гагик (Атай+1)</v>
      </c>
      <c r="E1627" s="72">
        <v>0</v>
      </c>
      <c r="F1627" s="102">
        <v>0</v>
      </c>
      <c r="G1627" s="10">
        <f>SUMIFS(_teams[wins_on_date],_teams[date],_stats[[#This Row],[date]],_teams[team_number],_stats[[#This Row],[team_number]])</f>
        <v>0</v>
      </c>
      <c r="H1627" s="10">
        <f>SUMIFS(_teams[draws_on_date],_teams[date],_stats[[#This Row],[date]],_teams[team_number],_stats[[#This Row],[team_number]])</f>
        <v>3</v>
      </c>
      <c r="I1627" s="72">
        <v>0</v>
      </c>
      <c r="J1627" s="104">
        <v>0</v>
      </c>
      <c r="K1627" s="72">
        <v>7</v>
      </c>
      <c r="L1627" s="53" t="str">
        <f>VLOOKUP(_stats[[#This Row],[tournament]],tournaments_n_rules[],2,0)</f>
        <v>УПК</v>
      </c>
      <c r="M1627" s="53" t="str">
        <f>VLOOKUP(_stats[[#This Row],[tournament]],tournaments_n_rules[],3,0)</f>
        <v>Лето 2026</v>
      </c>
      <c r="N1627" s="54">
        <f>VLOOKUP(_stats[[#This Row],[tournament]],tournaments_n_rules[],4,0)</f>
        <v>46194</v>
      </c>
      <c r="O1627" s="54">
        <f>VLOOKUP(_stats[[#This Row],[tournament]],tournaments_n_rules[],5,0)</f>
        <v>46265</v>
      </c>
    </row>
    <row r="1628" spans="1:15" x14ac:dyDescent="0.25">
      <c r="A1628" s="6">
        <v>46243</v>
      </c>
      <c r="B1628" s="72">
        <v>2</v>
      </c>
      <c r="C1628" s="104" t="s">
        <v>46</v>
      </c>
      <c r="D1628" s="10" t="str">
        <f>IFERROR(VLOOKUP(_stats[[#This Row],[player_id]],_players[[player_id]:[player_name]],2,0),"")</f>
        <v>Рома Сурнин</v>
      </c>
      <c r="E1628" s="72">
        <v>0</v>
      </c>
      <c r="F1628" s="102">
        <v>1</v>
      </c>
      <c r="G1628" s="10">
        <f>SUMIFS(_teams[wins_on_date],_teams[date],_stats[[#This Row],[date]],_teams[team_number],_stats[[#This Row],[team_number]])</f>
        <v>6</v>
      </c>
      <c r="H1628" s="10">
        <f>SUMIFS(_teams[draws_on_date],_teams[date],_stats[[#This Row],[date]],_teams[team_number],_stats[[#This Row],[team_number]])</f>
        <v>3</v>
      </c>
      <c r="I1628" s="72">
        <v>0</v>
      </c>
      <c r="J1628" s="104">
        <v>0</v>
      </c>
      <c r="K1628" s="72">
        <v>7</v>
      </c>
      <c r="L1628" s="53" t="str">
        <f>VLOOKUP(_stats[[#This Row],[tournament]],tournaments_n_rules[],2,0)</f>
        <v>УПК</v>
      </c>
      <c r="M1628" s="53" t="str">
        <f>VLOOKUP(_stats[[#This Row],[tournament]],tournaments_n_rules[],3,0)</f>
        <v>Лето 2026</v>
      </c>
      <c r="N1628" s="54">
        <f>VLOOKUP(_stats[[#This Row],[tournament]],tournaments_n_rules[],4,0)</f>
        <v>46194</v>
      </c>
      <c r="O1628" s="54">
        <f>VLOOKUP(_stats[[#This Row],[tournament]],tournaments_n_rules[],5,0)</f>
        <v>46265</v>
      </c>
    </row>
    <row r="1629" spans="1:15" x14ac:dyDescent="0.25">
      <c r="A1629" s="6">
        <v>46243</v>
      </c>
      <c r="B1629" s="72">
        <v>2</v>
      </c>
      <c r="C1629" s="104" t="s">
        <v>135</v>
      </c>
      <c r="D1629" s="10" t="str">
        <f>IFERROR(VLOOKUP(_stats[[#This Row],[player_id]],_players[[player_id]:[player_name]],2,0),"")</f>
        <v>Мага (Руб+1)</v>
      </c>
      <c r="E1629" s="72">
        <v>0</v>
      </c>
      <c r="F1629" s="102">
        <v>0</v>
      </c>
      <c r="G1629" s="10">
        <f>SUMIFS(_teams[wins_on_date],_teams[date],_stats[[#This Row],[date]],_teams[team_number],_stats[[#This Row],[team_number]])</f>
        <v>6</v>
      </c>
      <c r="H1629" s="10">
        <f>SUMIFS(_teams[draws_on_date],_teams[date],_stats[[#This Row],[date]],_teams[team_number],_stats[[#This Row],[team_number]])</f>
        <v>3</v>
      </c>
      <c r="I1629" s="72">
        <v>0</v>
      </c>
      <c r="J1629" s="104">
        <v>0</v>
      </c>
      <c r="K1629" s="72">
        <v>7</v>
      </c>
      <c r="L1629" s="53" t="str">
        <f>VLOOKUP(_stats[[#This Row],[tournament]],tournaments_n_rules[],2,0)</f>
        <v>УПК</v>
      </c>
      <c r="M1629" s="53" t="str">
        <f>VLOOKUP(_stats[[#This Row],[tournament]],tournaments_n_rules[],3,0)</f>
        <v>Лето 2026</v>
      </c>
      <c r="N1629" s="54">
        <f>VLOOKUP(_stats[[#This Row],[tournament]],tournaments_n_rules[],4,0)</f>
        <v>46194</v>
      </c>
      <c r="O1629" s="54">
        <f>VLOOKUP(_stats[[#This Row],[tournament]],tournaments_n_rules[],5,0)</f>
        <v>46265</v>
      </c>
    </row>
    <row r="1630" spans="1:15" x14ac:dyDescent="0.25">
      <c r="A1630" s="6">
        <v>46243</v>
      </c>
      <c r="B1630" s="72">
        <v>1</v>
      </c>
      <c r="C1630" s="104" t="s">
        <v>314</v>
      </c>
      <c r="D1630" s="10" t="str">
        <f>IFERROR(VLOOKUP(_stats[[#This Row],[player_id]],_players[[player_id]:[player_name]],2,0),"")</f>
        <v>Рашид</v>
      </c>
      <c r="E1630" s="72">
        <v>0</v>
      </c>
      <c r="F1630" s="102">
        <v>0</v>
      </c>
      <c r="G1630" s="10">
        <f>SUMIFS(_teams[wins_on_date],_teams[date],_stats[[#This Row],[date]],_teams[team_number],_stats[[#This Row],[team_number]])</f>
        <v>0</v>
      </c>
      <c r="H1630" s="10">
        <f>SUMIFS(_teams[draws_on_date],_teams[date],_stats[[#This Row],[date]],_teams[team_number],_stats[[#This Row],[team_number]])</f>
        <v>3</v>
      </c>
      <c r="I1630" s="72">
        <v>0</v>
      </c>
      <c r="J1630" s="104">
        <v>0</v>
      </c>
      <c r="K1630" s="72">
        <v>7</v>
      </c>
      <c r="L1630" s="53" t="str">
        <f>VLOOKUP(_stats[[#This Row],[tournament]],tournaments_n_rules[],2,0)</f>
        <v>УПК</v>
      </c>
      <c r="M1630" s="53" t="str">
        <f>VLOOKUP(_stats[[#This Row],[tournament]],tournaments_n_rules[],3,0)</f>
        <v>Лето 2026</v>
      </c>
      <c r="N1630" s="54">
        <f>VLOOKUP(_stats[[#This Row],[tournament]],tournaments_n_rules[],4,0)</f>
        <v>46194</v>
      </c>
      <c r="O1630" s="54">
        <f>VLOOKUP(_stats[[#This Row],[tournament]],tournaments_n_rules[],5,0)</f>
        <v>46265</v>
      </c>
    </row>
    <row r="1631" spans="1:15" x14ac:dyDescent="0.25">
      <c r="A1631" s="6">
        <v>46243</v>
      </c>
      <c r="B1631" s="72">
        <v>1</v>
      </c>
      <c r="C1631" s="104" t="s">
        <v>315</v>
      </c>
      <c r="D1631" s="10" t="str">
        <f>IFERROR(VLOOKUP(_stats[[#This Row],[player_id]],_players[[player_id]:[player_name]],2,0),"")</f>
        <v>Эльбек</v>
      </c>
      <c r="E1631" s="72">
        <v>0</v>
      </c>
      <c r="F1631" s="102">
        <v>0</v>
      </c>
      <c r="G1631" s="10">
        <f>SUMIFS(_teams[wins_on_date],_teams[date],_stats[[#This Row],[date]],_teams[team_number],_stats[[#This Row],[team_number]])</f>
        <v>0</v>
      </c>
      <c r="H1631" s="10">
        <f>SUMIFS(_teams[draws_on_date],_teams[date],_stats[[#This Row],[date]],_teams[team_number],_stats[[#This Row],[team_number]])</f>
        <v>3</v>
      </c>
      <c r="I1631" s="72">
        <v>0</v>
      </c>
      <c r="J1631" s="104">
        <v>0</v>
      </c>
      <c r="K1631" s="72">
        <v>7</v>
      </c>
      <c r="L1631" s="53" t="str">
        <f>VLOOKUP(_stats[[#This Row],[tournament]],tournaments_n_rules[],2,0)</f>
        <v>УПК</v>
      </c>
      <c r="M1631" s="53" t="str">
        <f>VLOOKUP(_stats[[#This Row],[tournament]],tournaments_n_rules[],3,0)</f>
        <v>Лето 2026</v>
      </c>
      <c r="N1631" s="54">
        <f>VLOOKUP(_stats[[#This Row],[tournament]],tournaments_n_rules[],4,0)</f>
        <v>46194</v>
      </c>
      <c r="O1631" s="54">
        <f>VLOOKUP(_stats[[#This Row],[tournament]],tournaments_n_rules[],5,0)</f>
        <v>46265</v>
      </c>
    </row>
    <row r="1632" spans="1:15" x14ac:dyDescent="0.25">
      <c r="A1632" s="6">
        <v>46243</v>
      </c>
      <c r="B1632" s="72">
        <v>3</v>
      </c>
      <c r="C1632" s="104" t="s">
        <v>22</v>
      </c>
      <c r="D1632" s="10" t="str">
        <f>IFERROR(VLOOKUP(_stats[[#This Row],[player_id]],_players[[player_id]:[player_name]],2,0),"")</f>
        <v>Расул</v>
      </c>
      <c r="E1632" s="72">
        <v>0</v>
      </c>
      <c r="F1632" s="102">
        <v>0</v>
      </c>
      <c r="G1632" s="10">
        <f>SUMIFS(_teams[wins_on_date],_teams[date],_stats[[#This Row],[date]],_teams[team_number],_stats[[#This Row],[team_number]])</f>
        <v>2</v>
      </c>
      <c r="H1632" s="10">
        <f>SUMIFS(_teams[draws_on_date],_teams[date],_stats[[#This Row],[date]],_teams[team_number],_stats[[#This Row],[team_number]])</f>
        <v>2</v>
      </c>
      <c r="I1632" s="72">
        <v>0</v>
      </c>
      <c r="J1632" s="104">
        <v>0</v>
      </c>
      <c r="K1632" s="72">
        <v>7</v>
      </c>
      <c r="L1632" s="53" t="str">
        <f>VLOOKUP(_stats[[#This Row],[tournament]],tournaments_n_rules[],2,0)</f>
        <v>УПК</v>
      </c>
      <c r="M1632" s="53" t="str">
        <f>VLOOKUP(_stats[[#This Row],[tournament]],tournaments_n_rules[],3,0)</f>
        <v>Лето 2026</v>
      </c>
      <c r="N1632" s="54">
        <f>VLOOKUP(_stats[[#This Row],[tournament]],tournaments_n_rules[],4,0)</f>
        <v>46194</v>
      </c>
      <c r="O1632" s="54">
        <f>VLOOKUP(_stats[[#This Row],[tournament]],tournaments_n_rules[],5,0)</f>
        <v>46265</v>
      </c>
    </row>
    <row r="1633" spans="1:15" x14ac:dyDescent="0.25">
      <c r="A1633" s="6">
        <v>46243</v>
      </c>
      <c r="B1633" s="72">
        <v>3</v>
      </c>
      <c r="C1633" s="104" t="s">
        <v>316</v>
      </c>
      <c r="D1633" s="10" t="str">
        <f>IFERROR(VLOOKUP(_stats[[#This Row],[player_id]],_players[[player_id]:[player_name]],2,0),"")</f>
        <v>Даня (кипер)</v>
      </c>
      <c r="E1633" s="72">
        <v>0</v>
      </c>
      <c r="F1633" s="102">
        <v>0</v>
      </c>
      <c r="G1633" s="10">
        <f>SUMIFS(_teams[wins_on_date],_teams[date],_stats[[#This Row],[date]],_teams[team_number],_stats[[#This Row],[team_number]])</f>
        <v>2</v>
      </c>
      <c r="H1633" s="10">
        <f>SUMIFS(_teams[draws_on_date],_teams[date],_stats[[#This Row],[date]],_teams[team_number],_stats[[#This Row],[team_number]])</f>
        <v>2</v>
      </c>
      <c r="I1633" s="72">
        <v>3</v>
      </c>
      <c r="J1633" s="104">
        <v>0</v>
      </c>
      <c r="K1633" s="72">
        <v>7</v>
      </c>
      <c r="L1633" s="53" t="str">
        <f>VLOOKUP(_stats[[#This Row],[tournament]],tournaments_n_rules[],2,0)</f>
        <v>УПК</v>
      </c>
      <c r="M1633" s="53" t="str">
        <f>VLOOKUP(_stats[[#This Row],[tournament]],tournaments_n_rules[],3,0)</f>
        <v>Лето 2026</v>
      </c>
      <c r="N1633" s="54">
        <f>VLOOKUP(_stats[[#This Row],[tournament]],tournaments_n_rules[],4,0)</f>
        <v>46194</v>
      </c>
      <c r="O1633" s="54">
        <f>VLOOKUP(_stats[[#This Row],[tournament]],tournaments_n_rules[],5,0)</f>
        <v>46265</v>
      </c>
    </row>
    <row r="1634" spans="1:15" x14ac:dyDescent="0.25">
      <c r="A1634" s="6">
        <v>46285</v>
      </c>
      <c r="B1634" s="72">
        <v>1</v>
      </c>
      <c r="C1634" s="104" t="s">
        <v>13</v>
      </c>
      <c r="D1634" s="10" t="str">
        <f>IFERROR(VLOOKUP(_stats[[#This Row],[player_id]],_players[[player_id]:[player_name]],2,0),"")</f>
        <v>Нурик</v>
      </c>
      <c r="E1634" s="72">
        <v>1</v>
      </c>
      <c r="F1634" s="102">
        <v>1</v>
      </c>
      <c r="G1634" s="10">
        <f>SUMIFS(_teams[wins_on_date],_teams[date],_stats[[#This Row],[date]],_teams[team_number],_stats[[#This Row],[team_number]])</f>
        <v>1</v>
      </c>
      <c r="H1634" s="10">
        <f>SUMIFS(_teams[draws_on_date],_teams[date],_stats[[#This Row],[date]],_teams[team_number],_stats[[#This Row],[team_number]])</f>
        <v>0</v>
      </c>
      <c r="I1634" s="72">
        <v>0</v>
      </c>
      <c r="J1634" s="104">
        <v>0</v>
      </c>
      <c r="K1634" s="72">
        <v>9</v>
      </c>
      <c r="L1634" s="53">
        <f>VLOOKUP(_stats[[#This Row],[tournament]],tournaments_n_rules[],2,0)</f>
        <v>1747</v>
      </c>
      <c r="M1634" s="53" t="str">
        <f>VLOOKUP(_stats[[#This Row],[tournament]],tournaments_n_rules[],3,0)</f>
        <v>Осень 2026</v>
      </c>
      <c r="N1634" s="54">
        <f>VLOOKUP(_stats[[#This Row],[tournament]],tournaments_n_rules[],4,0)</f>
        <v>46285</v>
      </c>
      <c r="O1634" s="54">
        <f>VLOOKUP(_stats[[#This Row],[tournament]],tournaments_n_rules[],5,0)</f>
        <v>46356</v>
      </c>
    </row>
    <row r="1635" spans="1:15" x14ac:dyDescent="0.25">
      <c r="A1635" s="6">
        <v>46285</v>
      </c>
      <c r="B1635" s="72">
        <v>1</v>
      </c>
      <c r="C1635" s="104" t="s">
        <v>12</v>
      </c>
      <c r="D1635" s="10" t="str">
        <f>IFERROR(VLOOKUP(_stats[[#This Row],[player_id]],_players[[player_id]:[player_name]],2,0),"")</f>
        <v>Александр Травкин</v>
      </c>
      <c r="E1635" s="72">
        <v>6</v>
      </c>
      <c r="F1635" s="102">
        <v>0</v>
      </c>
      <c r="G1635" s="10">
        <f>SUMIFS(_teams[wins_on_date],_teams[date],_stats[[#This Row],[date]],_teams[team_number],_stats[[#This Row],[team_number]])</f>
        <v>1</v>
      </c>
      <c r="H1635" s="10">
        <f>SUMIFS(_teams[draws_on_date],_teams[date],_stats[[#This Row],[date]],_teams[team_number],_stats[[#This Row],[team_number]])</f>
        <v>0</v>
      </c>
      <c r="I1635" s="72">
        <v>0</v>
      </c>
      <c r="J1635" s="104">
        <v>0</v>
      </c>
      <c r="K1635" s="72">
        <v>9</v>
      </c>
      <c r="L1635" s="53">
        <f>VLOOKUP(_stats[[#This Row],[tournament]],tournaments_n_rules[],2,0)</f>
        <v>1747</v>
      </c>
      <c r="M1635" s="53" t="str">
        <f>VLOOKUP(_stats[[#This Row],[tournament]],tournaments_n_rules[],3,0)</f>
        <v>Осень 2026</v>
      </c>
      <c r="N1635" s="54">
        <f>VLOOKUP(_stats[[#This Row],[tournament]],tournaments_n_rules[],4,0)</f>
        <v>46285</v>
      </c>
      <c r="O1635" s="54">
        <f>VLOOKUP(_stats[[#This Row],[tournament]],tournaments_n_rules[],5,0)</f>
        <v>46356</v>
      </c>
    </row>
    <row r="1636" spans="1:15" x14ac:dyDescent="0.25">
      <c r="A1636" s="6">
        <v>46285</v>
      </c>
      <c r="B1636" s="72">
        <v>2</v>
      </c>
      <c r="C1636" s="104" t="s">
        <v>316</v>
      </c>
      <c r="D1636" s="10" t="str">
        <f>IFERROR(VLOOKUP(_stats[[#This Row],[player_id]],_players[[player_id]:[player_name]],2,0),"")</f>
        <v>Даня (кипер)</v>
      </c>
      <c r="E1636" s="72">
        <v>0</v>
      </c>
      <c r="F1636" s="102">
        <v>0</v>
      </c>
      <c r="G1636" s="10">
        <f>SUMIFS(_teams[wins_on_date],_teams[date],_stats[[#This Row],[date]],_teams[team_number],_stats[[#This Row],[team_number]])</f>
        <v>0</v>
      </c>
      <c r="H1636" s="10">
        <f>SUMIFS(_teams[draws_on_date],_teams[date],_stats[[#This Row],[date]],_teams[team_number],_stats[[#This Row],[team_number]])</f>
        <v>0</v>
      </c>
      <c r="I1636" s="72">
        <v>0</v>
      </c>
      <c r="J1636" s="104">
        <v>0</v>
      </c>
      <c r="K1636" s="72">
        <v>9</v>
      </c>
      <c r="L1636" s="53">
        <f>VLOOKUP(_stats[[#This Row],[tournament]],tournaments_n_rules[],2,0)</f>
        <v>1747</v>
      </c>
      <c r="M1636" s="53" t="str">
        <f>VLOOKUP(_stats[[#This Row],[tournament]],tournaments_n_rules[],3,0)</f>
        <v>Осень 2026</v>
      </c>
      <c r="N1636" s="54">
        <f>VLOOKUP(_stats[[#This Row],[tournament]],tournaments_n_rules[],4,0)</f>
        <v>46285</v>
      </c>
      <c r="O1636" s="54">
        <f>VLOOKUP(_stats[[#This Row],[tournament]],tournaments_n_rules[],5,0)</f>
        <v>46356</v>
      </c>
    </row>
    <row r="1637" spans="1:15" x14ac:dyDescent="0.25">
      <c r="A1637" s="6">
        <v>46285</v>
      </c>
      <c r="B1637" s="72">
        <v>1</v>
      </c>
      <c r="C1637" s="104" t="s">
        <v>69</v>
      </c>
      <c r="D1637" s="10" t="str">
        <f>IFERROR(VLOOKUP(_stats[[#This Row],[player_id]],_players[[player_id]:[player_name]],2,0),"")</f>
        <v>Анашкин</v>
      </c>
      <c r="E1637" s="72">
        <v>0</v>
      </c>
      <c r="F1637" s="102">
        <v>0</v>
      </c>
      <c r="G1637" s="10">
        <f>SUMIFS(_teams[wins_on_date],_teams[date],_stats[[#This Row],[date]],_teams[team_number],_stats[[#This Row],[team_number]])</f>
        <v>1</v>
      </c>
      <c r="H1637" s="10">
        <f>SUMIFS(_teams[draws_on_date],_teams[date],_stats[[#This Row],[date]],_teams[team_number],_stats[[#This Row],[team_number]])</f>
        <v>0</v>
      </c>
      <c r="I1637" s="72">
        <v>0</v>
      </c>
      <c r="J1637" s="104">
        <v>0</v>
      </c>
      <c r="K1637" s="72">
        <v>9</v>
      </c>
      <c r="L1637" s="53">
        <f>VLOOKUP(_stats[[#This Row],[tournament]],tournaments_n_rules[],2,0)</f>
        <v>1747</v>
      </c>
      <c r="M1637" s="53" t="str">
        <f>VLOOKUP(_stats[[#This Row],[tournament]],tournaments_n_rules[],3,0)</f>
        <v>Осень 2026</v>
      </c>
      <c r="N1637" s="54">
        <f>VLOOKUP(_stats[[#This Row],[tournament]],tournaments_n_rules[],4,0)</f>
        <v>46285</v>
      </c>
      <c r="O1637" s="54">
        <f>VLOOKUP(_stats[[#This Row],[tournament]],tournaments_n_rules[],5,0)</f>
        <v>46356</v>
      </c>
    </row>
    <row r="1638" spans="1:15" x14ac:dyDescent="0.25">
      <c r="A1638" s="6">
        <v>46285</v>
      </c>
      <c r="B1638" s="72">
        <v>1</v>
      </c>
      <c r="C1638" s="104" t="s">
        <v>8</v>
      </c>
      <c r="D1638" s="10" t="str">
        <f>IFERROR(VLOOKUP(_stats[[#This Row],[player_id]],_players[[player_id]:[player_name]],2,0),"")</f>
        <v>Костя</v>
      </c>
      <c r="E1638" s="72">
        <v>1</v>
      </c>
      <c r="F1638" s="102">
        <v>2</v>
      </c>
      <c r="G1638" s="10">
        <f>SUMIFS(_teams[wins_on_date],_teams[date],_stats[[#This Row],[date]],_teams[team_number],_stats[[#This Row],[team_number]])</f>
        <v>1</v>
      </c>
      <c r="H1638" s="10">
        <f>SUMIFS(_teams[draws_on_date],_teams[date],_stats[[#This Row],[date]],_teams[team_number],_stats[[#This Row],[team_number]])</f>
        <v>0</v>
      </c>
      <c r="I1638" s="72">
        <v>0</v>
      </c>
      <c r="J1638" s="104">
        <v>0</v>
      </c>
      <c r="K1638" s="72">
        <v>9</v>
      </c>
      <c r="L1638" s="53">
        <f>VLOOKUP(_stats[[#This Row],[tournament]],tournaments_n_rules[],2,0)</f>
        <v>1747</v>
      </c>
      <c r="M1638" s="53" t="str">
        <f>VLOOKUP(_stats[[#This Row],[tournament]],tournaments_n_rules[],3,0)</f>
        <v>Осень 2026</v>
      </c>
      <c r="N1638" s="54">
        <f>VLOOKUP(_stats[[#This Row],[tournament]],tournaments_n_rules[],4,0)</f>
        <v>46285</v>
      </c>
      <c r="O1638" s="54">
        <f>VLOOKUP(_stats[[#This Row],[tournament]],tournaments_n_rules[],5,0)</f>
        <v>46356</v>
      </c>
    </row>
    <row r="1639" spans="1:15" x14ac:dyDescent="0.25">
      <c r="A1639" s="6">
        <v>46285</v>
      </c>
      <c r="B1639" s="72">
        <v>2</v>
      </c>
      <c r="C1639" s="104" t="s">
        <v>153</v>
      </c>
      <c r="D1639" s="10" t="str">
        <f>IFERROR(VLOOKUP(_stats[[#This Row],[player_id]],_players[[player_id]:[player_name]],2,0),"")</f>
        <v>Богдан</v>
      </c>
      <c r="E1639" s="72">
        <v>0</v>
      </c>
      <c r="F1639" s="102">
        <v>1</v>
      </c>
      <c r="G1639" s="10">
        <f>SUMIFS(_teams[wins_on_date],_teams[date],_stats[[#This Row],[date]],_teams[team_number],_stats[[#This Row],[team_number]])</f>
        <v>0</v>
      </c>
      <c r="H1639" s="10">
        <f>SUMIFS(_teams[draws_on_date],_teams[date],_stats[[#This Row],[date]],_teams[team_number],_stats[[#This Row],[team_number]])</f>
        <v>0</v>
      </c>
      <c r="I1639" s="72">
        <v>0</v>
      </c>
      <c r="J1639" s="104">
        <v>0</v>
      </c>
      <c r="K1639" s="72">
        <v>9</v>
      </c>
      <c r="L1639" s="53">
        <f>VLOOKUP(_stats[[#This Row],[tournament]],tournaments_n_rules[],2,0)</f>
        <v>1747</v>
      </c>
      <c r="M1639" s="53" t="str">
        <f>VLOOKUP(_stats[[#This Row],[tournament]],tournaments_n_rules[],3,0)</f>
        <v>Осень 2026</v>
      </c>
      <c r="N1639" s="54">
        <f>VLOOKUP(_stats[[#This Row],[tournament]],tournaments_n_rules[],4,0)</f>
        <v>46285</v>
      </c>
      <c r="O1639" s="54">
        <f>VLOOKUP(_stats[[#This Row],[tournament]],tournaments_n_rules[],5,0)</f>
        <v>46356</v>
      </c>
    </row>
    <row r="1640" spans="1:15" x14ac:dyDescent="0.25">
      <c r="A1640" s="6">
        <v>46285</v>
      </c>
      <c r="B1640" s="72">
        <v>1</v>
      </c>
      <c r="C1640" s="104" t="s">
        <v>44</v>
      </c>
      <c r="D1640" s="10" t="str">
        <f>IFERROR(VLOOKUP(_stats[[#This Row],[player_id]],_players[[player_id]:[player_name]],2,0),"")</f>
        <v>Женя (кипер)</v>
      </c>
      <c r="E1640" s="72">
        <v>0</v>
      </c>
      <c r="F1640" s="102">
        <v>0</v>
      </c>
      <c r="G1640" s="10">
        <f>SUMIFS(_teams[wins_on_date],_teams[date],_stats[[#This Row],[date]],_teams[team_number],_stats[[#This Row],[team_number]])</f>
        <v>1</v>
      </c>
      <c r="H1640" s="10">
        <f>SUMIFS(_teams[draws_on_date],_teams[date],_stats[[#This Row],[date]],_teams[team_number],_stats[[#This Row],[team_number]])</f>
        <v>0</v>
      </c>
      <c r="I1640" s="72">
        <v>0</v>
      </c>
      <c r="J1640" s="104">
        <v>0</v>
      </c>
      <c r="K1640" s="72">
        <v>9</v>
      </c>
      <c r="L1640" s="53">
        <f>VLOOKUP(_stats[[#This Row],[tournament]],tournaments_n_rules[],2,0)</f>
        <v>1747</v>
      </c>
      <c r="M1640" s="53" t="str">
        <f>VLOOKUP(_stats[[#This Row],[tournament]],tournaments_n_rules[],3,0)</f>
        <v>Осень 2026</v>
      </c>
      <c r="N1640" s="54">
        <f>VLOOKUP(_stats[[#This Row],[tournament]],tournaments_n_rules[],4,0)</f>
        <v>46285</v>
      </c>
      <c r="O1640" s="54">
        <f>VLOOKUP(_stats[[#This Row],[tournament]],tournaments_n_rules[],5,0)</f>
        <v>46356</v>
      </c>
    </row>
    <row r="1641" spans="1:15" x14ac:dyDescent="0.25">
      <c r="A1641" s="6">
        <v>46285</v>
      </c>
      <c r="B1641" s="72">
        <v>2</v>
      </c>
      <c r="C1641" s="104" t="s">
        <v>314</v>
      </c>
      <c r="D1641" s="10" t="str">
        <f>IFERROR(VLOOKUP(_stats[[#This Row],[player_id]],_players[[player_id]:[player_name]],2,0),"")</f>
        <v>Рашид</v>
      </c>
      <c r="E1641" s="72">
        <v>0</v>
      </c>
      <c r="F1641" s="102">
        <v>0</v>
      </c>
      <c r="G1641" s="10">
        <f>SUMIFS(_teams[wins_on_date],_teams[date],_stats[[#This Row],[date]],_teams[team_number],_stats[[#This Row],[team_number]])</f>
        <v>0</v>
      </c>
      <c r="H1641" s="10">
        <f>SUMIFS(_teams[draws_on_date],_teams[date],_stats[[#This Row],[date]],_teams[team_number],_stats[[#This Row],[team_number]])</f>
        <v>0</v>
      </c>
      <c r="I1641" s="72">
        <v>0</v>
      </c>
      <c r="J1641" s="104">
        <v>0</v>
      </c>
      <c r="K1641" s="72">
        <v>9</v>
      </c>
      <c r="L1641" s="53">
        <f>VLOOKUP(_stats[[#This Row],[tournament]],tournaments_n_rules[],2,0)</f>
        <v>1747</v>
      </c>
      <c r="M1641" s="53" t="str">
        <f>VLOOKUP(_stats[[#This Row],[tournament]],tournaments_n_rules[],3,0)</f>
        <v>Осень 2026</v>
      </c>
      <c r="N1641" s="54">
        <f>VLOOKUP(_stats[[#This Row],[tournament]],tournaments_n_rules[],4,0)</f>
        <v>46285</v>
      </c>
      <c r="O1641" s="54">
        <f>VLOOKUP(_stats[[#This Row],[tournament]],tournaments_n_rules[],5,0)</f>
        <v>46356</v>
      </c>
    </row>
    <row r="1642" spans="1:15" x14ac:dyDescent="0.25">
      <c r="A1642" s="6">
        <v>46285</v>
      </c>
      <c r="B1642" s="72">
        <v>1</v>
      </c>
      <c r="C1642" s="104" t="s">
        <v>27</v>
      </c>
      <c r="D1642" s="10" t="str">
        <f>IFERROR(VLOOKUP(_stats[[#This Row],[player_id]],_players[[player_id]:[player_name]],2,0),"")</f>
        <v>Толя Шлаев</v>
      </c>
      <c r="E1642" s="72">
        <v>0</v>
      </c>
      <c r="F1642" s="102">
        <v>2</v>
      </c>
      <c r="G1642" s="10">
        <f>SUMIFS(_teams[wins_on_date],_teams[date],_stats[[#This Row],[date]],_teams[team_number],_stats[[#This Row],[team_number]])</f>
        <v>1</v>
      </c>
      <c r="H1642" s="10">
        <f>SUMIFS(_teams[draws_on_date],_teams[date],_stats[[#This Row],[date]],_teams[team_number],_stats[[#This Row],[team_number]])</f>
        <v>0</v>
      </c>
      <c r="I1642" s="72">
        <v>0</v>
      </c>
      <c r="J1642" s="104">
        <v>0</v>
      </c>
      <c r="K1642" s="72">
        <v>9</v>
      </c>
      <c r="L1642" s="53">
        <f>VLOOKUP(_stats[[#This Row],[tournament]],tournaments_n_rules[],2,0)</f>
        <v>1747</v>
      </c>
      <c r="M1642" s="53" t="str">
        <f>VLOOKUP(_stats[[#This Row],[tournament]],tournaments_n_rules[],3,0)</f>
        <v>Осень 2026</v>
      </c>
      <c r="N1642" s="54">
        <f>VLOOKUP(_stats[[#This Row],[tournament]],tournaments_n_rules[],4,0)</f>
        <v>46285</v>
      </c>
      <c r="O1642" s="54">
        <f>VLOOKUP(_stats[[#This Row],[tournament]],tournaments_n_rules[],5,0)</f>
        <v>46356</v>
      </c>
    </row>
    <row r="1643" spans="1:15" x14ac:dyDescent="0.25">
      <c r="A1643" s="6">
        <v>46285</v>
      </c>
      <c r="B1643" s="72">
        <v>2</v>
      </c>
      <c r="C1643" s="104" t="s">
        <v>11</v>
      </c>
      <c r="D1643" s="10" t="str">
        <f>IFERROR(VLOOKUP(_stats[[#This Row],[player_id]],_players[[player_id]:[player_name]],2,0),"")</f>
        <v>Сергей Крюков</v>
      </c>
      <c r="E1643" s="72">
        <v>2</v>
      </c>
      <c r="F1643" s="102">
        <v>1</v>
      </c>
      <c r="G1643" s="10">
        <f>SUMIFS(_teams[wins_on_date],_teams[date],_stats[[#This Row],[date]],_teams[team_number],_stats[[#This Row],[team_number]])</f>
        <v>0</v>
      </c>
      <c r="H1643" s="10">
        <f>SUMIFS(_teams[draws_on_date],_teams[date],_stats[[#This Row],[date]],_teams[team_number],_stats[[#This Row],[team_number]])</f>
        <v>0</v>
      </c>
      <c r="I1643" s="72">
        <v>0</v>
      </c>
      <c r="J1643" s="104">
        <v>0</v>
      </c>
      <c r="K1643" s="72">
        <v>9</v>
      </c>
      <c r="L1643" s="53">
        <f>VLOOKUP(_stats[[#This Row],[tournament]],tournaments_n_rules[],2,0)</f>
        <v>1747</v>
      </c>
      <c r="M1643" s="53" t="str">
        <f>VLOOKUP(_stats[[#This Row],[tournament]],tournaments_n_rules[],3,0)</f>
        <v>Осень 2026</v>
      </c>
      <c r="N1643" s="54">
        <f>VLOOKUP(_stats[[#This Row],[tournament]],tournaments_n_rules[],4,0)</f>
        <v>46285</v>
      </c>
      <c r="O1643" s="54">
        <f>VLOOKUP(_stats[[#This Row],[tournament]],tournaments_n_rules[],5,0)</f>
        <v>46356</v>
      </c>
    </row>
    <row r="1644" spans="1:15" x14ac:dyDescent="0.25">
      <c r="A1644" s="6">
        <v>46285</v>
      </c>
      <c r="B1644" s="72">
        <v>2</v>
      </c>
      <c r="C1644" s="104" t="s">
        <v>17</v>
      </c>
      <c r="D1644" s="10" t="str">
        <f>IFERROR(VLOOKUP(_stats[[#This Row],[player_id]],_players[[player_id]:[player_name]],2,0),"")</f>
        <v>Юра Пименов</v>
      </c>
      <c r="E1644" s="72">
        <v>2</v>
      </c>
      <c r="F1644" s="102">
        <v>2</v>
      </c>
      <c r="G1644" s="10">
        <f>SUMIFS(_teams[wins_on_date],_teams[date],_stats[[#This Row],[date]],_teams[team_number],_stats[[#This Row],[team_number]])</f>
        <v>0</v>
      </c>
      <c r="H1644" s="10">
        <f>SUMIFS(_teams[draws_on_date],_teams[date],_stats[[#This Row],[date]],_teams[team_number],_stats[[#This Row],[team_number]])</f>
        <v>0</v>
      </c>
      <c r="I1644" s="72">
        <v>0</v>
      </c>
      <c r="J1644" s="104">
        <v>0</v>
      </c>
      <c r="K1644" s="72">
        <v>9</v>
      </c>
      <c r="L1644" s="53">
        <f>VLOOKUP(_stats[[#This Row],[tournament]],tournaments_n_rules[],2,0)</f>
        <v>1747</v>
      </c>
      <c r="M1644" s="53" t="str">
        <f>VLOOKUP(_stats[[#This Row],[tournament]],tournaments_n_rules[],3,0)</f>
        <v>Осень 2026</v>
      </c>
      <c r="N1644" s="54">
        <f>VLOOKUP(_stats[[#This Row],[tournament]],tournaments_n_rules[],4,0)</f>
        <v>46285</v>
      </c>
      <c r="O1644" s="54">
        <f>VLOOKUP(_stats[[#This Row],[tournament]],tournaments_n_rules[],5,0)</f>
        <v>46356</v>
      </c>
    </row>
    <row r="1645" spans="1:15" x14ac:dyDescent="0.25">
      <c r="A1645" s="6">
        <v>46285</v>
      </c>
      <c r="B1645" s="72">
        <v>2</v>
      </c>
      <c r="C1645" s="104" t="s">
        <v>142</v>
      </c>
      <c r="D1645" s="10" t="str">
        <f>IFERROR(VLOOKUP(_stats[[#This Row],[player_id]],_players[[player_id]:[player_name]],2,0),"")</f>
        <v>Сурэн</v>
      </c>
      <c r="E1645" s="72">
        <v>2</v>
      </c>
      <c r="F1645" s="102">
        <v>0</v>
      </c>
      <c r="G1645" s="10">
        <f>SUMIFS(_teams[wins_on_date],_teams[date],_stats[[#This Row],[date]],_teams[team_number],_stats[[#This Row],[team_number]])</f>
        <v>0</v>
      </c>
      <c r="H1645" s="10">
        <f>SUMIFS(_teams[draws_on_date],_teams[date],_stats[[#This Row],[date]],_teams[team_number],_stats[[#This Row],[team_number]])</f>
        <v>0</v>
      </c>
      <c r="I1645" s="72">
        <v>0</v>
      </c>
      <c r="J1645" s="104">
        <v>0</v>
      </c>
      <c r="K1645" s="72">
        <v>9</v>
      </c>
      <c r="L1645" s="53">
        <f>VLOOKUP(_stats[[#This Row],[tournament]],tournaments_n_rules[],2,0)</f>
        <v>1747</v>
      </c>
      <c r="M1645" s="53" t="str">
        <f>VLOOKUP(_stats[[#This Row],[tournament]],tournaments_n_rules[],3,0)</f>
        <v>Осень 2026</v>
      </c>
      <c r="N1645" s="54">
        <f>VLOOKUP(_stats[[#This Row],[tournament]],tournaments_n_rules[],4,0)</f>
        <v>46285</v>
      </c>
      <c r="O1645" s="54">
        <f>VLOOKUP(_stats[[#This Row],[tournament]],tournaments_n_rules[],5,0)</f>
        <v>46356</v>
      </c>
    </row>
    <row r="1646" spans="1:15" x14ac:dyDescent="0.25">
      <c r="A1646" s="6">
        <v>46285</v>
      </c>
      <c r="B1646" s="72">
        <v>1</v>
      </c>
      <c r="C1646" s="104" t="s">
        <v>28</v>
      </c>
      <c r="D1646" s="10" t="str">
        <f>IFERROR(VLOOKUP(_stats[[#This Row],[player_id]],_players[[player_id]:[player_name]],2,0),"")</f>
        <v>Витя</v>
      </c>
      <c r="E1646" s="72">
        <v>0</v>
      </c>
      <c r="F1646" s="102">
        <v>2</v>
      </c>
      <c r="G1646" s="10">
        <f>SUMIFS(_teams[wins_on_date],_teams[date],_stats[[#This Row],[date]],_teams[team_number],_stats[[#This Row],[team_number]])</f>
        <v>1</v>
      </c>
      <c r="H1646" s="10">
        <f>SUMIFS(_teams[draws_on_date],_teams[date],_stats[[#This Row],[date]],_teams[team_number],_stats[[#This Row],[team_number]])</f>
        <v>0</v>
      </c>
      <c r="I1646" s="72">
        <v>0</v>
      </c>
      <c r="J1646" s="104">
        <v>0</v>
      </c>
      <c r="K1646" s="72">
        <v>9</v>
      </c>
      <c r="L1646" s="53">
        <f>VLOOKUP(_stats[[#This Row],[tournament]],tournaments_n_rules[],2,0)</f>
        <v>1747</v>
      </c>
      <c r="M1646" s="53" t="str">
        <f>VLOOKUP(_stats[[#This Row],[tournament]],tournaments_n_rules[],3,0)</f>
        <v>Осень 2026</v>
      </c>
      <c r="N1646" s="54">
        <f>VLOOKUP(_stats[[#This Row],[tournament]],tournaments_n_rules[],4,0)</f>
        <v>46285</v>
      </c>
      <c r="O1646" s="54">
        <f>VLOOKUP(_stats[[#This Row],[tournament]],tournaments_n_rules[],5,0)</f>
        <v>46356</v>
      </c>
    </row>
    <row r="1647" spans="1:15" x14ac:dyDescent="0.25">
      <c r="A1647" s="6">
        <v>46285</v>
      </c>
      <c r="B1647" s="72">
        <v>1</v>
      </c>
      <c r="C1647" s="104" t="s">
        <v>318</v>
      </c>
      <c r="D1647" s="10" t="str">
        <f>IFERROR(VLOOKUP(_stats[[#This Row],[player_id]],_players[[player_id]:[player_name]],2,0),"")</f>
        <v>Костя (Травкин+1)</v>
      </c>
      <c r="E1647" s="72">
        <v>1</v>
      </c>
      <c r="F1647" s="102">
        <v>0</v>
      </c>
      <c r="G1647" s="10">
        <f>SUMIFS(_teams[wins_on_date],_teams[date],_stats[[#This Row],[date]],_teams[team_number],_stats[[#This Row],[team_number]])</f>
        <v>1</v>
      </c>
      <c r="H1647" s="10">
        <f>SUMIFS(_teams[draws_on_date],_teams[date],_stats[[#This Row],[date]],_teams[team_number],_stats[[#This Row],[team_number]])</f>
        <v>0</v>
      </c>
      <c r="I1647" s="72">
        <v>0</v>
      </c>
      <c r="J1647" s="104">
        <v>0</v>
      </c>
      <c r="K1647" s="72">
        <v>9</v>
      </c>
      <c r="L1647" s="53">
        <f>VLOOKUP(_stats[[#This Row],[tournament]],tournaments_n_rules[],2,0)</f>
        <v>1747</v>
      </c>
      <c r="M1647" s="53" t="str">
        <f>VLOOKUP(_stats[[#This Row],[tournament]],tournaments_n_rules[],3,0)</f>
        <v>Осень 2026</v>
      </c>
      <c r="N1647" s="54">
        <f>VLOOKUP(_stats[[#This Row],[tournament]],tournaments_n_rules[],4,0)</f>
        <v>46285</v>
      </c>
      <c r="O1647" s="54">
        <f>VLOOKUP(_stats[[#This Row],[tournament]],tournaments_n_rules[],5,0)</f>
        <v>46356</v>
      </c>
    </row>
    <row r="1648" spans="1:15" x14ac:dyDescent="0.25">
      <c r="A1648" s="6">
        <v>46285</v>
      </c>
      <c r="B1648" s="72">
        <v>2</v>
      </c>
      <c r="C1648" s="104" t="s">
        <v>97</v>
      </c>
      <c r="D1648" s="10" t="str">
        <f>IFERROR(VLOOKUP(_stats[[#This Row],[player_id]],_players[[player_id]:[player_name]],2,0),"")</f>
        <v>Умар (Женя+1)</v>
      </c>
      <c r="E1648" s="72">
        <v>1</v>
      </c>
      <c r="F1648" s="102">
        <v>0</v>
      </c>
      <c r="G1648" s="10">
        <f>SUMIFS(_teams[wins_on_date],_teams[date],_stats[[#This Row],[date]],_teams[team_number],_stats[[#This Row],[team_number]])</f>
        <v>0</v>
      </c>
      <c r="H1648" s="10">
        <f>SUMIFS(_teams[draws_on_date],_teams[date],_stats[[#This Row],[date]],_teams[team_number],_stats[[#This Row],[team_number]])</f>
        <v>0</v>
      </c>
      <c r="I1648" s="72">
        <v>0</v>
      </c>
      <c r="J1648" s="104">
        <v>0</v>
      </c>
      <c r="K1648" s="72">
        <v>9</v>
      </c>
      <c r="L1648" s="53">
        <f>VLOOKUP(_stats[[#This Row],[tournament]],tournaments_n_rules[],2,0)</f>
        <v>1747</v>
      </c>
      <c r="M1648" s="53" t="str">
        <f>VLOOKUP(_stats[[#This Row],[tournament]],tournaments_n_rules[],3,0)</f>
        <v>Осень 2026</v>
      </c>
      <c r="N1648" s="54">
        <f>VLOOKUP(_stats[[#This Row],[tournament]],tournaments_n_rules[],4,0)</f>
        <v>46285</v>
      </c>
      <c r="O1648" s="54">
        <f>VLOOKUP(_stats[[#This Row],[tournament]],tournaments_n_rules[],5,0)</f>
        <v>46356</v>
      </c>
    </row>
    <row r="1649" spans="1:15" x14ac:dyDescent="0.25">
      <c r="A1649" s="6">
        <v>46285</v>
      </c>
      <c r="B1649" s="72">
        <v>2</v>
      </c>
      <c r="C1649" s="104" t="s">
        <v>30</v>
      </c>
      <c r="D1649" s="10" t="str">
        <f>IFERROR(VLOOKUP(_stats[[#This Row],[player_id]],_players[[player_id]:[player_name]],2,0),"")</f>
        <v>Кирилл Попов</v>
      </c>
      <c r="E1649" s="72">
        <v>2</v>
      </c>
      <c r="F1649" s="102">
        <v>1</v>
      </c>
      <c r="G1649" s="10">
        <f>SUMIFS(_teams[wins_on_date],_teams[date],_stats[[#This Row],[date]],_teams[team_number],_stats[[#This Row],[team_number]])</f>
        <v>0</v>
      </c>
      <c r="H1649" s="10">
        <f>SUMIFS(_teams[draws_on_date],_teams[date],_stats[[#This Row],[date]],_teams[team_number],_stats[[#This Row],[team_number]])</f>
        <v>0</v>
      </c>
      <c r="I1649" s="72">
        <v>0</v>
      </c>
      <c r="J1649" s="104">
        <v>0</v>
      </c>
      <c r="K1649" s="72">
        <v>9</v>
      </c>
      <c r="L1649" s="53">
        <f>VLOOKUP(_stats[[#This Row],[tournament]],tournaments_n_rules[],2,0)</f>
        <v>1747</v>
      </c>
      <c r="M1649" s="53" t="str">
        <f>VLOOKUP(_stats[[#This Row],[tournament]],tournaments_n_rules[],3,0)</f>
        <v>Осень 2026</v>
      </c>
      <c r="N1649" s="54">
        <f>VLOOKUP(_stats[[#This Row],[tournament]],tournaments_n_rules[],4,0)</f>
        <v>46285</v>
      </c>
      <c r="O1649" s="54">
        <f>VLOOKUP(_stats[[#This Row],[tournament]],tournaments_n_rules[],5,0)</f>
        <v>46356</v>
      </c>
    </row>
    <row r="1650" spans="1:15" x14ac:dyDescent="0.25">
      <c r="A1650" s="6">
        <v>46285</v>
      </c>
      <c r="B1650" s="72">
        <v>1</v>
      </c>
      <c r="C1650" s="104" t="s">
        <v>53</v>
      </c>
      <c r="D1650" s="10" t="str">
        <f>IFERROR(VLOOKUP(_stats[[#This Row],[player_id]],_players[[player_id]:[player_name]],2,0),"")</f>
        <v>Даня (сын Вити)</v>
      </c>
      <c r="E1650" s="72">
        <v>1</v>
      </c>
      <c r="F1650" s="102">
        <v>0</v>
      </c>
      <c r="G1650" s="10">
        <f>SUMIFS(_teams[wins_on_date],_teams[date],_stats[[#This Row],[date]],_teams[team_number],_stats[[#This Row],[team_number]])</f>
        <v>1</v>
      </c>
      <c r="H1650" s="10">
        <f>SUMIFS(_teams[draws_on_date],_teams[date],_stats[[#This Row],[date]],_teams[team_number],_stats[[#This Row],[team_number]])</f>
        <v>0</v>
      </c>
      <c r="I1650" s="72">
        <v>0</v>
      </c>
      <c r="J1650" s="104">
        <v>0</v>
      </c>
      <c r="K1650" s="72">
        <v>9</v>
      </c>
      <c r="L1650" s="53">
        <f>VLOOKUP(_stats[[#This Row],[tournament]],tournaments_n_rules[],2,0)</f>
        <v>1747</v>
      </c>
      <c r="M1650" s="53" t="str">
        <f>VLOOKUP(_stats[[#This Row],[tournament]],tournaments_n_rules[],3,0)</f>
        <v>Осень 2026</v>
      </c>
      <c r="N1650" s="54">
        <f>VLOOKUP(_stats[[#This Row],[tournament]],tournaments_n_rules[],4,0)</f>
        <v>46285</v>
      </c>
      <c r="O1650" s="54">
        <f>VLOOKUP(_stats[[#This Row],[tournament]],tournaments_n_rules[],5,0)</f>
        <v>46356</v>
      </c>
    </row>
    <row r="1651" spans="1:15" x14ac:dyDescent="0.25">
      <c r="A1651" s="6">
        <v>46292</v>
      </c>
      <c r="B1651" s="72">
        <v>2</v>
      </c>
      <c r="C1651" s="104" t="s">
        <v>157</v>
      </c>
      <c r="D1651" s="10" t="str">
        <f>IFERROR(VLOOKUP(_stats[[#This Row],[player_id]],_players[[player_id]:[player_name]],2,0),"")</f>
        <v>Никита (Сурэн+1)</v>
      </c>
      <c r="E1651" s="72">
        <v>4</v>
      </c>
      <c r="F1651" s="102">
        <v>1</v>
      </c>
      <c r="G1651" s="10">
        <f>SUMIFS(_teams[wins_on_date],_teams[date],_stats[[#This Row],[date]],_teams[team_number],_stats[[#This Row],[team_number]])</f>
        <v>5</v>
      </c>
      <c r="H1651" s="10">
        <f>SUMIFS(_teams[draws_on_date],_teams[date],_stats[[#This Row],[date]],_teams[team_number],_stats[[#This Row],[team_number]])</f>
        <v>3</v>
      </c>
      <c r="I1651" s="72">
        <v>0</v>
      </c>
      <c r="J1651" s="104">
        <v>0</v>
      </c>
      <c r="K1651" s="72">
        <v>9</v>
      </c>
      <c r="L1651" s="53">
        <f>VLOOKUP(_stats[[#This Row],[tournament]],tournaments_n_rules[],2,0)</f>
        <v>1747</v>
      </c>
      <c r="M1651" s="53" t="str">
        <f>VLOOKUP(_stats[[#This Row],[tournament]],tournaments_n_rules[],3,0)</f>
        <v>Осень 2026</v>
      </c>
      <c r="N1651" s="54">
        <f>VLOOKUP(_stats[[#This Row],[tournament]],tournaments_n_rules[],4,0)</f>
        <v>46285</v>
      </c>
      <c r="O1651" s="54">
        <f>VLOOKUP(_stats[[#This Row],[tournament]],tournaments_n_rules[],5,0)</f>
        <v>46356</v>
      </c>
    </row>
    <row r="1652" spans="1:15" x14ac:dyDescent="0.25">
      <c r="A1652" s="6">
        <v>46292</v>
      </c>
      <c r="B1652" s="72">
        <v>3</v>
      </c>
      <c r="C1652" s="104" t="s">
        <v>13</v>
      </c>
      <c r="D1652" s="10" t="str">
        <f>IFERROR(VLOOKUP(_stats[[#This Row],[player_id]],_players[[player_id]:[player_name]],2,0),"")</f>
        <v>Нурик</v>
      </c>
      <c r="E1652" s="72">
        <v>0</v>
      </c>
      <c r="F1652" s="102">
        <v>0</v>
      </c>
      <c r="G1652" s="10">
        <f>SUMIFS(_teams[wins_on_date],_teams[date],_stats[[#This Row],[date]],_teams[team_number],_stats[[#This Row],[team_number]])</f>
        <v>1</v>
      </c>
      <c r="H1652" s="10">
        <f>SUMIFS(_teams[draws_on_date],_teams[date],_stats[[#This Row],[date]],_teams[team_number],_stats[[#This Row],[team_number]])</f>
        <v>3</v>
      </c>
      <c r="I1652" s="72">
        <v>0</v>
      </c>
      <c r="J1652" s="104">
        <v>0</v>
      </c>
      <c r="K1652" s="72">
        <v>9</v>
      </c>
      <c r="L1652" s="53">
        <f>VLOOKUP(_stats[[#This Row],[tournament]],tournaments_n_rules[],2,0)</f>
        <v>1747</v>
      </c>
      <c r="M1652" s="53" t="str">
        <f>VLOOKUP(_stats[[#This Row],[tournament]],tournaments_n_rules[],3,0)</f>
        <v>Осень 2026</v>
      </c>
      <c r="N1652" s="54">
        <f>VLOOKUP(_stats[[#This Row],[tournament]],tournaments_n_rules[],4,0)</f>
        <v>46285</v>
      </c>
      <c r="O1652" s="54">
        <f>VLOOKUP(_stats[[#This Row],[tournament]],tournaments_n_rules[],5,0)</f>
        <v>46356</v>
      </c>
    </row>
    <row r="1653" spans="1:15" x14ac:dyDescent="0.25">
      <c r="A1653" s="6">
        <v>46292</v>
      </c>
      <c r="B1653" s="72">
        <v>1</v>
      </c>
      <c r="C1653" s="104" t="s">
        <v>142</v>
      </c>
      <c r="D1653" s="10" t="str">
        <f>IFERROR(VLOOKUP(_stats[[#This Row],[player_id]],_players[[player_id]:[player_name]],2,0),"")</f>
        <v>Сурэн</v>
      </c>
      <c r="E1653" s="72">
        <v>4</v>
      </c>
      <c r="F1653" s="102">
        <v>3</v>
      </c>
      <c r="G1653" s="10">
        <f>SUMIFS(_teams[wins_on_date],_teams[date],_stats[[#This Row],[date]],_teams[team_number],_stats[[#This Row],[team_number]])</f>
        <v>6</v>
      </c>
      <c r="H1653" s="10">
        <f>SUMIFS(_teams[draws_on_date],_teams[date],_stats[[#This Row],[date]],_teams[team_number],_stats[[#This Row],[team_number]])</f>
        <v>4</v>
      </c>
      <c r="I1653" s="72">
        <v>0</v>
      </c>
      <c r="J1653" s="104">
        <v>0</v>
      </c>
      <c r="K1653" s="72">
        <v>9</v>
      </c>
      <c r="L1653" s="53">
        <f>VLOOKUP(_stats[[#This Row],[tournament]],tournaments_n_rules[],2,0)</f>
        <v>1747</v>
      </c>
      <c r="M1653" s="53" t="str">
        <f>VLOOKUP(_stats[[#This Row],[tournament]],tournaments_n_rules[],3,0)</f>
        <v>Осень 2026</v>
      </c>
      <c r="N1653" s="54">
        <f>VLOOKUP(_stats[[#This Row],[tournament]],tournaments_n_rules[],4,0)</f>
        <v>46285</v>
      </c>
      <c r="O1653" s="54">
        <f>VLOOKUP(_stats[[#This Row],[tournament]],tournaments_n_rules[],5,0)</f>
        <v>46356</v>
      </c>
    </row>
    <row r="1654" spans="1:15" x14ac:dyDescent="0.25">
      <c r="A1654" s="6">
        <v>46292</v>
      </c>
      <c r="B1654" s="72">
        <v>2</v>
      </c>
      <c r="C1654" s="104" t="s">
        <v>17</v>
      </c>
      <c r="D1654" s="10" t="str">
        <f>IFERROR(VLOOKUP(_stats[[#This Row],[player_id]],_players[[player_id]:[player_name]],2,0),"")</f>
        <v>Юра Пименов</v>
      </c>
      <c r="E1654" s="72">
        <v>3</v>
      </c>
      <c r="F1654" s="102">
        <v>2</v>
      </c>
      <c r="G1654" s="10">
        <f>SUMIFS(_teams[wins_on_date],_teams[date],_stats[[#This Row],[date]],_teams[team_number],_stats[[#This Row],[team_number]])</f>
        <v>5</v>
      </c>
      <c r="H1654" s="10">
        <f>SUMIFS(_teams[draws_on_date],_teams[date],_stats[[#This Row],[date]],_teams[team_number],_stats[[#This Row],[team_number]])</f>
        <v>3</v>
      </c>
      <c r="I1654" s="72">
        <v>0</v>
      </c>
      <c r="J1654" s="104">
        <v>0</v>
      </c>
      <c r="K1654" s="72">
        <v>9</v>
      </c>
      <c r="L1654" s="53">
        <f>VLOOKUP(_stats[[#This Row],[tournament]],tournaments_n_rules[],2,0)</f>
        <v>1747</v>
      </c>
      <c r="M1654" s="53" t="str">
        <f>VLOOKUP(_stats[[#This Row],[tournament]],tournaments_n_rules[],3,0)</f>
        <v>Осень 2026</v>
      </c>
      <c r="N1654" s="54">
        <f>VLOOKUP(_stats[[#This Row],[tournament]],tournaments_n_rules[],4,0)</f>
        <v>46285</v>
      </c>
      <c r="O1654" s="54">
        <f>VLOOKUP(_stats[[#This Row],[tournament]],tournaments_n_rules[],5,0)</f>
        <v>46356</v>
      </c>
    </row>
    <row r="1655" spans="1:15" x14ac:dyDescent="0.25">
      <c r="A1655" s="6">
        <v>46292</v>
      </c>
      <c r="B1655" s="72">
        <v>1</v>
      </c>
      <c r="C1655" s="104" t="s">
        <v>19</v>
      </c>
      <c r="D1655" s="10" t="str">
        <f>IFERROR(VLOOKUP(_stats[[#This Row],[player_id]],_players[[player_id]:[player_name]],2,0),"")</f>
        <v>Олег Шишкин</v>
      </c>
      <c r="E1655" s="72">
        <v>0</v>
      </c>
      <c r="F1655" s="102">
        <v>0</v>
      </c>
      <c r="G1655" s="10">
        <f>SUMIFS(_teams[wins_on_date],_teams[date],_stats[[#This Row],[date]],_teams[team_number],_stats[[#This Row],[team_number]])</f>
        <v>6</v>
      </c>
      <c r="H1655" s="10">
        <f>SUMIFS(_teams[draws_on_date],_teams[date],_stats[[#This Row],[date]],_teams[team_number],_stats[[#This Row],[team_number]])</f>
        <v>4</v>
      </c>
      <c r="I1655" s="72">
        <v>0</v>
      </c>
      <c r="J1655" s="104">
        <v>0</v>
      </c>
      <c r="K1655" s="72">
        <v>9</v>
      </c>
      <c r="L1655" s="53">
        <f>VLOOKUP(_stats[[#This Row],[tournament]],tournaments_n_rules[],2,0)</f>
        <v>1747</v>
      </c>
      <c r="M1655" s="53" t="str">
        <f>VLOOKUP(_stats[[#This Row],[tournament]],tournaments_n_rules[],3,0)</f>
        <v>Осень 2026</v>
      </c>
      <c r="N1655" s="54">
        <f>VLOOKUP(_stats[[#This Row],[tournament]],tournaments_n_rules[],4,0)</f>
        <v>46285</v>
      </c>
      <c r="O1655" s="54">
        <f>VLOOKUP(_stats[[#This Row],[tournament]],tournaments_n_rules[],5,0)</f>
        <v>46356</v>
      </c>
    </row>
    <row r="1656" spans="1:15" x14ac:dyDescent="0.25">
      <c r="A1656" s="6">
        <v>46292</v>
      </c>
      <c r="B1656" s="72">
        <v>1</v>
      </c>
      <c r="C1656" s="104" t="s">
        <v>320</v>
      </c>
      <c r="D1656" s="10" t="str">
        <f>IFERROR(VLOOKUP(_stats[[#This Row],[player_id]],_players[[player_id]:[player_name]],2,0),"")</f>
        <v>Сокол</v>
      </c>
      <c r="E1656" s="72">
        <v>0</v>
      </c>
      <c r="F1656" s="102">
        <v>0</v>
      </c>
      <c r="G1656" s="10">
        <f>SUMIFS(_teams[wins_on_date],_teams[date],_stats[[#This Row],[date]],_teams[team_number],_stats[[#This Row],[team_number]])</f>
        <v>6</v>
      </c>
      <c r="H1656" s="10">
        <f>SUMIFS(_teams[draws_on_date],_teams[date],_stats[[#This Row],[date]],_teams[team_number],_stats[[#This Row],[team_number]])</f>
        <v>4</v>
      </c>
      <c r="I1656" s="72">
        <v>0</v>
      </c>
      <c r="J1656" s="104">
        <v>0</v>
      </c>
      <c r="K1656" s="72">
        <v>9</v>
      </c>
      <c r="L1656" s="53">
        <f>VLOOKUP(_stats[[#This Row],[tournament]],tournaments_n_rules[],2,0)</f>
        <v>1747</v>
      </c>
      <c r="M1656" s="53" t="str">
        <f>VLOOKUP(_stats[[#This Row],[tournament]],tournaments_n_rules[],3,0)</f>
        <v>Осень 2026</v>
      </c>
      <c r="N1656" s="54">
        <f>VLOOKUP(_stats[[#This Row],[tournament]],tournaments_n_rules[],4,0)</f>
        <v>46285</v>
      </c>
      <c r="O1656" s="54">
        <f>VLOOKUP(_stats[[#This Row],[tournament]],tournaments_n_rules[],5,0)</f>
        <v>46356</v>
      </c>
    </row>
    <row r="1657" spans="1:15" x14ac:dyDescent="0.25">
      <c r="A1657" s="6">
        <v>46292</v>
      </c>
      <c r="B1657" s="72">
        <v>2</v>
      </c>
      <c r="C1657" s="104" t="s">
        <v>15</v>
      </c>
      <c r="D1657" s="10" t="str">
        <f>IFERROR(VLOOKUP(_stats[[#This Row],[player_id]],_players[[player_id]:[player_name]],2,0),"")</f>
        <v>Тёма</v>
      </c>
      <c r="E1657" s="72">
        <v>0</v>
      </c>
      <c r="F1657" s="102">
        <v>2</v>
      </c>
      <c r="G1657" s="10">
        <f>SUMIFS(_teams[wins_on_date],_teams[date],_stats[[#This Row],[date]],_teams[team_number],_stats[[#This Row],[team_number]])</f>
        <v>5</v>
      </c>
      <c r="H1657" s="10">
        <f>SUMIFS(_teams[draws_on_date],_teams[date],_stats[[#This Row],[date]],_teams[team_number],_stats[[#This Row],[team_number]])</f>
        <v>3</v>
      </c>
      <c r="I1657" s="72">
        <v>0</v>
      </c>
      <c r="J1657" s="104">
        <v>0</v>
      </c>
      <c r="K1657" s="72">
        <v>9</v>
      </c>
      <c r="L1657" s="53">
        <f>VLOOKUP(_stats[[#This Row],[tournament]],tournaments_n_rules[],2,0)</f>
        <v>1747</v>
      </c>
      <c r="M1657" s="53" t="str">
        <f>VLOOKUP(_stats[[#This Row],[tournament]],tournaments_n_rules[],3,0)</f>
        <v>Осень 2026</v>
      </c>
      <c r="N1657" s="54">
        <f>VLOOKUP(_stats[[#This Row],[tournament]],tournaments_n_rules[],4,0)</f>
        <v>46285</v>
      </c>
      <c r="O1657" s="54">
        <f>VLOOKUP(_stats[[#This Row],[tournament]],tournaments_n_rules[],5,0)</f>
        <v>46356</v>
      </c>
    </row>
    <row r="1658" spans="1:15" x14ac:dyDescent="0.25">
      <c r="A1658" s="6">
        <v>46292</v>
      </c>
      <c r="B1658" s="72">
        <v>2</v>
      </c>
      <c r="C1658" s="104" t="s">
        <v>44</v>
      </c>
      <c r="D1658" s="10" t="str">
        <f>IFERROR(VLOOKUP(_stats[[#This Row],[player_id]],_players[[player_id]:[player_name]],2,0),"")</f>
        <v>Женя (кипер)</v>
      </c>
      <c r="E1658" s="72">
        <v>0</v>
      </c>
      <c r="F1658" s="102">
        <v>0</v>
      </c>
      <c r="G1658" s="10">
        <f>SUMIFS(_teams[wins_on_date],_teams[date],_stats[[#This Row],[date]],_teams[team_number],_stats[[#This Row],[team_number]])</f>
        <v>5</v>
      </c>
      <c r="H1658" s="10">
        <f>SUMIFS(_teams[draws_on_date],_teams[date],_stats[[#This Row],[date]],_teams[team_number],_stats[[#This Row],[team_number]])</f>
        <v>3</v>
      </c>
      <c r="I1658" s="72">
        <v>4</v>
      </c>
      <c r="J1658" s="104">
        <v>0</v>
      </c>
      <c r="K1658" s="72">
        <v>9</v>
      </c>
      <c r="L1658" s="53">
        <f>VLOOKUP(_stats[[#This Row],[tournament]],tournaments_n_rules[],2,0)</f>
        <v>1747</v>
      </c>
      <c r="M1658" s="53" t="str">
        <f>VLOOKUP(_stats[[#This Row],[tournament]],tournaments_n_rules[],3,0)</f>
        <v>Осень 2026</v>
      </c>
      <c r="N1658" s="54">
        <f>VLOOKUP(_stats[[#This Row],[tournament]],tournaments_n_rules[],4,0)</f>
        <v>46285</v>
      </c>
      <c r="O1658" s="54">
        <f>VLOOKUP(_stats[[#This Row],[tournament]],tournaments_n_rules[],5,0)</f>
        <v>46356</v>
      </c>
    </row>
    <row r="1659" spans="1:15" x14ac:dyDescent="0.25">
      <c r="A1659" s="6">
        <v>46292</v>
      </c>
      <c r="B1659" s="72">
        <v>3</v>
      </c>
      <c r="C1659" s="104" t="s">
        <v>314</v>
      </c>
      <c r="D1659" s="10" t="str">
        <f>IFERROR(VLOOKUP(_stats[[#This Row],[player_id]],_players[[player_id]:[player_name]],2,0),"")</f>
        <v>Рашид</v>
      </c>
      <c r="E1659" s="72">
        <v>0</v>
      </c>
      <c r="F1659" s="102">
        <v>0</v>
      </c>
      <c r="G1659" s="10">
        <f>SUMIFS(_teams[wins_on_date],_teams[date],_stats[[#This Row],[date]],_teams[team_number],_stats[[#This Row],[team_number]])</f>
        <v>1</v>
      </c>
      <c r="H1659" s="10">
        <f>SUMIFS(_teams[draws_on_date],_teams[date],_stats[[#This Row],[date]],_teams[team_number],_stats[[#This Row],[team_number]])</f>
        <v>3</v>
      </c>
      <c r="I1659" s="72">
        <v>4</v>
      </c>
      <c r="J1659" s="104">
        <v>0</v>
      </c>
      <c r="K1659" s="72">
        <v>9</v>
      </c>
      <c r="L1659" s="53">
        <f>VLOOKUP(_stats[[#This Row],[tournament]],tournaments_n_rules[],2,0)</f>
        <v>1747</v>
      </c>
      <c r="M1659" s="53" t="str">
        <f>VLOOKUP(_stats[[#This Row],[tournament]],tournaments_n_rules[],3,0)</f>
        <v>Осень 2026</v>
      </c>
      <c r="N1659" s="54">
        <f>VLOOKUP(_stats[[#This Row],[tournament]],tournaments_n_rules[],4,0)</f>
        <v>46285</v>
      </c>
      <c r="O1659" s="54">
        <f>VLOOKUP(_stats[[#This Row],[tournament]],tournaments_n_rules[],5,0)</f>
        <v>46356</v>
      </c>
    </row>
    <row r="1660" spans="1:15" x14ac:dyDescent="0.25">
      <c r="A1660" s="6">
        <v>46292</v>
      </c>
      <c r="B1660" s="72">
        <v>1</v>
      </c>
      <c r="C1660" s="104" t="s">
        <v>8</v>
      </c>
      <c r="D1660" s="10" t="str">
        <f>IFERROR(VLOOKUP(_stats[[#This Row],[player_id]],_players[[player_id]:[player_name]],2,0),"")</f>
        <v>Костя</v>
      </c>
      <c r="E1660" s="72">
        <v>3</v>
      </c>
      <c r="F1660" s="102">
        <v>2</v>
      </c>
      <c r="G1660" s="10">
        <f>SUMIFS(_teams[wins_on_date],_teams[date],_stats[[#This Row],[date]],_teams[team_number],_stats[[#This Row],[team_number]])</f>
        <v>6</v>
      </c>
      <c r="H1660" s="10">
        <f>SUMIFS(_teams[draws_on_date],_teams[date],_stats[[#This Row],[date]],_teams[team_number],_stats[[#This Row],[team_number]])</f>
        <v>4</v>
      </c>
      <c r="I1660" s="72">
        <v>0</v>
      </c>
      <c r="J1660" s="104">
        <v>0</v>
      </c>
      <c r="K1660" s="72">
        <v>9</v>
      </c>
      <c r="L1660" s="53">
        <f>VLOOKUP(_stats[[#This Row],[tournament]],tournaments_n_rules[],2,0)</f>
        <v>1747</v>
      </c>
      <c r="M1660" s="53" t="str">
        <f>VLOOKUP(_stats[[#This Row],[tournament]],tournaments_n_rules[],3,0)</f>
        <v>Осень 2026</v>
      </c>
      <c r="N1660" s="54">
        <f>VLOOKUP(_stats[[#This Row],[tournament]],tournaments_n_rules[],4,0)</f>
        <v>46285</v>
      </c>
      <c r="O1660" s="54">
        <f>VLOOKUP(_stats[[#This Row],[tournament]],tournaments_n_rules[],5,0)</f>
        <v>46356</v>
      </c>
    </row>
    <row r="1661" spans="1:15" x14ac:dyDescent="0.25">
      <c r="A1661" s="6">
        <v>46292</v>
      </c>
      <c r="B1661" s="72">
        <v>1</v>
      </c>
      <c r="C1661" s="104" t="s">
        <v>69</v>
      </c>
      <c r="D1661" s="10" t="str">
        <f>IFERROR(VLOOKUP(_stats[[#This Row],[player_id]],_players[[player_id]:[player_name]],2,0),"")</f>
        <v>Анашкин</v>
      </c>
      <c r="E1661" s="72">
        <v>2</v>
      </c>
      <c r="F1661" s="102">
        <v>2</v>
      </c>
      <c r="G1661" s="10">
        <f>SUMIFS(_teams[wins_on_date],_teams[date],_stats[[#This Row],[date]],_teams[team_number],_stats[[#This Row],[team_number]])</f>
        <v>6</v>
      </c>
      <c r="H1661" s="10">
        <f>SUMIFS(_teams[draws_on_date],_teams[date],_stats[[#This Row],[date]],_teams[team_number],_stats[[#This Row],[team_number]])</f>
        <v>4</v>
      </c>
      <c r="I1661" s="72">
        <v>0</v>
      </c>
      <c r="J1661" s="104">
        <v>0</v>
      </c>
      <c r="K1661" s="72">
        <v>9</v>
      </c>
      <c r="L1661" s="53">
        <f>VLOOKUP(_stats[[#This Row],[tournament]],tournaments_n_rules[],2,0)</f>
        <v>1747</v>
      </c>
      <c r="M1661" s="53" t="str">
        <f>VLOOKUP(_stats[[#This Row],[tournament]],tournaments_n_rules[],3,0)</f>
        <v>Осень 2026</v>
      </c>
      <c r="N1661" s="54">
        <f>VLOOKUP(_stats[[#This Row],[tournament]],tournaments_n_rules[],4,0)</f>
        <v>46285</v>
      </c>
      <c r="O1661" s="54">
        <f>VLOOKUP(_stats[[#This Row],[tournament]],tournaments_n_rules[],5,0)</f>
        <v>46356</v>
      </c>
    </row>
    <row r="1662" spans="1:15" x14ac:dyDescent="0.25">
      <c r="A1662" s="6">
        <v>46292</v>
      </c>
      <c r="B1662" s="72">
        <v>2</v>
      </c>
      <c r="C1662" s="104" t="s">
        <v>43</v>
      </c>
      <c r="D1662" s="10" t="str">
        <f>IFERROR(VLOOKUP(_stats[[#This Row],[player_id]],_players[[player_id]:[player_name]],2,0),"")</f>
        <v>Никита</v>
      </c>
      <c r="E1662" s="72">
        <v>0</v>
      </c>
      <c r="F1662" s="102">
        <v>3</v>
      </c>
      <c r="G1662" s="10">
        <f>SUMIFS(_teams[wins_on_date],_teams[date],_stats[[#This Row],[date]],_teams[team_number],_stats[[#This Row],[team_number]])</f>
        <v>5</v>
      </c>
      <c r="H1662" s="10">
        <f>SUMIFS(_teams[draws_on_date],_teams[date],_stats[[#This Row],[date]],_teams[team_number],_stats[[#This Row],[team_number]])</f>
        <v>3</v>
      </c>
      <c r="I1662" s="72">
        <v>0</v>
      </c>
      <c r="J1662" s="104">
        <v>0</v>
      </c>
      <c r="K1662" s="72">
        <v>9</v>
      </c>
      <c r="L1662" s="53">
        <f>VLOOKUP(_stats[[#This Row],[tournament]],tournaments_n_rules[],2,0)</f>
        <v>1747</v>
      </c>
      <c r="M1662" s="53" t="str">
        <f>VLOOKUP(_stats[[#This Row],[tournament]],tournaments_n_rules[],3,0)</f>
        <v>Осень 2026</v>
      </c>
      <c r="N1662" s="54">
        <f>VLOOKUP(_stats[[#This Row],[tournament]],tournaments_n_rules[],4,0)</f>
        <v>46285</v>
      </c>
      <c r="O1662" s="54">
        <f>VLOOKUP(_stats[[#This Row],[tournament]],tournaments_n_rules[],5,0)</f>
        <v>46356</v>
      </c>
    </row>
    <row r="1663" spans="1:15" x14ac:dyDescent="0.25">
      <c r="A1663" s="6">
        <v>46292</v>
      </c>
      <c r="B1663" s="72">
        <v>2</v>
      </c>
      <c r="C1663" s="104" t="s">
        <v>153</v>
      </c>
      <c r="D1663" s="10" t="str">
        <f>IFERROR(VLOOKUP(_stats[[#This Row],[player_id]],_players[[player_id]:[player_name]],2,0),"")</f>
        <v>Богдан</v>
      </c>
      <c r="E1663" s="72">
        <v>0</v>
      </c>
      <c r="F1663" s="102">
        <v>0</v>
      </c>
      <c r="G1663" s="10">
        <f>SUMIFS(_teams[wins_on_date],_teams[date],_stats[[#This Row],[date]],_teams[team_number],_stats[[#This Row],[team_number]])</f>
        <v>5</v>
      </c>
      <c r="H1663" s="10">
        <f>SUMIFS(_teams[draws_on_date],_teams[date],_stats[[#This Row],[date]],_teams[team_number],_stats[[#This Row],[team_number]])</f>
        <v>3</v>
      </c>
      <c r="I1663" s="72">
        <v>0</v>
      </c>
      <c r="J1663" s="104">
        <v>0</v>
      </c>
      <c r="K1663" s="72">
        <v>9</v>
      </c>
      <c r="L1663" s="53">
        <f>VLOOKUP(_stats[[#This Row],[tournament]],tournaments_n_rules[],2,0)</f>
        <v>1747</v>
      </c>
      <c r="M1663" s="53" t="str">
        <f>VLOOKUP(_stats[[#This Row],[tournament]],tournaments_n_rules[],3,0)</f>
        <v>Осень 2026</v>
      </c>
      <c r="N1663" s="54">
        <f>VLOOKUP(_stats[[#This Row],[tournament]],tournaments_n_rules[],4,0)</f>
        <v>46285</v>
      </c>
      <c r="O1663" s="54">
        <f>VLOOKUP(_stats[[#This Row],[tournament]],tournaments_n_rules[],5,0)</f>
        <v>46356</v>
      </c>
    </row>
    <row r="1664" spans="1:15" x14ac:dyDescent="0.25">
      <c r="A1664" s="6">
        <v>46292</v>
      </c>
      <c r="B1664" s="72">
        <v>3</v>
      </c>
      <c r="C1664" s="104" t="s">
        <v>22</v>
      </c>
      <c r="D1664" s="10" t="str">
        <f>IFERROR(VLOOKUP(_stats[[#This Row],[player_id]],_players[[player_id]:[player_name]],2,0),"")</f>
        <v>Расул</v>
      </c>
      <c r="E1664" s="72">
        <v>0</v>
      </c>
      <c r="F1664" s="102">
        <v>1</v>
      </c>
      <c r="G1664" s="10">
        <f>SUMIFS(_teams[wins_on_date],_teams[date],_stats[[#This Row],[date]],_teams[team_number],_stats[[#This Row],[team_number]])</f>
        <v>1</v>
      </c>
      <c r="H1664" s="10">
        <f>SUMIFS(_teams[draws_on_date],_teams[date],_stats[[#This Row],[date]],_teams[team_number],_stats[[#This Row],[team_number]])</f>
        <v>3</v>
      </c>
      <c r="I1664" s="72">
        <v>0</v>
      </c>
      <c r="J1664" s="104">
        <v>0</v>
      </c>
      <c r="K1664" s="72">
        <v>9</v>
      </c>
      <c r="L1664" s="53">
        <f>VLOOKUP(_stats[[#This Row],[tournament]],tournaments_n_rules[],2,0)</f>
        <v>1747</v>
      </c>
      <c r="M1664" s="53" t="str">
        <f>VLOOKUP(_stats[[#This Row],[tournament]],tournaments_n_rules[],3,0)</f>
        <v>Осень 2026</v>
      </c>
      <c r="N1664" s="54">
        <f>VLOOKUP(_stats[[#This Row],[tournament]],tournaments_n_rules[],4,0)</f>
        <v>46285</v>
      </c>
      <c r="O1664" s="54">
        <f>VLOOKUP(_stats[[#This Row],[tournament]],tournaments_n_rules[],5,0)</f>
        <v>46356</v>
      </c>
    </row>
    <row r="1665" spans="1:15" x14ac:dyDescent="0.25">
      <c r="A1665" s="6">
        <v>46292</v>
      </c>
      <c r="B1665" s="72">
        <v>1</v>
      </c>
      <c r="C1665" s="104" t="s">
        <v>316</v>
      </c>
      <c r="D1665" s="10" t="str">
        <f>IFERROR(VLOOKUP(_stats[[#This Row],[player_id]],_players[[player_id]:[player_name]],2,0),"")</f>
        <v>Даня (кипер)</v>
      </c>
      <c r="E1665" s="72">
        <v>1</v>
      </c>
      <c r="F1665" s="102">
        <v>0</v>
      </c>
      <c r="G1665" s="10">
        <f>SUMIFS(_teams[wins_on_date],_teams[date],_stats[[#This Row],[date]],_teams[team_number],_stats[[#This Row],[team_number]])</f>
        <v>6</v>
      </c>
      <c r="H1665" s="10">
        <f>SUMIFS(_teams[draws_on_date],_teams[date],_stats[[#This Row],[date]],_teams[team_number],_stats[[#This Row],[team_number]])</f>
        <v>4</v>
      </c>
      <c r="I1665" s="72">
        <v>6</v>
      </c>
      <c r="J1665" s="104">
        <v>0</v>
      </c>
      <c r="K1665" s="72">
        <v>9</v>
      </c>
      <c r="L1665" s="53">
        <f>VLOOKUP(_stats[[#This Row],[tournament]],tournaments_n_rules[],2,0)</f>
        <v>1747</v>
      </c>
      <c r="M1665" s="53" t="str">
        <f>VLOOKUP(_stats[[#This Row],[tournament]],tournaments_n_rules[],3,0)</f>
        <v>Осень 2026</v>
      </c>
      <c r="N1665" s="54">
        <f>VLOOKUP(_stats[[#This Row],[tournament]],tournaments_n_rules[],4,0)</f>
        <v>46285</v>
      </c>
      <c r="O1665" s="54">
        <f>VLOOKUP(_stats[[#This Row],[tournament]],tournaments_n_rules[],5,0)</f>
        <v>46356</v>
      </c>
    </row>
    <row r="1666" spans="1:15" x14ac:dyDescent="0.25">
      <c r="A1666" s="6">
        <v>46292</v>
      </c>
      <c r="B1666" s="72">
        <v>1</v>
      </c>
      <c r="C1666" s="104" t="s">
        <v>11</v>
      </c>
      <c r="D1666" s="10" t="str">
        <f>IFERROR(VLOOKUP(_stats[[#This Row],[player_id]],_players[[player_id]:[player_name]],2,0),"")</f>
        <v>Сергей Крюков</v>
      </c>
      <c r="E1666" s="72">
        <v>3</v>
      </c>
      <c r="F1666" s="102">
        <v>1</v>
      </c>
      <c r="G1666" s="10">
        <f>SUMIFS(_teams[wins_on_date],_teams[date],_stats[[#This Row],[date]],_teams[team_number],_stats[[#This Row],[team_number]])</f>
        <v>6</v>
      </c>
      <c r="H1666" s="10">
        <f>SUMIFS(_teams[draws_on_date],_teams[date],_stats[[#This Row],[date]],_teams[team_number],_stats[[#This Row],[team_number]])</f>
        <v>4</v>
      </c>
      <c r="I1666" s="72">
        <v>0</v>
      </c>
      <c r="J1666" s="104">
        <v>0</v>
      </c>
      <c r="K1666" s="72">
        <v>9</v>
      </c>
      <c r="L1666" s="53">
        <f>VLOOKUP(_stats[[#This Row],[tournament]],tournaments_n_rules[],2,0)</f>
        <v>1747</v>
      </c>
      <c r="M1666" s="53" t="str">
        <f>VLOOKUP(_stats[[#This Row],[tournament]],tournaments_n_rules[],3,0)</f>
        <v>Осень 2026</v>
      </c>
      <c r="N1666" s="54">
        <f>VLOOKUP(_stats[[#This Row],[tournament]],tournaments_n_rules[],4,0)</f>
        <v>46285</v>
      </c>
      <c r="O1666" s="54">
        <f>VLOOKUP(_stats[[#This Row],[tournament]],tournaments_n_rules[],5,0)</f>
        <v>46356</v>
      </c>
    </row>
    <row r="1667" spans="1:15" x14ac:dyDescent="0.25">
      <c r="A1667" s="6">
        <v>46292</v>
      </c>
      <c r="B1667" s="72">
        <v>2</v>
      </c>
      <c r="C1667" s="104" t="s">
        <v>28</v>
      </c>
      <c r="D1667" s="10" t="str">
        <f>IFERROR(VLOOKUP(_stats[[#This Row],[player_id]],_players[[player_id]:[player_name]],2,0),"")</f>
        <v>Витя</v>
      </c>
      <c r="E1667" s="72">
        <v>2</v>
      </c>
      <c r="F1667" s="102">
        <v>1</v>
      </c>
      <c r="G1667" s="10">
        <f>SUMIFS(_teams[wins_on_date],_teams[date],_stats[[#This Row],[date]],_teams[team_number],_stats[[#This Row],[team_number]])</f>
        <v>5</v>
      </c>
      <c r="H1667" s="10">
        <f>SUMIFS(_teams[draws_on_date],_teams[date],_stats[[#This Row],[date]],_teams[team_number],_stats[[#This Row],[team_number]])</f>
        <v>3</v>
      </c>
      <c r="I1667" s="72">
        <v>0</v>
      </c>
      <c r="J1667" s="104">
        <v>0</v>
      </c>
      <c r="K1667" s="72">
        <v>9</v>
      </c>
      <c r="L1667" s="53">
        <f>VLOOKUP(_stats[[#This Row],[tournament]],tournaments_n_rules[],2,0)</f>
        <v>1747</v>
      </c>
      <c r="M1667" s="53" t="str">
        <f>VLOOKUP(_stats[[#This Row],[tournament]],tournaments_n_rules[],3,0)</f>
        <v>Осень 2026</v>
      </c>
      <c r="N1667" s="54">
        <f>VLOOKUP(_stats[[#This Row],[tournament]],tournaments_n_rules[],4,0)</f>
        <v>46285</v>
      </c>
      <c r="O1667" s="54">
        <f>VLOOKUP(_stats[[#This Row],[tournament]],tournaments_n_rules[],5,0)</f>
        <v>46356</v>
      </c>
    </row>
    <row r="1668" spans="1:15" x14ac:dyDescent="0.25">
      <c r="A1668" s="6">
        <v>46292</v>
      </c>
      <c r="B1668" s="72">
        <v>3</v>
      </c>
      <c r="C1668" s="104" t="s">
        <v>101</v>
      </c>
      <c r="D1668" s="10" t="str">
        <f>IFERROR(VLOOKUP(_stats[[#This Row],[player_id]],_players[[player_id]:[player_name]],2,0),"")</f>
        <v>Фуад</v>
      </c>
      <c r="E1668" s="72">
        <v>1</v>
      </c>
      <c r="F1668" s="102">
        <v>0</v>
      </c>
      <c r="G1668" s="10">
        <f>SUMIFS(_teams[wins_on_date],_teams[date],_stats[[#This Row],[date]],_teams[team_number],_stats[[#This Row],[team_number]])</f>
        <v>1</v>
      </c>
      <c r="H1668" s="10">
        <f>SUMIFS(_teams[draws_on_date],_teams[date],_stats[[#This Row],[date]],_teams[team_number],_stats[[#This Row],[team_number]])</f>
        <v>3</v>
      </c>
      <c r="I1668" s="72">
        <v>0</v>
      </c>
      <c r="J1668" s="104">
        <v>0</v>
      </c>
      <c r="K1668" s="72">
        <v>9</v>
      </c>
      <c r="L1668" s="53">
        <f>VLOOKUP(_stats[[#This Row],[tournament]],tournaments_n_rules[],2,0)</f>
        <v>1747</v>
      </c>
      <c r="M1668" s="53" t="str">
        <f>VLOOKUP(_stats[[#This Row],[tournament]],tournaments_n_rules[],3,0)</f>
        <v>Осень 2026</v>
      </c>
      <c r="N1668" s="54">
        <f>VLOOKUP(_stats[[#This Row],[tournament]],tournaments_n_rules[],4,0)</f>
        <v>46285</v>
      </c>
      <c r="O1668" s="54">
        <f>VLOOKUP(_stats[[#This Row],[tournament]],tournaments_n_rules[],5,0)</f>
        <v>46356</v>
      </c>
    </row>
    <row r="1669" spans="1:15" x14ac:dyDescent="0.25">
      <c r="A1669" s="6">
        <v>46292</v>
      </c>
      <c r="B1669" s="72">
        <v>3</v>
      </c>
      <c r="C1669" s="104" t="s">
        <v>113</v>
      </c>
      <c r="D1669" s="10" t="str">
        <f>IFERROR(VLOOKUP(_stats[[#This Row],[player_id]],_players[[player_id]:[player_name]],2,0),"")</f>
        <v>Намин (Нур+1)</v>
      </c>
      <c r="E1669" s="72">
        <v>1</v>
      </c>
      <c r="F1669" s="102">
        <v>0</v>
      </c>
      <c r="G1669" s="10">
        <f>SUMIFS(_teams[wins_on_date],_teams[date],_stats[[#This Row],[date]],_teams[team_number],_stats[[#This Row],[team_number]])</f>
        <v>1</v>
      </c>
      <c r="H1669" s="10">
        <f>SUMIFS(_teams[draws_on_date],_teams[date],_stats[[#This Row],[date]],_teams[team_number],_stats[[#This Row],[team_number]])</f>
        <v>3</v>
      </c>
      <c r="I1669" s="72">
        <v>0</v>
      </c>
      <c r="J1669" s="104">
        <v>0</v>
      </c>
      <c r="K1669" s="72">
        <v>9</v>
      </c>
      <c r="L1669" s="53">
        <f>VLOOKUP(_stats[[#This Row],[tournament]],tournaments_n_rules[],2,0)</f>
        <v>1747</v>
      </c>
      <c r="M1669" s="53" t="str">
        <f>VLOOKUP(_stats[[#This Row],[tournament]],tournaments_n_rules[],3,0)</f>
        <v>Осень 2026</v>
      </c>
      <c r="N1669" s="54">
        <f>VLOOKUP(_stats[[#This Row],[tournament]],tournaments_n_rules[],4,0)</f>
        <v>46285</v>
      </c>
      <c r="O1669" s="54">
        <f>VLOOKUP(_stats[[#This Row],[tournament]],tournaments_n_rules[],5,0)</f>
        <v>46356</v>
      </c>
    </row>
    <row r="1670" spans="1:15" x14ac:dyDescent="0.25">
      <c r="A1670" s="6">
        <v>46292</v>
      </c>
      <c r="B1670" s="72">
        <v>3</v>
      </c>
      <c r="C1670" s="104" t="s">
        <v>321</v>
      </c>
      <c r="D1670" s="10" t="str">
        <f>IFERROR(VLOOKUP(_stats[[#This Row],[player_id]],_players[[player_id]:[player_name]],2,0),"")</f>
        <v>Роял (Нур+1)</v>
      </c>
      <c r="E1670" s="72">
        <v>0</v>
      </c>
      <c r="F1670" s="102">
        <v>0</v>
      </c>
      <c r="G1670" s="10">
        <f>SUMIFS(_teams[wins_on_date],_teams[date],_stats[[#This Row],[date]],_teams[team_number],_stats[[#This Row],[team_number]])</f>
        <v>1</v>
      </c>
      <c r="H1670" s="10">
        <f>SUMIFS(_teams[draws_on_date],_teams[date],_stats[[#This Row],[date]],_teams[team_number],_stats[[#This Row],[team_number]])</f>
        <v>3</v>
      </c>
      <c r="I1670" s="72">
        <v>0</v>
      </c>
      <c r="J1670" s="104">
        <v>0</v>
      </c>
      <c r="K1670" s="72">
        <v>9</v>
      </c>
      <c r="L1670" s="53">
        <f>VLOOKUP(_stats[[#This Row],[tournament]],tournaments_n_rules[],2,0)</f>
        <v>1747</v>
      </c>
      <c r="M1670" s="53" t="str">
        <f>VLOOKUP(_stats[[#This Row],[tournament]],tournaments_n_rules[],3,0)</f>
        <v>Осень 2026</v>
      </c>
      <c r="N1670" s="54">
        <f>VLOOKUP(_stats[[#This Row],[tournament]],tournaments_n_rules[],4,0)</f>
        <v>46285</v>
      </c>
      <c r="O1670" s="54">
        <f>VLOOKUP(_stats[[#This Row],[tournament]],tournaments_n_rules[],5,0)</f>
        <v>46356</v>
      </c>
    </row>
    <row r="1671" spans="1:15" x14ac:dyDescent="0.25">
      <c r="A1671" s="6">
        <v>46292</v>
      </c>
      <c r="B1671" s="72">
        <v>3</v>
      </c>
      <c r="C1671" s="104" t="s">
        <v>111</v>
      </c>
      <c r="D1671" s="10" t="str">
        <f>IFERROR(VLOOKUP(_stats[[#This Row],[player_id]],_players[[player_id]:[player_name]],2,0),"")</f>
        <v>Дима (Спартак)</v>
      </c>
      <c r="E1671" s="72">
        <v>0</v>
      </c>
      <c r="F1671" s="102">
        <v>0</v>
      </c>
      <c r="G1671" s="10">
        <f>SUMIFS(_teams[wins_on_date],_teams[date],_stats[[#This Row],[date]],_teams[team_number],_stats[[#This Row],[team_number]])</f>
        <v>1</v>
      </c>
      <c r="H1671" s="10">
        <f>SUMIFS(_teams[draws_on_date],_teams[date],_stats[[#This Row],[date]],_teams[team_number],_stats[[#This Row],[team_number]])</f>
        <v>3</v>
      </c>
      <c r="I1671" s="72">
        <v>0</v>
      </c>
      <c r="J1671" s="104">
        <v>0</v>
      </c>
      <c r="K1671" s="72">
        <v>9</v>
      </c>
      <c r="L1671" s="53">
        <f>VLOOKUP(_stats[[#This Row],[tournament]],tournaments_n_rules[],2,0)</f>
        <v>1747</v>
      </c>
      <c r="M1671" s="53" t="str">
        <f>VLOOKUP(_stats[[#This Row],[tournament]],tournaments_n_rules[],3,0)</f>
        <v>Осень 2026</v>
      </c>
      <c r="N1671" s="54">
        <f>VLOOKUP(_stats[[#This Row],[tournament]],tournaments_n_rules[],4,0)</f>
        <v>46285</v>
      </c>
      <c r="O1671" s="54">
        <f>VLOOKUP(_stats[[#This Row],[tournament]],tournaments_n_rules[],5,0)</f>
        <v>46356</v>
      </c>
    </row>
    <row r="1672" spans="1:15" x14ac:dyDescent="0.25">
      <c r="A1672" s="6">
        <v>46292</v>
      </c>
      <c r="B1672" s="72">
        <v>3</v>
      </c>
      <c r="C1672" s="104" t="s">
        <v>322</v>
      </c>
      <c r="D1672" s="10" t="str">
        <f>IFERROR(VLOOKUP(_stats[[#This Row],[player_id]],_players[[player_id]:[player_name]],2,0),"")</f>
        <v>Дима (Богдан+1)</v>
      </c>
      <c r="E1672" s="72">
        <v>0</v>
      </c>
      <c r="F1672" s="102">
        <v>0</v>
      </c>
      <c r="G1672" s="10">
        <f>SUMIFS(_teams[wins_on_date],_teams[date],_stats[[#This Row],[date]],_teams[team_number],_stats[[#This Row],[team_number]])</f>
        <v>1</v>
      </c>
      <c r="H1672" s="10">
        <f>SUMIFS(_teams[draws_on_date],_teams[date],_stats[[#This Row],[date]],_teams[team_number],_stats[[#This Row],[team_number]])</f>
        <v>3</v>
      </c>
      <c r="I1672" s="72">
        <v>0</v>
      </c>
      <c r="J1672" s="104">
        <v>0</v>
      </c>
      <c r="K1672" s="72">
        <v>9</v>
      </c>
      <c r="L1672" s="53">
        <f>VLOOKUP(_stats[[#This Row],[tournament]],tournaments_n_rules[],2,0)</f>
        <v>1747</v>
      </c>
      <c r="M1672" s="53" t="str">
        <f>VLOOKUP(_stats[[#This Row],[tournament]],tournaments_n_rules[],3,0)</f>
        <v>Осень 2026</v>
      </c>
      <c r="N1672" s="54">
        <f>VLOOKUP(_stats[[#This Row],[tournament]],tournaments_n_rules[],4,0)</f>
        <v>46285</v>
      </c>
      <c r="O1672" s="54">
        <f>VLOOKUP(_stats[[#This Row],[tournament]],tournaments_n_rules[],5,0)</f>
        <v>46356</v>
      </c>
    </row>
    <row r="1673" spans="1:15" x14ac:dyDescent="0.25">
      <c r="A1673" s="6">
        <v>46292</v>
      </c>
      <c r="B1673" s="72">
        <v>3</v>
      </c>
      <c r="C1673" s="104" t="s">
        <v>97</v>
      </c>
      <c r="D1673" s="10" t="str">
        <f>IFERROR(VLOOKUP(_stats[[#This Row],[player_id]],_players[[player_id]:[player_name]],2,0),"")</f>
        <v>Умар (Женя+1)</v>
      </c>
      <c r="E1673" s="72">
        <v>2</v>
      </c>
      <c r="F1673" s="102">
        <v>0</v>
      </c>
      <c r="G1673" s="10">
        <f>SUMIFS(_teams[wins_on_date],_teams[date],_stats[[#This Row],[date]],_teams[team_number],_stats[[#This Row],[team_number]])</f>
        <v>1</v>
      </c>
      <c r="H1673" s="10">
        <f>SUMIFS(_teams[draws_on_date],_teams[date],_stats[[#This Row],[date]],_teams[team_number],_stats[[#This Row],[team_number]])</f>
        <v>3</v>
      </c>
      <c r="I1673" s="72">
        <v>0</v>
      </c>
      <c r="J1673" s="104">
        <v>0</v>
      </c>
      <c r="K1673" s="72">
        <v>9</v>
      </c>
      <c r="L1673" s="53">
        <f>VLOOKUP(_stats[[#This Row],[tournament]],tournaments_n_rules[],2,0)</f>
        <v>1747</v>
      </c>
      <c r="M1673" s="53" t="str">
        <f>VLOOKUP(_stats[[#This Row],[tournament]],tournaments_n_rules[],3,0)</f>
        <v>Осень 2026</v>
      </c>
      <c r="N1673" s="54">
        <f>VLOOKUP(_stats[[#This Row],[tournament]],tournaments_n_rules[],4,0)</f>
        <v>46285</v>
      </c>
      <c r="O1673" s="54">
        <f>VLOOKUP(_stats[[#This Row],[tournament]],tournaments_n_rules[],5,0)</f>
        <v>46356</v>
      </c>
    </row>
    <row r="1674" spans="1:15" x14ac:dyDescent="0.25">
      <c r="A1674" s="6">
        <v>46306</v>
      </c>
      <c r="B1674" s="72">
        <v>2</v>
      </c>
      <c r="C1674" s="104" t="s">
        <v>11</v>
      </c>
      <c r="D1674" s="10" t="str">
        <f>IFERROR(VLOOKUP(_stats[[#This Row],[player_id]],_players[[player_id]:[player_name]],2,0),"")</f>
        <v>Сергей Крюков</v>
      </c>
      <c r="E1674" s="72">
        <v>0</v>
      </c>
      <c r="F1674" s="102">
        <v>0</v>
      </c>
      <c r="G1674" s="10">
        <f>SUMIFS(_teams[wins_on_date],_teams[date],_stats[[#This Row],[date]],_teams[team_number],_stats[[#This Row],[team_number]])</f>
        <v>9</v>
      </c>
      <c r="H1674" s="10">
        <f>SUMIFS(_teams[draws_on_date],_teams[date],_stats[[#This Row],[date]],_teams[team_number],_stats[[#This Row],[team_number]])</f>
        <v>2</v>
      </c>
      <c r="I1674" s="72">
        <v>0</v>
      </c>
      <c r="J1674" s="104">
        <v>0</v>
      </c>
      <c r="K1674" s="72">
        <v>9</v>
      </c>
      <c r="L1674" s="53">
        <f>VLOOKUP(_stats[[#This Row],[tournament]],tournaments_n_rules[],2,0)</f>
        <v>1747</v>
      </c>
      <c r="M1674" s="53" t="str">
        <f>VLOOKUP(_stats[[#This Row],[tournament]],tournaments_n_rules[],3,0)</f>
        <v>Осень 2026</v>
      </c>
      <c r="N1674" s="54">
        <f>VLOOKUP(_stats[[#This Row],[tournament]],tournaments_n_rules[],4,0)</f>
        <v>46285</v>
      </c>
      <c r="O1674" s="54">
        <f>VLOOKUP(_stats[[#This Row],[tournament]],tournaments_n_rules[],5,0)</f>
        <v>46356</v>
      </c>
    </row>
    <row r="1675" spans="1:15" x14ac:dyDescent="0.25">
      <c r="A1675" s="6">
        <v>46306</v>
      </c>
      <c r="B1675" s="72">
        <v>1</v>
      </c>
      <c r="C1675" s="104" t="s">
        <v>27</v>
      </c>
      <c r="D1675" s="10" t="str">
        <f>IFERROR(VLOOKUP(_stats[[#This Row],[player_id]],_players[[player_id]:[player_name]],2,0),"")</f>
        <v>Толя Шлаев</v>
      </c>
      <c r="E1675" s="72">
        <v>1</v>
      </c>
      <c r="F1675" s="102">
        <v>0</v>
      </c>
      <c r="G1675" s="10">
        <f>SUMIFS(_teams[wins_on_date],_teams[date],_stats[[#This Row],[date]],_teams[team_number],_stats[[#This Row],[team_number]])</f>
        <v>3</v>
      </c>
      <c r="H1675" s="10">
        <f>SUMIFS(_teams[draws_on_date],_teams[date],_stats[[#This Row],[date]],_teams[team_number],_stats[[#This Row],[team_number]])</f>
        <v>3</v>
      </c>
      <c r="I1675" s="72">
        <v>0</v>
      </c>
      <c r="J1675" s="104">
        <v>1</v>
      </c>
      <c r="K1675" s="72">
        <v>9</v>
      </c>
      <c r="L1675" s="53">
        <f>VLOOKUP(_stats[[#This Row],[tournament]],tournaments_n_rules[],2,0)</f>
        <v>1747</v>
      </c>
      <c r="M1675" s="53" t="str">
        <f>VLOOKUP(_stats[[#This Row],[tournament]],tournaments_n_rules[],3,0)</f>
        <v>Осень 2026</v>
      </c>
      <c r="N1675" s="54">
        <f>VLOOKUP(_stats[[#This Row],[tournament]],tournaments_n_rules[],4,0)</f>
        <v>46285</v>
      </c>
      <c r="O1675" s="54">
        <f>VLOOKUP(_stats[[#This Row],[tournament]],tournaments_n_rules[],5,0)</f>
        <v>46356</v>
      </c>
    </row>
    <row r="1676" spans="1:15" x14ac:dyDescent="0.25">
      <c r="A1676" s="6">
        <v>46306</v>
      </c>
      <c r="B1676" s="72">
        <v>3</v>
      </c>
      <c r="C1676" s="104" t="s">
        <v>153</v>
      </c>
      <c r="D1676" s="10" t="str">
        <f>IFERROR(VLOOKUP(_stats[[#This Row],[player_id]],_players[[player_id]:[player_name]],2,0),"")</f>
        <v>Богдан</v>
      </c>
      <c r="E1676" s="72">
        <v>2</v>
      </c>
      <c r="F1676" s="102">
        <v>0</v>
      </c>
      <c r="G1676" s="10">
        <f>SUMIFS(_teams[wins_on_date],_teams[date],_stats[[#This Row],[date]],_teams[team_number],_stats[[#This Row],[team_number]])</f>
        <v>3</v>
      </c>
      <c r="H1676" s="10">
        <f>SUMIFS(_teams[draws_on_date],_teams[date],_stats[[#This Row],[date]],_teams[team_number],_stats[[#This Row],[team_number]])</f>
        <v>2</v>
      </c>
      <c r="I1676" s="72">
        <v>0</v>
      </c>
      <c r="J1676" s="104">
        <v>1</v>
      </c>
      <c r="K1676" s="72">
        <v>9</v>
      </c>
      <c r="L1676" s="53">
        <f>VLOOKUP(_stats[[#This Row],[tournament]],tournaments_n_rules[],2,0)</f>
        <v>1747</v>
      </c>
      <c r="M1676" s="53" t="str">
        <f>VLOOKUP(_stats[[#This Row],[tournament]],tournaments_n_rules[],3,0)</f>
        <v>Осень 2026</v>
      </c>
      <c r="N1676" s="54">
        <f>VLOOKUP(_stats[[#This Row],[tournament]],tournaments_n_rules[],4,0)</f>
        <v>46285</v>
      </c>
      <c r="O1676" s="54">
        <f>VLOOKUP(_stats[[#This Row],[tournament]],tournaments_n_rules[],5,0)</f>
        <v>46356</v>
      </c>
    </row>
    <row r="1677" spans="1:15" x14ac:dyDescent="0.25">
      <c r="A1677" s="6">
        <v>46306</v>
      </c>
      <c r="B1677" s="72">
        <v>3</v>
      </c>
      <c r="C1677" s="104" t="s">
        <v>314</v>
      </c>
      <c r="D1677" s="10" t="str">
        <f>IFERROR(VLOOKUP(_stats[[#This Row],[player_id]],_players[[player_id]:[player_name]],2,0),"")</f>
        <v>Рашид</v>
      </c>
      <c r="E1677" s="72">
        <v>0</v>
      </c>
      <c r="F1677" s="102">
        <v>0</v>
      </c>
      <c r="G1677" s="10">
        <f>SUMIFS(_teams[wins_on_date],_teams[date],_stats[[#This Row],[date]],_teams[team_number],_stats[[#This Row],[team_number]])</f>
        <v>3</v>
      </c>
      <c r="H1677" s="10">
        <f>SUMIFS(_teams[draws_on_date],_teams[date],_stats[[#This Row],[date]],_teams[team_number],_stats[[#This Row],[team_number]])</f>
        <v>2</v>
      </c>
      <c r="I1677" s="72">
        <v>0</v>
      </c>
      <c r="J1677" s="104">
        <v>0</v>
      </c>
      <c r="K1677" s="72">
        <v>9</v>
      </c>
      <c r="L1677" s="53">
        <f>VLOOKUP(_stats[[#This Row],[tournament]],tournaments_n_rules[],2,0)</f>
        <v>1747</v>
      </c>
      <c r="M1677" s="53" t="str">
        <f>VLOOKUP(_stats[[#This Row],[tournament]],tournaments_n_rules[],3,0)</f>
        <v>Осень 2026</v>
      </c>
      <c r="N1677" s="54">
        <f>VLOOKUP(_stats[[#This Row],[tournament]],tournaments_n_rules[],4,0)</f>
        <v>46285</v>
      </c>
      <c r="O1677" s="54">
        <f>VLOOKUP(_stats[[#This Row],[tournament]],tournaments_n_rules[],5,0)</f>
        <v>46356</v>
      </c>
    </row>
    <row r="1678" spans="1:15" x14ac:dyDescent="0.25">
      <c r="A1678" s="6">
        <v>46306</v>
      </c>
      <c r="B1678" s="72">
        <v>2</v>
      </c>
      <c r="C1678" s="104" t="s">
        <v>8</v>
      </c>
      <c r="D1678" s="10" t="str">
        <f>IFERROR(VLOOKUP(_stats[[#This Row],[player_id]],_players[[player_id]:[player_name]],2,0),"")</f>
        <v>Костя</v>
      </c>
      <c r="E1678" s="72">
        <v>4</v>
      </c>
      <c r="F1678" s="102">
        <v>3</v>
      </c>
      <c r="G1678" s="10">
        <f>SUMIFS(_teams[wins_on_date],_teams[date],_stats[[#This Row],[date]],_teams[team_number],_stats[[#This Row],[team_number]])</f>
        <v>9</v>
      </c>
      <c r="H1678" s="10">
        <f>SUMIFS(_teams[draws_on_date],_teams[date],_stats[[#This Row],[date]],_teams[team_number],_stats[[#This Row],[team_number]])</f>
        <v>2</v>
      </c>
      <c r="I1678" s="72">
        <v>0</v>
      </c>
      <c r="J1678" s="104">
        <v>1</v>
      </c>
      <c r="K1678" s="72">
        <v>9</v>
      </c>
      <c r="L1678" s="53">
        <f>VLOOKUP(_stats[[#This Row],[tournament]],tournaments_n_rules[],2,0)</f>
        <v>1747</v>
      </c>
      <c r="M1678" s="53" t="str">
        <f>VLOOKUP(_stats[[#This Row],[tournament]],tournaments_n_rules[],3,0)</f>
        <v>Осень 2026</v>
      </c>
      <c r="N1678" s="54">
        <f>VLOOKUP(_stats[[#This Row],[tournament]],tournaments_n_rules[],4,0)</f>
        <v>46285</v>
      </c>
      <c r="O1678" s="54">
        <f>VLOOKUP(_stats[[#This Row],[tournament]],tournaments_n_rules[],5,0)</f>
        <v>46356</v>
      </c>
    </row>
    <row r="1679" spans="1:15" x14ac:dyDescent="0.25">
      <c r="A1679" s="6">
        <v>46306</v>
      </c>
      <c r="B1679" s="72">
        <v>1</v>
      </c>
      <c r="C1679" s="104" t="s">
        <v>19</v>
      </c>
      <c r="D1679" s="10" t="str">
        <f>IFERROR(VLOOKUP(_stats[[#This Row],[player_id]],_players[[player_id]:[player_name]],2,0),"")</f>
        <v>Олег Шишкин</v>
      </c>
      <c r="E1679" s="72">
        <v>0</v>
      </c>
      <c r="F1679" s="102">
        <v>0</v>
      </c>
      <c r="G1679" s="10">
        <f>SUMIFS(_teams[wins_on_date],_teams[date],_stats[[#This Row],[date]],_teams[team_number],_stats[[#This Row],[team_number]])</f>
        <v>3</v>
      </c>
      <c r="H1679" s="10">
        <f>SUMIFS(_teams[draws_on_date],_teams[date],_stats[[#This Row],[date]],_teams[team_number],_stats[[#This Row],[team_number]])</f>
        <v>3</v>
      </c>
      <c r="I1679" s="72">
        <v>0</v>
      </c>
      <c r="J1679" s="104">
        <v>0</v>
      </c>
      <c r="K1679" s="72">
        <v>9</v>
      </c>
      <c r="L1679" s="53">
        <f>VLOOKUP(_stats[[#This Row],[tournament]],tournaments_n_rules[],2,0)</f>
        <v>1747</v>
      </c>
      <c r="M1679" s="53" t="str">
        <f>VLOOKUP(_stats[[#This Row],[tournament]],tournaments_n_rules[],3,0)</f>
        <v>Осень 2026</v>
      </c>
      <c r="N1679" s="54">
        <f>VLOOKUP(_stats[[#This Row],[tournament]],tournaments_n_rules[],4,0)</f>
        <v>46285</v>
      </c>
      <c r="O1679" s="54">
        <f>VLOOKUP(_stats[[#This Row],[tournament]],tournaments_n_rules[],5,0)</f>
        <v>46356</v>
      </c>
    </row>
    <row r="1680" spans="1:15" x14ac:dyDescent="0.25">
      <c r="A1680" s="6">
        <v>46306</v>
      </c>
      <c r="B1680" s="72">
        <v>1</v>
      </c>
      <c r="C1680" s="104" t="s">
        <v>48</v>
      </c>
      <c r="D1680" s="10" t="str">
        <f>IFERROR(VLOOKUP(_stats[[#This Row],[player_id]],_players[[player_id]:[player_name]],2,0),"")</f>
        <v>Андрей (АК+1)</v>
      </c>
      <c r="E1680" s="72">
        <v>0</v>
      </c>
      <c r="F1680" s="102">
        <v>0</v>
      </c>
      <c r="G1680" s="10">
        <f>SUMIFS(_teams[wins_on_date],_teams[date],_stats[[#This Row],[date]],_teams[team_number],_stats[[#This Row],[team_number]])</f>
        <v>3</v>
      </c>
      <c r="H1680" s="10">
        <f>SUMIFS(_teams[draws_on_date],_teams[date],_stats[[#This Row],[date]],_teams[team_number],_stats[[#This Row],[team_number]])</f>
        <v>3</v>
      </c>
      <c r="I1680" s="72">
        <v>0</v>
      </c>
      <c r="J1680" s="104">
        <v>0</v>
      </c>
      <c r="K1680" s="72">
        <v>9</v>
      </c>
      <c r="L1680" s="53">
        <f>VLOOKUP(_stats[[#This Row],[tournament]],tournaments_n_rules[],2,0)</f>
        <v>1747</v>
      </c>
      <c r="M1680" s="53" t="str">
        <f>VLOOKUP(_stats[[#This Row],[tournament]],tournaments_n_rules[],3,0)</f>
        <v>Осень 2026</v>
      </c>
      <c r="N1680" s="54">
        <f>VLOOKUP(_stats[[#This Row],[tournament]],tournaments_n_rules[],4,0)</f>
        <v>46285</v>
      </c>
      <c r="O1680" s="54">
        <f>VLOOKUP(_stats[[#This Row],[tournament]],tournaments_n_rules[],5,0)</f>
        <v>46356</v>
      </c>
    </row>
    <row r="1681" spans="1:15" x14ac:dyDescent="0.25">
      <c r="A1681" s="6">
        <v>46306</v>
      </c>
      <c r="B1681" s="72">
        <v>3</v>
      </c>
      <c r="C1681" s="104" t="s">
        <v>69</v>
      </c>
      <c r="D1681" s="10" t="str">
        <f>IFERROR(VLOOKUP(_stats[[#This Row],[player_id]],_players[[player_id]:[player_name]],2,0),"")</f>
        <v>Анашкин</v>
      </c>
      <c r="E1681" s="72">
        <v>1</v>
      </c>
      <c r="F1681" s="102">
        <v>0</v>
      </c>
      <c r="G1681" s="10">
        <f>SUMIFS(_teams[wins_on_date],_teams[date],_stats[[#This Row],[date]],_teams[team_number],_stats[[#This Row],[team_number]])</f>
        <v>3</v>
      </c>
      <c r="H1681" s="10">
        <f>SUMIFS(_teams[draws_on_date],_teams[date],_stats[[#This Row],[date]],_teams[team_number],_stats[[#This Row],[team_number]])</f>
        <v>2</v>
      </c>
      <c r="I1681" s="72">
        <v>0</v>
      </c>
      <c r="J1681" s="104">
        <v>1</v>
      </c>
      <c r="K1681" s="72">
        <v>9</v>
      </c>
      <c r="L1681" s="53">
        <f>VLOOKUP(_stats[[#This Row],[tournament]],tournaments_n_rules[],2,0)</f>
        <v>1747</v>
      </c>
      <c r="M1681" s="53" t="str">
        <f>VLOOKUP(_stats[[#This Row],[tournament]],tournaments_n_rules[],3,0)</f>
        <v>Осень 2026</v>
      </c>
      <c r="N1681" s="54">
        <f>VLOOKUP(_stats[[#This Row],[tournament]],tournaments_n_rules[],4,0)</f>
        <v>46285</v>
      </c>
      <c r="O1681" s="54">
        <f>VLOOKUP(_stats[[#This Row],[tournament]],tournaments_n_rules[],5,0)</f>
        <v>46356</v>
      </c>
    </row>
    <row r="1682" spans="1:15" x14ac:dyDescent="0.25">
      <c r="A1682" s="6">
        <v>46306</v>
      </c>
      <c r="B1682" s="72">
        <v>2</v>
      </c>
      <c r="C1682" s="104" t="s">
        <v>142</v>
      </c>
      <c r="D1682" s="10" t="str">
        <f>IFERROR(VLOOKUP(_stats[[#This Row],[player_id]],_players[[player_id]:[player_name]],2,0),"")</f>
        <v>Сурэн</v>
      </c>
      <c r="E1682" s="72">
        <v>1</v>
      </c>
      <c r="F1682" s="102">
        <v>3</v>
      </c>
      <c r="G1682" s="10">
        <f>SUMIFS(_teams[wins_on_date],_teams[date],_stats[[#This Row],[date]],_teams[team_number],_stats[[#This Row],[team_number]])</f>
        <v>9</v>
      </c>
      <c r="H1682" s="10">
        <f>SUMIFS(_teams[draws_on_date],_teams[date],_stats[[#This Row],[date]],_teams[team_number],_stats[[#This Row],[team_number]])</f>
        <v>2</v>
      </c>
      <c r="I1682" s="72">
        <v>0</v>
      </c>
      <c r="J1682" s="104">
        <v>0</v>
      </c>
      <c r="K1682" s="72">
        <v>9</v>
      </c>
      <c r="L1682" s="53">
        <f>VLOOKUP(_stats[[#This Row],[tournament]],tournaments_n_rules[],2,0)</f>
        <v>1747</v>
      </c>
      <c r="M1682" s="53" t="str">
        <f>VLOOKUP(_stats[[#This Row],[tournament]],tournaments_n_rules[],3,0)</f>
        <v>Осень 2026</v>
      </c>
      <c r="N1682" s="54">
        <f>VLOOKUP(_stats[[#This Row],[tournament]],tournaments_n_rules[],4,0)</f>
        <v>46285</v>
      </c>
      <c r="O1682" s="54">
        <f>VLOOKUP(_stats[[#This Row],[tournament]],tournaments_n_rules[],5,0)</f>
        <v>46356</v>
      </c>
    </row>
    <row r="1683" spans="1:15" x14ac:dyDescent="0.25">
      <c r="A1683" s="6">
        <v>46306</v>
      </c>
      <c r="B1683" s="72">
        <v>1</v>
      </c>
      <c r="C1683" s="104" t="s">
        <v>17</v>
      </c>
      <c r="D1683" s="10" t="str">
        <f>IFERROR(VLOOKUP(_stats[[#This Row],[player_id]],_players[[player_id]:[player_name]],2,0),"")</f>
        <v>Юра Пименов</v>
      </c>
      <c r="E1683" s="72">
        <v>1</v>
      </c>
      <c r="F1683" s="102">
        <v>3</v>
      </c>
      <c r="G1683" s="10">
        <f>SUMIFS(_teams[wins_on_date],_teams[date],_stats[[#This Row],[date]],_teams[team_number],_stats[[#This Row],[team_number]])</f>
        <v>3</v>
      </c>
      <c r="H1683" s="10">
        <f>SUMIFS(_teams[draws_on_date],_teams[date],_stats[[#This Row],[date]],_teams[team_number],_stats[[#This Row],[team_number]])</f>
        <v>3</v>
      </c>
      <c r="I1683" s="72">
        <v>0</v>
      </c>
      <c r="J1683" s="104">
        <v>0</v>
      </c>
      <c r="K1683" s="72">
        <v>9</v>
      </c>
      <c r="L1683" s="53">
        <f>VLOOKUP(_stats[[#This Row],[tournament]],tournaments_n_rules[],2,0)</f>
        <v>1747</v>
      </c>
      <c r="M1683" s="53" t="str">
        <f>VLOOKUP(_stats[[#This Row],[tournament]],tournaments_n_rules[],3,0)</f>
        <v>Осень 2026</v>
      </c>
      <c r="N1683" s="54">
        <f>VLOOKUP(_stats[[#This Row],[tournament]],tournaments_n_rules[],4,0)</f>
        <v>46285</v>
      </c>
      <c r="O1683" s="54">
        <f>VLOOKUP(_stats[[#This Row],[tournament]],tournaments_n_rules[],5,0)</f>
        <v>46356</v>
      </c>
    </row>
    <row r="1684" spans="1:15" x14ac:dyDescent="0.25">
      <c r="A1684" s="6">
        <v>46306</v>
      </c>
      <c r="B1684" s="72">
        <v>3</v>
      </c>
      <c r="C1684" s="104" t="s">
        <v>125</v>
      </c>
      <c r="D1684" s="10" t="str">
        <f>IFERROR(VLOOKUP(_stats[[#This Row],[player_id]],_players[[player_id]:[player_name]],2,0),"")</f>
        <v>Арги</v>
      </c>
      <c r="E1684" s="72">
        <v>0</v>
      </c>
      <c r="F1684" s="102">
        <v>0</v>
      </c>
      <c r="G1684" s="10">
        <f>SUMIFS(_teams[wins_on_date],_teams[date],_stats[[#This Row],[date]],_teams[team_number],_stats[[#This Row],[team_number]])</f>
        <v>3</v>
      </c>
      <c r="H1684" s="10">
        <f>SUMIFS(_teams[draws_on_date],_teams[date],_stats[[#This Row],[date]],_teams[team_number],_stats[[#This Row],[team_number]])</f>
        <v>2</v>
      </c>
      <c r="I1684" s="72">
        <v>0</v>
      </c>
      <c r="J1684" s="104">
        <v>0</v>
      </c>
      <c r="K1684" s="72">
        <v>9</v>
      </c>
      <c r="L1684" s="53">
        <f>VLOOKUP(_stats[[#This Row],[tournament]],tournaments_n_rules[],2,0)</f>
        <v>1747</v>
      </c>
      <c r="M1684" s="53" t="str">
        <f>VLOOKUP(_stats[[#This Row],[tournament]],tournaments_n_rules[],3,0)</f>
        <v>Осень 2026</v>
      </c>
      <c r="N1684" s="54">
        <f>VLOOKUP(_stats[[#This Row],[tournament]],tournaments_n_rules[],4,0)</f>
        <v>46285</v>
      </c>
      <c r="O1684" s="54">
        <f>VLOOKUP(_stats[[#This Row],[tournament]],tournaments_n_rules[],5,0)</f>
        <v>46356</v>
      </c>
    </row>
    <row r="1685" spans="1:15" x14ac:dyDescent="0.25">
      <c r="A1685" s="6">
        <v>46306</v>
      </c>
      <c r="B1685" s="72">
        <v>1</v>
      </c>
      <c r="C1685" s="104" t="s">
        <v>64</v>
      </c>
      <c r="D1685" s="10" t="str">
        <f>IFERROR(VLOOKUP(_stats[[#This Row],[player_id]],_players[[player_id]:[player_name]],2,0),"")</f>
        <v>Никита (АК+1)</v>
      </c>
      <c r="E1685" s="72">
        <v>5</v>
      </c>
      <c r="F1685" s="102">
        <v>0</v>
      </c>
      <c r="G1685" s="10">
        <f>SUMIFS(_teams[wins_on_date],_teams[date],_stats[[#This Row],[date]],_teams[team_number],_stats[[#This Row],[team_number]])</f>
        <v>3</v>
      </c>
      <c r="H1685" s="10">
        <f>SUMIFS(_teams[draws_on_date],_teams[date],_stats[[#This Row],[date]],_teams[team_number],_stats[[#This Row],[team_number]])</f>
        <v>3</v>
      </c>
      <c r="I1685" s="72">
        <v>0</v>
      </c>
      <c r="J1685" s="104">
        <v>0</v>
      </c>
      <c r="K1685" s="72">
        <v>9</v>
      </c>
      <c r="L1685" s="53">
        <f>VLOOKUP(_stats[[#This Row],[tournament]],tournaments_n_rules[],2,0)</f>
        <v>1747</v>
      </c>
      <c r="M1685" s="53" t="str">
        <f>VLOOKUP(_stats[[#This Row],[tournament]],tournaments_n_rules[],3,0)</f>
        <v>Осень 2026</v>
      </c>
      <c r="N1685" s="54">
        <f>VLOOKUP(_stats[[#This Row],[tournament]],tournaments_n_rules[],4,0)</f>
        <v>46285</v>
      </c>
      <c r="O1685" s="54">
        <f>VLOOKUP(_stats[[#This Row],[tournament]],tournaments_n_rules[],5,0)</f>
        <v>46356</v>
      </c>
    </row>
    <row r="1686" spans="1:15" x14ac:dyDescent="0.25">
      <c r="A1686" s="6">
        <v>46306</v>
      </c>
      <c r="B1686" s="72">
        <v>4</v>
      </c>
      <c r="C1686" s="104" t="s">
        <v>97</v>
      </c>
      <c r="D1686" s="10" t="str">
        <f>IFERROR(VLOOKUP(_stats[[#This Row],[player_id]],_players[[player_id]:[player_name]],2,0),"")</f>
        <v>Умар (Женя+1)</v>
      </c>
      <c r="E1686" s="72">
        <v>2</v>
      </c>
      <c r="F1686" s="102">
        <v>2</v>
      </c>
      <c r="G1686" s="10">
        <f>SUMIFS(_teams[wins_on_date],_teams[date],_stats[[#This Row],[date]],_teams[team_number],_stats[[#This Row],[team_number]])</f>
        <v>1</v>
      </c>
      <c r="H1686" s="10">
        <f>SUMIFS(_teams[draws_on_date],_teams[date],_stats[[#This Row],[date]],_teams[team_number],_stats[[#This Row],[team_number]])</f>
        <v>1</v>
      </c>
      <c r="I1686" s="72">
        <v>0</v>
      </c>
      <c r="J1686" s="104">
        <v>0</v>
      </c>
      <c r="K1686" s="72">
        <v>9</v>
      </c>
      <c r="L1686" s="53">
        <f>VLOOKUP(_stats[[#This Row],[tournament]],tournaments_n_rules[],2,0)</f>
        <v>1747</v>
      </c>
      <c r="M1686" s="53" t="str">
        <f>VLOOKUP(_stats[[#This Row],[tournament]],tournaments_n_rules[],3,0)</f>
        <v>Осень 2026</v>
      </c>
      <c r="N1686" s="54">
        <f>VLOOKUP(_stats[[#This Row],[tournament]],tournaments_n_rules[],4,0)</f>
        <v>46285</v>
      </c>
      <c r="O1686" s="54">
        <f>VLOOKUP(_stats[[#This Row],[tournament]],tournaments_n_rules[],5,0)</f>
        <v>46356</v>
      </c>
    </row>
    <row r="1687" spans="1:15" x14ac:dyDescent="0.25">
      <c r="A1687" s="6">
        <v>46306</v>
      </c>
      <c r="B1687" s="72">
        <v>3</v>
      </c>
      <c r="C1687" s="104" t="s">
        <v>22</v>
      </c>
      <c r="D1687" s="10" t="str">
        <f>IFERROR(VLOOKUP(_stats[[#This Row],[player_id]],_players[[player_id]:[player_name]],2,0),"")</f>
        <v>Расул</v>
      </c>
      <c r="E1687" s="72">
        <v>0</v>
      </c>
      <c r="F1687" s="102">
        <v>2</v>
      </c>
      <c r="G1687" s="10">
        <f>SUMIFS(_teams[wins_on_date],_teams[date],_stats[[#This Row],[date]],_teams[team_number],_stats[[#This Row],[team_number]])</f>
        <v>3</v>
      </c>
      <c r="H1687" s="10">
        <f>SUMIFS(_teams[draws_on_date],_teams[date],_stats[[#This Row],[date]],_teams[team_number],_stats[[#This Row],[team_number]])</f>
        <v>2</v>
      </c>
      <c r="I1687" s="72">
        <v>0</v>
      </c>
      <c r="J1687" s="104">
        <v>0</v>
      </c>
      <c r="K1687" s="72">
        <v>9</v>
      </c>
      <c r="L1687" s="53">
        <f>VLOOKUP(_stats[[#This Row],[tournament]],tournaments_n_rules[],2,0)</f>
        <v>1747</v>
      </c>
      <c r="M1687" s="53" t="str">
        <f>VLOOKUP(_stats[[#This Row],[tournament]],tournaments_n_rules[],3,0)</f>
        <v>Осень 2026</v>
      </c>
      <c r="N1687" s="54">
        <f>VLOOKUP(_stats[[#This Row],[tournament]],tournaments_n_rules[],4,0)</f>
        <v>46285</v>
      </c>
      <c r="O1687" s="54">
        <f>VLOOKUP(_stats[[#This Row],[tournament]],tournaments_n_rules[],5,0)</f>
        <v>46356</v>
      </c>
    </row>
    <row r="1688" spans="1:15" x14ac:dyDescent="0.25">
      <c r="A1688" s="6">
        <v>46306</v>
      </c>
      <c r="B1688" s="72">
        <v>2</v>
      </c>
      <c r="C1688" s="104" t="s">
        <v>320</v>
      </c>
      <c r="D1688" s="10" t="str">
        <f>IFERROR(VLOOKUP(_stats[[#This Row],[player_id]],_players[[player_id]:[player_name]],2,0),"")</f>
        <v>Сокол</v>
      </c>
      <c r="E1688" s="72">
        <v>1</v>
      </c>
      <c r="F1688" s="102">
        <v>1</v>
      </c>
      <c r="G1688" s="10">
        <f>SUMIFS(_teams[wins_on_date],_teams[date],_stats[[#This Row],[date]],_teams[team_number],_stats[[#This Row],[team_number]])</f>
        <v>9</v>
      </c>
      <c r="H1688" s="10">
        <f>SUMIFS(_teams[draws_on_date],_teams[date],_stats[[#This Row],[date]],_teams[team_number],_stats[[#This Row],[team_number]])</f>
        <v>2</v>
      </c>
      <c r="I1688" s="72">
        <v>0</v>
      </c>
      <c r="J1688" s="104">
        <v>0</v>
      </c>
      <c r="K1688" s="72">
        <v>9</v>
      </c>
      <c r="L1688" s="53">
        <f>VLOOKUP(_stats[[#This Row],[tournament]],tournaments_n_rules[],2,0)</f>
        <v>1747</v>
      </c>
      <c r="M1688" s="53" t="str">
        <f>VLOOKUP(_stats[[#This Row],[tournament]],tournaments_n_rules[],3,0)</f>
        <v>Осень 2026</v>
      </c>
      <c r="N1688" s="54">
        <f>VLOOKUP(_stats[[#This Row],[tournament]],tournaments_n_rules[],4,0)</f>
        <v>46285</v>
      </c>
      <c r="O1688" s="54">
        <f>VLOOKUP(_stats[[#This Row],[tournament]],tournaments_n_rules[],5,0)</f>
        <v>46356</v>
      </c>
    </row>
    <row r="1689" spans="1:15" x14ac:dyDescent="0.25">
      <c r="A1689" s="6">
        <v>46306</v>
      </c>
      <c r="B1689" s="72">
        <v>3</v>
      </c>
      <c r="C1689" s="104" t="s">
        <v>135</v>
      </c>
      <c r="D1689" s="10" t="str">
        <f>IFERROR(VLOOKUP(_stats[[#This Row],[player_id]],_players[[player_id]:[player_name]],2,0),"")</f>
        <v>Мага (Руб+1)</v>
      </c>
      <c r="E1689" s="72">
        <v>1</v>
      </c>
      <c r="F1689" s="102">
        <v>1</v>
      </c>
      <c r="G1689" s="10">
        <f>SUMIFS(_teams[wins_on_date],_teams[date],_stats[[#This Row],[date]],_teams[team_number],_stats[[#This Row],[team_number]])</f>
        <v>3</v>
      </c>
      <c r="H1689" s="10">
        <f>SUMIFS(_teams[draws_on_date],_teams[date],_stats[[#This Row],[date]],_teams[team_number],_stats[[#This Row],[team_number]])</f>
        <v>2</v>
      </c>
      <c r="I1689" s="72">
        <v>1</v>
      </c>
      <c r="J1689" s="104">
        <v>0</v>
      </c>
      <c r="K1689" s="72">
        <v>9</v>
      </c>
      <c r="L1689" s="53">
        <f>VLOOKUP(_stats[[#This Row],[tournament]],tournaments_n_rules[],2,0)</f>
        <v>1747</v>
      </c>
      <c r="M1689" s="53" t="str">
        <f>VLOOKUP(_stats[[#This Row],[tournament]],tournaments_n_rules[],3,0)</f>
        <v>Осень 2026</v>
      </c>
      <c r="N1689" s="54">
        <f>VLOOKUP(_stats[[#This Row],[tournament]],tournaments_n_rules[],4,0)</f>
        <v>46285</v>
      </c>
      <c r="O1689" s="54">
        <f>VLOOKUP(_stats[[#This Row],[tournament]],tournaments_n_rules[],5,0)</f>
        <v>46356</v>
      </c>
    </row>
    <row r="1690" spans="1:15" x14ac:dyDescent="0.25">
      <c r="A1690" s="6">
        <v>46306</v>
      </c>
      <c r="B1690" s="72">
        <v>3</v>
      </c>
      <c r="C1690" s="104" t="s">
        <v>13</v>
      </c>
      <c r="D1690" s="10" t="str">
        <f>IFERROR(VLOOKUP(_stats[[#This Row],[player_id]],_players[[player_id]:[player_name]],2,0),"")</f>
        <v>Нурик</v>
      </c>
      <c r="E1690" s="72">
        <v>3</v>
      </c>
      <c r="F1690" s="102">
        <v>1</v>
      </c>
      <c r="G1690" s="10">
        <f>SUMIFS(_teams[wins_on_date],_teams[date],_stats[[#This Row],[date]],_teams[team_number],_stats[[#This Row],[team_number]])</f>
        <v>3</v>
      </c>
      <c r="H1690" s="10">
        <f>SUMIFS(_teams[draws_on_date],_teams[date],_stats[[#This Row],[date]],_teams[team_number],_stats[[#This Row],[team_number]])</f>
        <v>2</v>
      </c>
      <c r="I1690" s="72">
        <v>0</v>
      </c>
      <c r="J1690" s="104">
        <v>0</v>
      </c>
      <c r="K1690" s="72">
        <v>9</v>
      </c>
      <c r="L1690" s="53">
        <f>VLOOKUP(_stats[[#This Row],[tournament]],tournaments_n_rules[],2,0)</f>
        <v>1747</v>
      </c>
      <c r="M1690" s="53" t="str">
        <f>VLOOKUP(_stats[[#This Row],[tournament]],tournaments_n_rules[],3,0)</f>
        <v>Осень 2026</v>
      </c>
      <c r="N1690" s="54">
        <f>VLOOKUP(_stats[[#This Row],[tournament]],tournaments_n_rules[],4,0)</f>
        <v>46285</v>
      </c>
      <c r="O1690" s="54">
        <f>VLOOKUP(_stats[[#This Row],[tournament]],tournaments_n_rules[],5,0)</f>
        <v>46356</v>
      </c>
    </row>
    <row r="1691" spans="1:15" x14ac:dyDescent="0.25">
      <c r="A1691" s="6">
        <v>46306</v>
      </c>
      <c r="B1691" s="72">
        <v>1</v>
      </c>
      <c r="C1691" s="104" t="s">
        <v>30</v>
      </c>
      <c r="D1691" s="10" t="str">
        <f>IFERROR(VLOOKUP(_stats[[#This Row],[player_id]],_players[[player_id]:[player_name]],2,0),"")</f>
        <v>Кирилл Попов</v>
      </c>
      <c r="E1691" s="72">
        <v>1</v>
      </c>
      <c r="F1691" s="102">
        <v>1</v>
      </c>
      <c r="G1691" s="10">
        <f>SUMIFS(_teams[wins_on_date],_teams[date],_stats[[#This Row],[date]],_teams[team_number],_stats[[#This Row],[team_number]])</f>
        <v>3</v>
      </c>
      <c r="H1691" s="10">
        <f>SUMIFS(_teams[draws_on_date],_teams[date],_stats[[#This Row],[date]],_teams[team_number],_stats[[#This Row],[team_number]])</f>
        <v>3</v>
      </c>
      <c r="I1691" s="72">
        <v>0</v>
      </c>
      <c r="J1691" s="104">
        <v>0</v>
      </c>
      <c r="K1691" s="72">
        <v>9</v>
      </c>
      <c r="L1691" s="53">
        <f>VLOOKUP(_stats[[#This Row],[tournament]],tournaments_n_rules[],2,0)</f>
        <v>1747</v>
      </c>
      <c r="M1691" s="53" t="str">
        <f>VLOOKUP(_stats[[#This Row],[tournament]],tournaments_n_rules[],3,0)</f>
        <v>Осень 2026</v>
      </c>
      <c r="N1691" s="54">
        <f>VLOOKUP(_stats[[#This Row],[tournament]],tournaments_n_rules[],4,0)</f>
        <v>46285</v>
      </c>
      <c r="O1691" s="54">
        <f>VLOOKUP(_stats[[#This Row],[tournament]],tournaments_n_rules[],5,0)</f>
        <v>46356</v>
      </c>
    </row>
    <row r="1692" spans="1:15" x14ac:dyDescent="0.25">
      <c r="A1692" s="6">
        <v>46306</v>
      </c>
      <c r="B1692" s="72">
        <v>2</v>
      </c>
      <c r="C1692" s="104" t="s">
        <v>157</v>
      </c>
      <c r="D1692" s="10" t="str">
        <f>IFERROR(VLOOKUP(_stats[[#This Row],[player_id]],_players[[player_id]:[player_name]],2,0),"")</f>
        <v>Никита (Сурэн+1)</v>
      </c>
      <c r="E1692" s="72">
        <v>4</v>
      </c>
      <c r="F1692" s="102">
        <v>1</v>
      </c>
      <c r="G1692" s="10">
        <f>SUMIFS(_teams[wins_on_date],_teams[date],_stats[[#This Row],[date]],_teams[team_number],_stats[[#This Row],[team_number]])</f>
        <v>9</v>
      </c>
      <c r="H1692" s="10">
        <f>SUMIFS(_teams[draws_on_date],_teams[date],_stats[[#This Row],[date]],_teams[team_number],_stats[[#This Row],[team_number]])</f>
        <v>2</v>
      </c>
      <c r="I1692" s="72">
        <v>0</v>
      </c>
      <c r="J1692" s="104">
        <v>0</v>
      </c>
      <c r="K1692" s="72">
        <v>9</v>
      </c>
      <c r="L1692" s="53">
        <f>VLOOKUP(_stats[[#This Row],[tournament]],tournaments_n_rules[],2,0)</f>
        <v>1747</v>
      </c>
      <c r="M1692" s="53" t="str">
        <f>VLOOKUP(_stats[[#This Row],[tournament]],tournaments_n_rules[],3,0)</f>
        <v>Осень 2026</v>
      </c>
      <c r="N1692" s="54">
        <f>VLOOKUP(_stats[[#This Row],[tournament]],tournaments_n_rules[],4,0)</f>
        <v>46285</v>
      </c>
      <c r="O1692" s="54">
        <f>VLOOKUP(_stats[[#This Row],[tournament]],tournaments_n_rules[],5,0)</f>
        <v>46356</v>
      </c>
    </row>
    <row r="1693" spans="1:15" x14ac:dyDescent="0.25">
      <c r="A1693" s="6">
        <v>46306</v>
      </c>
      <c r="B1693" s="72">
        <v>1</v>
      </c>
      <c r="C1693" s="104" t="s">
        <v>26</v>
      </c>
      <c r="D1693" s="10" t="str">
        <f>IFERROR(VLOOKUP(_stats[[#This Row],[player_id]],_players[[player_id]:[player_name]],2,0),"")</f>
        <v>Игорь Фомичев</v>
      </c>
      <c r="E1693" s="72">
        <v>0</v>
      </c>
      <c r="F1693" s="102">
        <v>0</v>
      </c>
      <c r="G1693" s="10">
        <f>SUMIFS(_teams[wins_on_date],_teams[date],_stats[[#This Row],[date]],_teams[team_number],_stats[[#This Row],[team_number]])</f>
        <v>3</v>
      </c>
      <c r="H1693" s="10">
        <f>SUMIFS(_teams[draws_on_date],_teams[date],_stats[[#This Row],[date]],_teams[team_number],_stats[[#This Row],[team_number]])</f>
        <v>3</v>
      </c>
      <c r="I1693" s="72">
        <v>0</v>
      </c>
      <c r="J1693" s="104">
        <v>0</v>
      </c>
      <c r="K1693" s="72">
        <v>9</v>
      </c>
      <c r="L1693" s="53">
        <f>VLOOKUP(_stats[[#This Row],[tournament]],tournaments_n_rules[],2,0)</f>
        <v>1747</v>
      </c>
      <c r="M1693" s="53" t="str">
        <f>VLOOKUP(_stats[[#This Row],[tournament]],tournaments_n_rules[],3,0)</f>
        <v>Осень 2026</v>
      </c>
      <c r="N1693" s="54">
        <f>VLOOKUP(_stats[[#This Row],[tournament]],tournaments_n_rules[],4,0)</f>
        <v>46285</v>
      </c>
      <c r="O1693" s="54">
        <f>VLOOKUP(_stats[[#This Row],[tournament]],tournaments_n_rules[],5,0)</f>
        <v>46356</v>
      </c>
    </row>
    <row r="1694" spans="1:15" x14ac:dyDescent="0.25">
      <c r="A1694" s="6">
        <v>46306</v>
      </c>
      <c r="B1694" s="72">
        <v>4</v>
      </c>
      <c r="C1694" s="104" t="s">
        <v>323</v>
      </c>
      <c r="D1694" s="10" t="str">
        <f>IFERROR(VLOOKUP(_stats[[#This Row],[player_id]],_players[[player_id]:[player_name]],2,0),"")</f>
        <v>Дима (Рашид+1)</v>
      </c>
      <c r="E1694" s="72">
        <v>0</v>
      </c>
      <c r="F1694" s="102">
        <v>0</v>
      </c>
      <c r="G1694" s="10">
        <f>SUMIFS(_teams[wins_on_date],_teams[date],_stats[[#This Row],[date]],_teams[team_number],_stats[[#This Row],[team_number]])</f>
        <v>1</v>
      </c>
      <c r="H1694" s="10">
        <f>SUMIFS(_teams[draws_on_date],_teams[date],_stats[[#This Row],[date]],_teams[team_number],_stats[[#This Row],[team_number]])</f>
        <v>1</v>
      </c>
      <c r="I1694" s="72">
        <v>0</v>
      </c>
      <c r="J1694" s="104">
        <v>0</v>
      </c>
      <c r="K1694" s="72">
        <v>9</v>
      </c>
      <c r="L1694" s="53">
        <f>VLOOKUP(_stats[[#This Row],[tournament]],tournaments_n_rules[],2,0)</f>
        <v>1747</v>
      </c>
      <c r="M1694" s="53" t="str">
        <f>VLOOKUP(_stats[[#This Row],[tournament]],tournaments_n_rules[],3,0)</f>
        <v>Осень 2026</v>
      </c>
      <c r="N1694" s="54">
        <f>VLOOKUP(_stats[[#This Row],[tournament]],tournaments_n_rules[],4,0)</f>
        <v>46285</v>
      </c>
      <c r="O1694" s="54">
        <f>VLOOKUP(_stats[[#This Row],[tournament]],tournaments_n_rules[],5,0)</f>
        <v>46356</v>
      </c>
    </row>
    <row r="1695" spans="1:15" x14ac:dyDescent="0.25">
      <c r="A1695" s="6">
        <v>46306</v>
      </c>
      <c r="B1695" s="72">
        <v>2</v>
      </c>
      <c r="C1695" s="104" t="s">
        <v>28</v>
      </c>
      <c r="D1695" s="10" t="str">
        <f>IFERROR(VLOOKUP(_stats[[#This Row],[player_id]],_players[[player_id]:[player_name]],2,0),"")</f>
        <v>Витя</v>
      </c>
      <c r="E1695" s="72">
        <v>1</v>
      </c>
      <c r="F1695" s="102">
        <v>1</v>
      </c>
      <c r="G1695" s="10">
        <f>SUMIFS(_teams[wins_on_date],_teams[date],_stats[[#This Row],[date]],_teams[team_number],_stats[[#This Row],[team_number]])</f>
        <v>9</v>
      </c>
      <c r="H1695" s="10">
        <f>SUMIFS(_teams[draws_on_date],_teams[date],_stats[[#This Row],[date]],_teams[team_number],_stats[[#This Row],[team_number]])</f>
        <v>2</v>
      </c>
      <c r="I1695" s="72">
        <v>0</v>
      </c>
      <c r="J1695" s="104">
        <v>0</v>
      </c>
      <c r="K1695" s="72">
        <v>9</v>
      </c>
      <c r="L1695" s="53">
        <f>VLOOKUP(_stats[[#This Row],[tournament]],tournaments_n_rules[],2,0)</f>
        <v>1747</v>
      </c>
      <c r="M1695" s="53" t="str">
        <f>VLOOKUP(_stats[[#This Row],[tournament]],tournaments_n_rules[],3,0)</f>
        <v>Осень 2026</v>
      </c>
      <c r="N1695" s="54">
        <f>VLOOKUP(_stats[[#This Row],[tournament]],tournaments_n_rules[],4,0)</f>
        <v>46285</v>
      </c>
      <c r="O1695" s="54">
        <f>VLOOKUP(_stats[[#This Row],[tournament]],tournaments_n_rules[],5,0)</f>
        <v>46356</v>
      </c>
    </row>
    <row r="1696" spans="1:15" x14ac:dyDescent="0.25">
      <c r="A1696" s="6">
        <v>46306</v>
      </c>
      <c r="B1696" s="72">
        <v>4</v>
      </c>
      <c r="C1696" s="104" t="s">
        <v>53</v>
      </c>
      <c r="D1696" s="10" t="str">
        <f>IFERROR(VLOOKUP(_stats[[#This Row],[player_id]],_players[[player_id]:[player_name]],2,0),"")</f>
        <v>Даня (сын Вити)</v>
      </c>
      <c r="E1696" s="72">
        <v>0</v>
      </c>
      <c r="F1696" s="102">
        <v>0</v>
      </c>
      <c r="G1696" s="10">
        <f>SUMIFS(_teams[wins_on_date],_teams[date],_stats[[#This Row],[date]],_teams[team_number],_stats[[#This Row],[team_number]])</f>
        <v>1</v>
      </c>
      <c r="H1696" s="10">
        <f>SUMIFS(_teams[draws_on_date],_teams[date],_stats[[#This Row],[date]],_teams[team_number],_stats[[#This Row],[team_number]])</f>
        <v>1</v>
      </c>
      <c r="I1696" s="72">
        <v>0</v>
      </c>
      <c r="J1696" s="104">
        <v>0</v>
      </c>
      <c r="K1696" s="72">
        <v>9</v>
      </c>
      <c r="L1696" s="53">
        <f>VLOOKUP(_stats[[#This Row],[tournament]],tournaments_n_rules[],2,0)</f>
        <v>1747</v>
      </c>
      <c r="M1696" s="53" t="str">
        <f>VLOOKUP(_stats[[#This Row],[tournament]],tournaments_n_rules[],3,0)</f>
        <v>Осень 2026</v>
      </c>
      <c r="N1696" s="54">
        <f>VLOOKUP(_stats[[#This Row],[tournament]],tournaments_n_rules[],4,0)</f>
        <v>46285</v>
      </c>
      <c r="O1696" s="54">
        <f>VLOOKUP(_stats[[#This Row],[tournament]],tournaments_n_rules[],5,0)</f>
        <v>46356</v>
      </c>
    </row>
    <row r="1697" spans="1:15" x14ac:dyDescent="0.25">
      <c r="A1697" s="6">
        <v>46306</v>
      </c>
      <c r="B1697" s="72">
        <v>4</v>
      </c>
      <c r="C1697" s="104" t="s">
        <v>46</v>
      </c>
      <c r="D1697" s="10" t="str">
        <f>IFERROR(VLOOKUP(_stats[[#This Row],[player_id]],_players[[player_id]:[player_name]],2,0),"")</f>
        <v>Рома Сурнин</v>
      </c>
      <c r="E1697" s="72">
        <v>0</v>
      </c>
      <c r="F1697" s="102">
        <v>1</v>
      </c>
      <c r="G1697" s="10">
        <f>SUMIFS(_teams[wins_on_date],_teams[date],_stats[[#This Row],[date]],_teams[team_number],_stats[[#This Row],[team_number]])</f>
        <v>1</v>
      </c>
      <c r="H1697" s="10">
        <f>SUMIFS(_teams[draws_on_date],_teams[date],_stats[[#This Row],[date]],_teams[team_number],_stats[[#This Row],[team_number]])</f>
        <v>1</v>
      </c>
      <c r="I1697" s="72">
        <v>0</v>
      </c>
      <c r="J1697" s="104">
        <v>0</v>
      </c>
      <c r="K1697" s="72">
        <v>9</v>
      </c>
      <c r="L1697" s="53">
        <f>VLOOKUP(_stats[[#This Row],[tournament]],tournaments_n_rules[],2,0)</f>
        <v>1747</v>
      </c>
      <c r="M1697" s="53" t="str">
        <f>VLOOKUP(_stats[[#This Row],[tournament]],tournaments_n_rules[],3,0)</f>
        <v>Осень 2026</v>
      </c>
      <c r="N1697" s="54">
        <f>VLOOKUP(_stats[[#This Row],[tournament]],tournaments_n_rules[],4,0)</f>
        <v>46285</v>
      </c>
      <c r="O1697" s="54">
        <f>VLOOKUP(_stats[[#This Row],[tournament]],tournaments_n_rules[],5,0)</f>
        <v>46356</v>
      </c>
    </row>
    <row r="1698" spans="1:15" x14ac:dyDescent="0.25">
      <c r="A1698" s="6">
        <v>46306</v>
      </c>
      <c r="B1698" s="72">
        <v>2</v>
      </c>
      <c r="C1698" s="104" t="s">
        <v>81</v>
      </c>
      <c r="D1698" s="10" t="str">
        <f>IFERROR(VLOOKUP(_stats[[#This Row],[player_id]],_players[[player_id]:[player_name]],2,0),"")</f>
        <v>Зинаддин Алимов</v>
      </c>
      <c r="E1698" s="72">
        <v>3</v>
      </c>
      <c r="F1698" s="102">
        <v>3</v>
      </c>
      <c r="G1698" s="10">
        <f>SUMIFS(_teams[wins_on_date],_teams[date],_stats[[#This Row],[date]],_teams[team_number],_stats[[#This Row],[team_number]])</f>
        <v>9</v>
      </c>
      <c r="H1698" s="10">
        <f>SUMIFS(_teams[draws_on_date],_teams[date],_stats[[#This Row],[date]],_teams[team_number],_stats[[#This Row],[team_number]])</f>
        <v>2</v>
      </c>
      <c r="I1698" s="72">
        <v>0</v>
      </c>
      <c r="J1698" s="104">
        <v>0</v>
      </c>
      <c r="K1698" s="72">
        <v>9</v>
      </c>
      <c r="L1698" s="53">
        <f>VLOOKUP(_stats[[#This Row],[tournament]],tournaments_n_rules[],2,0)</f>
        <v>1747</v>
      </c>
      <c r="M1698" s="53" t="str">
        <f>VLOOKUP(_stats[[#This Row],[tournament]],tournaments_n_rules[],3,0)</f>
        <v>Осень 2026</v>
      </c>
      <c r="N1698" s="54">
        <f>VLOOKUP(_stats[[#This Row],[tournament]],tournaments_n_rules[],4,0)</f>
        <v>46285</v>
      </c>
      <c r="O1698" s="54">
        <f>VLOOKUP(_stats[[#This Row],[tournament]],tournaments_n_rules[],5,0)</f>
        <v>46356</v>
      </c>
    </row>
    <row r="1699" spans="1:15" x14ac:dyDescent="0.25">
      <c r="A1699" s="6">
        <v>46306</v>
      </c>
      <c r="B1699" s="72">
        <v>4</v>
      </c>
      <c r="C1699" s="104" t="s">
        <v>35</v>
      </c>
      <c r="D1699" s="10" t="str">
        <f>IFERROR(VLOOKUP(_stats[[#This Row],[player_id]],_players[[player_id]:[player_name]],2,0),"")</f>
        <v>Рубик</v>
      </c>
      <c r="E1699" s="72">
        <v>1</v>
      </c>
      <c r="F1699" s="102">
        <v>1</v>
      </c>
      <c r="G1699" s="10">
        <f>SUMIFS(_teams[wins_on_date],_teams[date],_stats[[#This Row],[date]],_teams[team_number],_stats[[#This Row],[team_number]])</f>
        <v>1</v>
      </c>
      <c r="H1699" s="10">
        <f>SUMIFS(_teams[draws_on_date],_teams[date],_stats[[#This Row],[date]],_teams[team_number],_stats[[#This Row],[team_number]])</f>
        <v>1</v>
      </c>
      <c r="I1699" s="72">
        <v>0</v>
      </c>
      <c r="J1699" s="104">
        <v>0</v>
      </c>
      <c r="K1699" s="72">
        <v>9</v>
      </c>
      <c r="L1699" s="53">
        <f>VLOOKUP(_stats[[#This Row],[tournament]],tournaments_n_rules[],2,0)</f>
        <v>1747</v>
      </c>
      <c r="M1699" s="53" t="str">
        <f>VLOOKUP(_stats[[#This Row],[tournament]],tournaments_n_rules[],3,0)</f>
        <v>Осень 2026</v>
      </c>
      <c r="N1699" s="54">
        <f>VLOOKUP(_stats[[#This Row],[tournament]],tournaments_n_rules[],4,0)</f>
        <v>46285</v>
      </c>
      <c r="O1699" s="54">
        <f>VLOOKUP(_stats[[#This Row],[tournament]],tournaments_n_rules[],5,0)</f>
        <v>46356</v>
      </c>
    </row>
    <row r="1700" spans="1:15" x14ac:dyDescent="0.25">
      <c r="A1700" s="6">
        <v>46306</v>
      </c>
      <c r="B1700" s="72">
        <v>4</v>
      </c>
      <c r="C1700" s="104" t="s">
        <v>322</v>
      </c>
      <c r="D1700" s="10" t="str">
        <f>IFERROR(VLOOKUP(_stats[[#This Row],[player_id]],_players[[player_id]:[player_name]],2,0),"")</f>
        <v>Дима (Богдан+1)</v>
      </c>
      <c r="E1700" s="72">
        <v>2</v>
      </c>
      <c r="F1700" s="102">
        <v>0</v>
      </c>
      <c r="G1700" s="10">
        <f>SUMIFS(_teams[wins_on_date],_teams[date],_stats[[#This Row],[date]],_teams[team_number],_stats[[#This Row],[team_number]])</f>
        <v>1</v>
      </c>
      <c r="H1700" s="10">
        <f>SUMIFS(_teams[draws_on_date],_teams[date],_stats[[#This Row],[date]],_teams[team_number],_stats[[#This Row],[team_number]])</f>
        <v>1</v>
      </c>
      <c r="I1700" s="72">
        <v>0</v>
      </c>
      <c r="J1700" s="104">
        <v>0</v>
      </c>
      <c r="K1700" s="72">
        <v>9</v>
      </c>
      <c r="L1700" s="53">
        <f>VLOOKUP(_stats[[#This Row],[tournament]],tournaments_n_rules[],2,0)</f>
        <v>1747</v>
      </c>
      <c r="M1700" s="53" t="str">
        <f>VLOOKUP(_stats[[#This Row],[tournament]],tournaments_n_rules[],3,0)</f>
        <v>Осень 2026</v>
      </c>
      <c r="N1700" s="54">
        <f>VLOOKUP(_stats[[#This Row],[tournament]],tournaments_n_rules[],4,0)</f>
        <v>46285</v>
      </c>
      <c r="O1700" s="54">
        <f>VLOOKUP(_stats[[#This Row],[tournament]],tournaments_n_rules[],5,0)</f>
        <v>46356</v>
      </c>
    </row>
    <row r="1701" spans="1:15" x14ac:dyDescent="0.25">
      <c r="A1701" s="6">
        <v>46306</v>
      </c>
      <c r="B1701" s="72">
        <v>4</v>
      </c>
      <c r="C1701" s="104" t="s">
        <v>38</v>
      </c>
      <c r="D1701" s="10" t="str">
        <f>IFERROR(VLOOKUP(_stats[[#This Row],[player_id]],_players[[player_id]:[player_name]],2,0),"")</f>
        <v>Рамиль (АК+1)</v>
      </c>
      <c r="E1701" s="72">
        <v>2</v>
      </c>
      <c r="F1701" s="102">
        <v>1</v>
      </c>
      <c r="G1701" s="10">
        <f>SUMIFS(_teams[wins_on_date],_teams[date],_stats[[#This Row],[date]],_teams[team_number],_stats[[#This Row],[team_number]])</f>
        <v>1</v>
      </c>
      <c r="H1701" s="10">
        <f>SUMIFS(_teams[draws_on_date],_teams[date],_stats[[#This Row],[date]],_teams[team_number],_stats[[#This Row],[team_number]])</f>
        <v>1</v>
      </c>
      <c r="I1701" s="72">
        <v>0</v>
      </c>
      <c r="J1701" s="104">
        <v>0</v>
      </c>
      <c r="K1701" s="72">
        <v>9</v>
      </c>
      <c r="L1701" s="53">
        <f>VLOOKUP(_stats[[#This Row],[tournament]],tournaments_n_rules[],2,0)</f>
        <v>1747</v>
      </c>
      <c r="M1701" s="53" t="str">
        <f>VLOOKUP(_stats[[#This Row],[tournament]],tournaments_n_rules[],3,0)</f>
        <v>Осень 2026</v>
      </c>
      <c r="N1701" s="54">
        <f>VLOOKUP(_stats[[#This Row],[tournament]],tournaments_n_rules[],4,0)</f>
        <v>46285</v>
      </c>
      <c r="O1701" s="54">
        <f>VLOOKUP(_stats[[#This Row],[tournament]],tournaments_n_rules[],5,0)</f>
        <v>46356</v>
      </c>
    </row>
    <row r="1702" spans="1:15" x14ac:dyDescent="0.25">
      <c r="A1702" s="6">
        <v>46313</v>
      </c>
      <c r="B1702" s="72">
        <v>3</v>
      </c>
      <c r="C1702" s="104" t="s">
        <v>314</v>
      </c>
      <c r="D1702" s="10" t="str">
        <f>IFERROR(VLOOKUP(_stats[[#This Row],[player_id]],_players[[player_id]:[player_name]],2,0),"")</f>
        <v>Рашид</v>
      </c>
      <c r="E1702" s="72">
        <v>0</v>
      </c>
      <c r="F1702" s="102">
        <v>1</v>
      </c>
      <c r="G1702" s="10">
        <f>SUMIFS(_teams[wins_on_date],_teams[date],_stats[[#This Row],[date]],_teams[team_number],_stats[[#This Row],[team_number]])</f>
        <v>4</v>
      </c>
      <c r="H1702" s="10">
        <f>SUMIFS(_teams[draws_on_date],_teams[date],_stats[[#This Row],[date]],_teams[team_number],_stats[[#This Row],[team_number]])</f>
        <v>2</v>
      </c>
      <c r="I1702" s="72">
        <v>1</v>
      </c>
      <c r="J1702" s="104">
        <v>0</v>
      </c>
      <c r="K1702" s="72">
        <v>9</v>
      </c>
      <c r="L1702" s="53">
        <f>VLOOKUP(_stats[[#This Row],[tournament]],tournaments_n_rules[],2,0)</f>
        <v>1747</v>
      </c>
      <c r="M1702" s="53" t="str">
        <f>VLOOKUP(_stats[[#This Row],[tournament]],tournaments_n_rules[],3,0)</f>
        <v>Осень 2026</v>
      </c>
      <c r="N1702" s="54">
        <f>VLOOKUP(_stats[[#This Row],[tournament]],tournaments_n_rules[],4,0)</f>
        <v>46285</v>
      </c>
      <c r="O1702" s="54">
        <f>VLOOKUP(_stats[[#This Row],[tournament]],tournaments_n_rules[],5,0)</f>
        <v>46356</v>
      </c>
    </row>
    <row r="1703" spans="1:15" x14ac:dyDescent="0.25">
      <c r="A1703" s="6">
        <v>46313</v>
      </c>
      <c r="B1703" s="72">
        <v>3</v>
      </c>
      <c r="C1703" s="104" t="s">
        <v>19</v>
      </c>
      <c r="D1703" s="10" t="str">
        <f>IFERROR(VLOOKUP(_stats[[#This Row],[player_id]],_players[[player_id]:[player_name]],2,0),"")</f>
        <v>Олег Шишкин</v>
      </c>
      <c r="E1703" s="72">
        <v>0</v>
      </c>
      <c r="F1703" s="102">
        <v>0</v>
      </c>
      <c r="G1703" s="10">
        <f>SUMIFS(_teams[wins_on_date],_teams[date],_stats[[#This Row],[date]],_teams[team_number],_stats[[#This Row],[team_number]])</f>
        <v>4</v>
      </c>
      <c r="H1703" s="10">
        <f>SUMIFS(_teams[draws_on_date],_teams[date],_stats[[#This Row],[date]],_teams[team_number],_stats[[#This Row],[team_number]])</f>
        <v>2</v>
      </c>
      <c r="I1703" s="72">
        <v>0</v>
      </c>
      <c r="J1703" s="104">
        <v>0</v>
      </c>
      <c r="K1703" s="72">
        <v>9</v>
      </c>
      <c r="L1703" s="53">
        <f>VLOOKUP(_stats[[#This Row],[tournament]],tournaments_n_rules[],2,0)</f>
        <v>1747</v>
      </c>
      <c r="M1703" s="53" t="str">
        <f>VLOOKUP(_stats[[#This Row],[tournament]],tournaments_n_rules[],3,0)</f>
        <v>Осень 2026</v>
      </c>
      <c r="N1703" s="54">
        <f>VLOOKUP(_stats[[#This Row],[tournament]],tournaments_n_rules[],4,0)</f>
        <v>46285</v>
      </c>
      <c r="O1703" s="54">
        <f>VLOOKUP(_stats[[#This Row],[tournament]],tournaments_n_rules[],5,0)</f>
        <v>46356</v>
      </c>
    </row>
    <row r="1704" spans="1:15" x14ac:dyDescent="0.25">
      <c r="A1704" s="6">
        <v>46313</v>
      </c>
      <c r="B1704" s="72">
        <v>2</v>
      </c>
      <c r="C1704" s="104" t="s">
        <v>15</v>
      </c>
      <c r="D1704" s="10" t="str">
        <f>IFERROR(VLOOKUP(_stats[[#This Row],[player_id]],_players[[player_id]:[player_name]],2,0),"")</f>
        <v>Тёма</v>
      </c>
      <c r="E1704" s="72">
        <v>1</v>
      </c>
      <c r="F1704" s="102">
        <v>0</v>
      </c>
      <c r="G1704" s="10">
        <f>SUMIFS(_teams[wins_on_date],_teams[date],_stats[[#This Row],[date]],_teams[team_number],_stats[[#This Row],[team_number]])</f>
        <v>4</v>
      </c>
      <c r="H1704" s="10">
        <f>SUMIFS(_teams[draws_on_date],_teams[date],_stats[[#This Row],[date]],_teams[team_number],_stats[[#This Row],[team_number]])</f>
        <v>3</v>
      </c>
      <c r="I1704" s="72">
        <v>0</v>
      </c>
      <c r="J1704" s="104">
        <v>0</v>
      </c>
      <c r="K1704" s="72">
        <v>9</v>
      </c>
      <c r="L1704" s="53">
        <f>VLOOKUP(_stats[[#This Row],[tournament]],tournaments_n_rules[],2,0)</f>
        <v>1747</v>
      </c>
      <c r="M1704" s="53" t="str">
        <f>VLOOKUP(_stats[[#This Row],[tournament]],tournaments_n_rules[],3,0)</f>
        <v>Осень 2026</v>
      </c>
      <c r="N1704" s="54">
        <f>VLOOKUP(_stats[[#This Row],[tournament]],tournaments_n_rules[],4,0)</f>
        <v>46285</v>
      </c>
      <c r="O1704" s="54">
        <f>VLOOKUP(_stats[[#This Row],[tournament]],tournaments_n_rules[],5,0)</f>
        <v>46356</v>
      </c>
    </row>
    <row r="1705" spans="1:15" x14ac:dyDescent="0.25">
      <c r="A1705" s="6">
        <v>46313</v>
      </c>
      <c r="B1705" s="72">
        <v>1</v>
      </c>
      <c r="C1705" s="104" t="s">
        <v>131</v>
      </c>
      <c r="D1705" s="10" t="str">
        <f>IFERROR(VLOOKUP(_stats[[#This Row],[player_id]],_players[[player_id]:[player_name]],2,0),"")</f>
        <v>Коля (АК+1)</v>
      </c>
      <c r="E1705" s="72">
        <v>0</v>
      </c>
      <c r="F1705" s="102">
        <v>2</v>
      </c>
      <c r="G1705" s="10">
        <f>SUMIFS(_teams[wins_on_date],_teams[date],_stats[[#This Row],[date]],_teams[team_number],_stats[[#This Row],[team_number]])</f>
        <v>4</v>
      </c>
      <c r="H1705" s="10">
        <f>SUMIFS(_teams[draws_on_date],_teams[date],_stats[[#This Row],[date]],_teams[team_number],_stats[[#This Row],[team_number]])</f>
        <v>2</v>
      </c>
      <c r="I1705" s="72">
        <v>0</v>
      </c>
      <c r="J1705" s="104">
        <v>0</v>
      </c>
      <c r="K1705" s="72">
        <v>9</v>
      </c>
      <c r="L1705" s="53">
        <f>VLOOKUP(_stats[[#This Row],[tournament]],tournaments_n_rules[],2,0)</f>
        <v>1747</v>
      </c>
      <c r="M1705" s="53" t="str">
        <f>VLOOKUP(_stats[[#This Row],[tournament]],tournaments_n_rules[],3,0)</f>
        <v>Осень 2026</v>
      </c>
      <c r="N1705" s="54">
        <f>VLOOKUP(_stats[[#This Row],[tournament]],tournaments_n_rules[],4,0)</f>
        <v>46285</v>
      </c>
      <c r="O1705" s="54">
        <f>VLOOKUP(_stats[[#This Row],[tournament]],tournaments_n_rules[],5,0)</f>
        <v>46356</v>
      </c>
    </row>
    <row r="1706" spans="1:15" x14ac:dyDescent="0.25">
      <c r="A1706" s="6">
        <v>46313</v>
      </c>
      <c r="B1706" s="72">
        <v>4</v>
      </c>
      <c r="C1706" s="104" t="s">
        <v>17</v>
      </c>
      <c r="D1706" s="10" t="str">
        <f>IFERROR(VLOOKUP(_stats[[#This Row],[player_id]],_players[[player_id]:[player_name]],2,0),"")</f>
        <v>Юра Пименов</v>
      </c>
      <c r="E1706" s="72">
        <v>0</v>
      </c>
      <c r="F1706" s="102">
        <v>3</v>
      </c>
      <c r="G1706" s="10">
        <f>SUMIFS(_teams[wins_on_date],_teams[date],_stats[[#This Row],[date]],_teams[team_number],_stats[[#This Row],[team_number]])</f>
        <v>5</v>
      </c>
      <c r="H1706" s="10">
        <f>SUMIFS(_teams[draws_on_date],_teams[date],_stats[[#This Row],[date]],_teams[team_number],_stats[[#This Row],[team_number]])</f>
        <v>1</v>
      </c>
      <c r="I1706" s="72">
        <v>0</v>
      </c>
      <c r="J1706" s="104">
        <v>0</v>
      </c>
      <c r="K1706" s="72">
        <v>9</v>
      </c>
      <c r="L1706" s="53">
        <f>VLOOKUP(_stats[[#This Row],[tournament]],tournaments_n_rules[],2,0)</f>
        <v>1747</v>
      </c>
      <c r="M1706" s="53" t="str">
        <f>VLOOKUP(_stats[[#This Row],[tournament]],tournaments_n_rules[],3,0)</f>
        <v>Осень 2026</v>
      </c>
      <c r="N1706" s="54">
        <f>VLOOKUP(_stats[[#This Row],[tournament]],tournaments_n_rules[],4,0)</f>
        <v>46285</v>
      </c>
      <c r="O1706" s="54">
        <f>VLOOKUP(_stats[[#This Row],[tournament]],tournaments_n_rules[],5,0)</f>
        <v>46356</v>
      </c>
    </row>
    <row r="1707" spans="1:15" x14ac:dyDescent="0.25">
      <c r="A1707" s="6">
        <v>46313</v>
      </c>
      <c r="B1707" s="72">
        <v>2</v>
      </c>
      <c r="C1707" s="104" t="s">
        <v>48</v>
      </c>
      <c r="D1707" s="10" t="str">
        <f>IFERROR(VLOOKUP(_stats[[#This Row],[player_id]],_players[[player_id]:[player_name]],2,0),"")</f>
        <v>Андрей (АК+1)</v>
      </c>
      <c r="E1707" s="72">
        <v>1</v>
      </c>
      <c r="F1707" s="102">
        <v>0</v>
      </c>
      <c r="G1707" s="10">
        <f>SUMIFS(_teams[wins_on_date],_teams[date],_stats[[#This Row],[date]],_teams[team_number],_stats[[#This Row],[team_number]])</f>
        <v>4</v>
      </c>
      <c r="H1707" s="10">
        <f>SUMIFS(_teams[draws_on_date],_teams[date],_stats[[#This Row],[date]],_teams[team_number],_stats[[#This Row],[team_number]])</f>
        <v>3</v>
      </c>
      <c r="I1707" s="72">
        <v>0</v>
      </c>
      <c r="J1707" s="104">
        <v>0</v>
      </c>
      <c r="K1707" s="72">
        <v>9</v>
      </c>
      <c r="L1707" s="53">
        <f>VLOOKUP(_stats[[#This Row],[tournament]],tournaments_n_rules[],2,0)</f>
        <v>1747</v>
      </c>
      <c r="M1707" s="53" t="str">
        <f>VLOOKUP(_stats[[#This Row],[tournament]],tournaments_n_rules[],3,0)</f>
        <v>Осень 2026</v>
      </c>
      <c r="N1707" s="54">
        <f>VLOOKUP(_stats[[#This Row],[tournament]],tournaments_n_rules[],4,0)</f>
        <v>46285</v>
      </c>
      <c r="O1707" s="54">
        <f>VLOOKUP(_stats[[#This Row],[tournament]],tournaments_n_rules[],5,0)</f>
        <v>46356</v>
      </c>
    </row>
    <row r="1708" spans="1:15" x14ac:dyDescent="0.25">
      <c r="A1708" s="6">
        <v>46313</v>
      </c>
      <c r="B1708" s="72">
        <v>4</v>
      </c>
      <c r="C1708" s="104" t="s">
        <v>69</v>
      </c>
      <c r="D1708" s="10" t="str">
        <f>IFERROR(VLOOKUP(_stats[[#This Row],[player_id]],_players[[player_id]:[player_name]],2,0),"")</f>
        <v>Анашкин</v>
      </c>
      <c r="E1708" s="72">
        <v>0</v>
      </c>
      <c r="F1708" s="102">
        <v>0</v>
      </c>
      <c r="G1708" s="10">
        <f>SUMIFS(_teams[wins_on_date],_teams[date],_stats[[#This Row],[date]],_teams[team_number],_stats[[#This Row],[team_number]])</f>
        <v>5</v>
      </c>
      <c r="H1708" s="10">
        <f>SUMIFS(_teams[draws_on_date],_teams[date],_stats[[#This Row],[date]],_teams[team_number],_stats[[#This Row],[team_number]])</f>
        <v>1</v>
      </c>
      <c r="I1708" s="72">
        <v>0</v>
      </c>
      <c r="J1708" s="104">
        <v>0</v>
      </c>
      <c r="K1708" s="72">
        <v>9</v>
      </c>
      <c r="L1708" s="53">
        <f>VLOOKUP(_stats[[#This Row],[tournament]],tournaments_n_rules[],2,0)</f>
        <v>1747</v>
      </c>
      <c r="M1708" s="53" t="str">
        <f>VLOOKUP(_stats[[#This Row],[tournament]],tournaments_n_rules[],3,0)</f>
        <v>Осень 2026</v>
      </c>
      <c r="N1708" s="54">
        <f>VLOOKUP(_stats[[#This Row],[tournament]],tournaments_n_rules[],4,0)</f>
        <v>46285</v>
      </c>
      <c r="O1708" s="54">
        <f>VLOOKUP(_stats[[#This Row],[tournament]],tournaments_n_rules[],5,0)</f>
        <v>46356</v>
      </c>
    </row>
    <row r="1709" spans="1:15" x14ac:dyDescent="0.25">
      <c r="A1709" s="6">
        <v>46313</v>
      </c>
      <c r="B1709" s="72">
        <v>1</v>
      </c>
      <c r="C1709" s="104" t="s">
        <v>81</v>
      </c>
      <c r="D1709" s="10" t="str">
        <f>IFERROR(VLOOKUP(_stats[[#This Row],[player_id]],_players[[player_id]:[player_name]],2,0),"")</f>
        <v>Зинаддин Алимов</v>
      </c>
      <c r="E1709" s="72">
        <v>2</v>
      </c>
      <c r="F1709" s="102">
        <v>0</v>
      </c>
      <c r="G1709" s="10">
        <f>SUMIFS(_teams[wins_on_date],_teams[date],_stats[[#This Row],[date]],_teams[team_number],_stats[[#This Row],[team_number]])</f>
        <v>4</v>
      </c>
      <c r="H1709" s="10">
        <f>SUMIFS(_teams[draws_on_date],_teams[date],_stats[[#This Row],[date]],_teams[team_number],_stats[[#This Row],[team_number]])</f>
        <v>2</v>
      </c>
      <c r="I1709" s="72">
        <v>0</v>
      </c>
      <c r="J1709" s="104">
        <v>0</v>
      </c>
      <c r="K1709" s="72">
        <v>9</v>
      </c>
      <c r="L1709" s="53">
        <f>VLOOKUP(_stats[[#This Row],[tournament]],tournaments_n_rules[],2,0)</f>
        <v>1747</v>
      </c>
      <c r="M1709" s="53" t="str">
        <f>VLOOKUP(_stats[[#This Row],[tournament]],tournaments_n_rules[],3,0)</f>
        <v>Осень 2026</v>
      </c>
      <c r="N1709" s="54">
        <f>VLOOKUP(_stats[[#This Row],[tournament]],tournaments_n_rules[],4,0)</f>
        <v>46285</v>
      </c>
      <c r="O1709" s="54">
        <f>VLOOKUP(_stats[[#This Row],[tournament]],tournaments_n_rules[],5,0)</f>
        <v>46356</v>
      </c>
    </row>
    <row r="1710" spans="1:15" x14ac:dyDescent="0.25">
      <c r="A1710" s="6">
        <v>46313</v>
      </c>
      <c r="B1710" s="72">
        <v>4</v>
      </c>
      <c r="C1710" s="104" t="s">
        <v>64</v>
      </c>
      <c r="D1710" s="10" t="str">
        <f>IFERROR(VLOOKUP(_stats[[#This Row],[player_id]],_players[[player_id]:[player_name]],2,0),"")</f>
        <v>Никита (АК+1)</v>
      </c>
      <c r="E1710" s="72">
        <v>4</v>
      </c>
      <c r="F1710" s="102">
        <v>0</v>
      </c>
      <c r="G1710" s="10">
        <f>SUMIFS(_teams[wins_on_date],_teams[date],_stats[[#This Row],[date]],_teams[team_number],_stats[[#This Row],[team_number]])</f>
        <v>5</v>
      </c>
      <c r="H1710" s="10">
        <f>SUMIFS(_teams[draws_on_date],_teams[date],_stats[[#This Row],[date]],_teams[team_number],_stats[[#This Row],[team_number]])</f>
        <v>1</v>
      </c>
      <c r="I1710" s="72">
        <v>0</v>
      </c>
      <c r="J1710" s="104">
        <v>0</v>
      </c>
      <c r="K1710" s="72">
        <v>9</v>
      </c>
      <c r="L1710" s="53">
        <f>VLOOKUP(_stats[[#This Row],[tournament]],tournaments_n_rules[],2,0)</f>
        <v>1747</v>
      </c>
      <c r="M1710" s="53" t="str">
        <f>VLOOKUP(_stats[[#This Row],[tournament]],tournaments_n_rules[],3,0)</f>
        <v>Осень 2026</v>
      </c>
      <c r="N1710" s="54">
        <f>VLOOKUP(_stats[[#This Row],[tournament]],tournaments_n_rules[],4,0)</f>
        <v>46285</v>
      </c>
      <c r="O1710" s="54">
        <f>VLOOKUP(_stats[[#This Row],[tournament]],tournaments_n_rules[],5,0)</f>
        <v>46356</v>
      </c>
    </row>
    <row r="1711" spans="1:15" x14ac:dyDescent="0.25">
      <c r="A1711" s="6">
        <v>46313</v>
      </c>
      <c r="B1711" s="72">
        <v>1</v>
      </c>
      <c r="C1711" s="104" t="s">
        <v>322</v>
      </c>
      <c r="D1711" s="10" t="str">
        <f>IFERROR(VLOOKUP(_stats[[#This Row],[player_id]],_players[[player_id]:[player_name]],2,0),"")</f>
        <v>Дима (Богдан+1)</v>
      </c>
      <c r="E1711" s="72">
        <v>1</v>
      </c>
      <c r="F1711" s="102">
        <v>0</v>
      </c>
      <c r="G1711" s="10">
        <f>SUMIFS(_teams[wins_on_date],_teams[date],_stats[[#This Row],[date]],_teams[team_number],_stats[[#This Row],[team_number]])</f>
        <v>4</v>
      </c>
      <c r="H1711" s="10">
        <f>SUMIFS(_teams[draws_on_date],_teams[date],_stats[[#This Row],[date]],_teams[team_number],_stats[[#This Row],[team_number]])</f>
        <v>2</v>
      </c>
      <c r="I1711" s="72">
        <v>1</v>
      </c>
      <c r="J1711" s="104">
        <v>0</v>
      </c>
      <c r="K1711" s="72">
        <v>9</v>
      </c>
      <c r="L1711" s="53">
        <f>VLOOKUP(_stats[[#This Row],[tournament]],tournaments_n_rules[],2,0)</f>
        <v>1747</v>
      </c>
      <c r="M1711" s="53" t="str">
        <f>VLOOKUP(_stats[[#This Row],[tournament]],tournaments_n_rules[],3,0)</f>
        <v>Осень 2026</v>
      </c>
      <c r="N1711" s="54">
        <f>VLOOKUP(_stats[[#This Row],[tournament]],tournaments_n_rules[],4,0)</f>
        <v>46285</v>
      </c>
      <c r="O1711" s="54">
        <f>VLOOKUP(_stats[[#This Row],[tournament]],tournaments_n_rules[],5,0)</f>
        <v>46356</v>
      </c>
    </row>
    <row r="1712" spans="1:15" x14ac:dyDescent="0.25">
      <c r="A1712" s="6">
        <v>46313</v>
      </c>
      <c r="B1712" s="72">
        <v>3</v>
      </c>
      <c r="C1712" s="104" t="s">
        <v>8</v>
      </c>
      <c r="D1712" s="10" t="str">
        <f>IFERROR(VLOOKUP(_stats[[#This Row],[player_id]],_players[[player_id]:[player_name]],2,0),"")</f>
        <v>Костя</v>
      </c>
      <c r="E1712" s="72">
        <v>1</v>
      </c>
      <c r="F1712" s="102">
        <v>0</v>
      </c>
      <c r="G1712" s="10">
        <f>SUMIFS(_teams[wins_on_date],_teams[date],_stats[[#This Row],[date]],_teams[team_number],_stats[[#This Row],[team_number]])</f>
        <v>4</v>
      </c>
      <c r="H1712" s="10">
        <f>SUMIFS(_teams[draws_on_date],_teams[date],_stats[[#This Row],[date]],_teams[team_number],_stats[[#This Row],[team_number]])</f>
        <v>2</v>
      </c>
      <c r="I1712" s="72">
        <v>0</v>
      </c>
      <c r="J1712" s="104">
        <v>0</v>
      </c>
      <c r="K1712" s="72">
        <v>9</v>
      </c>
      <c r="L1712" s="53">
        <f>VLOOKUP(_stats[[#This Row],[tournament]],tournaments_n_rules[],2,0)</f>
        <v>1747</v>
      </c>
      <c r="M1712" s="53" t="str">
        <f>VLOOKUP(_stats[[#This Row],[tournament]],tournaments_n_rules[],3,0)</f>
        <v>Осень 2026</v>
      </c>
      <c r="N1712" s="54">
        <f>VLOOKUP(_stats[[#This Row],[tournament]],tournaments_n_rules[],4,0)</f>
        <v>46285</v>
      </c>
      <c r="O1712" s="54">
        <f>VLOOKUP(_stats[[#This Row],[tournament]],tournaments_n_rules[],5,0)</f>
        <v>46356</v>
      </c>
    </row>
    <row r="1713" spans="1:15" x14ac:dyDescent="0.25">
      <c r="A1713" s="6">
        <v>46313</v>
      </c>
      <c r="B1713" s="72">
        <v>3</v>
      </c>
      <c r="C1713" s="104" t="s">
        <v>125</v>
      </c>
      <c r="D1713" s="10" t="str">
        <f>IFERROR(VLOOKUP(_stats[[#This Row],[player_id]],_players[[player_id]:[player_name]],2,0),"")</f>
        <v>Арги</v>
      </c>
      <c r="E1713" s="72">
        <v>1</v>
      </c>
      <c r="F1713" s="102">
        <v>1</v>
      </c>
      <c r="G1713" s="10">
        <f>SUMIFS(_teams[wins_on_date],_teams[date],_stats[[#This Row],[date]],_teams[team_number],_stats[[#This Row],[team_number]])</f>
        <v>4</v>
      </c>
      <c r="H1713" s="10">
        <f>SUMIFS(_teams[draws_on_date],_teams[date],_stats[[#This Row],[date]],_teams[team_number],_stats[[#This Row],[team_number]])</f>
        <v>2</v>
      </c>
      <c r="I1713" s="72">
        <v>0</v>
      </c>
      <c r="J1713" s="104">
        <v>0</v>
      </c>
      <c r="K1713" s="72">
        <v>9</v>
      </c>
      <c r="L1713" s="53">
        <f>VLOOKUP(_stats[[#This Row],[tournament]],tournaments_n_rules[],2,0)</f>
        <v>1747</v>
      </c>
      <c r="M1713" s="53" t="str">
        <f>VLOOKUP(_stats[[#This Row],[tournament]],tournaments_n_rules[],3,0)</f>
        <v>Осень 2026</v>
      </c>
      <c r="N1713" s="54">
        <f>VLOOKUP(_stats[[#This Row],[tournament]],tournaments_n_rules[],4,0)</f>
        <v>46285</v>
      </c>
      <c r="O1713" s="54">
        <f>VLOOKUP(_stats[[#This Row],[tournament]],tournaments_n_rules[],5,0)</f>
        <v>46356</v>
      </c>
    </row>
    <row r="1714" spans="1:15" x14ac:dyDescent="0.25">
      <c r="A1714" s="6">
        <v>46313</v>
      </c>
      <c r="B1714" s="72">
        <v>1</v>
      </c>
      <c r="C1714" s="104" t="s">
        <v>153</v>
      </c>
      <c r="D1714" s="10" t="str">
        <f>IFERROR(VLOOKUP(_stats[[#This Row],[player_id]],_players[[player_id]:[player_name]],2,0),"")</f>
        <v>Богдан</v>
      </c>
      <c r="E1714" s="72">
        <v>0</v>
      </c>
      <c r="F1714" s="102">
        <v>0</v>
      </c>
      <c r="G1714" s="10">
        <f>SUMIFS(_teams[wins_on_date],_teams[date],_stats[[#This Row],[date]],_teams[team_number],_stats[[#This Row],[team_number]])</f>
        <v>4</v>
      </c>
      <c r="H1714" s="10">
        <f>SUMIFS(_teams[draws_on_date],_teams[date],_stats[[#This Row],[date]],_teams[team_number],_stats[[#This Row],[team_number]])</f>
        <v>2</v>
      </c>
      <c r="I1714" s="72">
        <v>0</v>
      </c>
      <c r="J1714" s="104">
        <v>0</v>
      </c>
      <c r="K1714" s="72">
        <v>9</v>
      </c>
      <c r="L1714" s="53">
        <f>VLOOKUP(_stats[[#This Row],[tournament]],tournaments_n_rules[],2,0)</f>
        <v>1747</v>
      </c>
      <c r="M1714" s="53" t="str">
        <f>VLOOKUP(_stats[[#This Row],[tournament]],tournaments_n_rules[],3,0)</f>
        <v>Осень 2026</v>
      </c>
      <c r="N1714" s="54">
        <f>VLOOKUP(_stats[[#This Row],[tournament]],tournaments_n_rules[],4,0)</f>
        <v>46285</v>
      </c>
      <c r="O1714" s="54">
        <f>VLOOKUP(_stats[[#This Row],[tournament]],tournaments_n_rules[],5,0)</f>
        <v>46356</v>
      </c>
    </row>
    <row r="1715" spans="1:15" x14ac:dyDescent="0.25">
      <c r="A1715" s="6">
        <v>46313</v>
      </c>
      <c r="B1715" s="72">
        <v>4</v>
      </c>
      <c r="C1715" s="104" t="s">
        <v>157</v>
      </c>
      <c r="D1715" s="10" t="str">
        <f>IFERROR(VLOOKUP(_stats[[#This Row],[player_id]],_players[[player_id]:[player_name]],2,0),"")</f>
        <v>Никита (Сурэн+1)</v>
      </c>
      <c r="E1715" s="72">
        <v>4</v>
      </c>
      <c r="F1715" s="102">
        <v>1</v>
      </c>
      <c r="G1715" s="10">
        <f>SUMIFS(_teams[wins_on_date],_teams[date],_stats[[#This Row],[date]],_teams[team_number],_stats[[#This Row],[team_number]])</f>
        <v>5</v>
      </c>
      <c r="H1715" s="10">
        <f>SUMIFS(_teams[draws_on_date],_teams[date],_stats[[#This Row],[date]],_teams[team_number],_stats[[#This Row],[team_number]])</f>
        <v>1</v>
      </c>
      <c r="I1715" s="72">
        <v>0</v>
      </c>
      <c r="J1715" s="104">
        <v>0</v>
      </c>
      <c r="K1715" s="72">
        <v>9</v>
      </c>
      <c r="L1715" s="53">
        <f>VLOOKUP(_stats[[#This Row],[tournament]],tournaments_n_rules[],2,0)</f>
        <v>1747</v>
      </c>
      <c r="M1715" s="53" t="str">
        <f>VLOOKUP(_stats[[#This Row],[tournament]],tournaments_n_rules[],3,0)</f>
        <v>Осень 2026</v>
      </c>
      <c r="N1715" s="54">
        <f>VLOOKUP(_stats[[#This Row],[tournament]],tournaments_n_rules[],4,0)</f>
        <v>46285</v>
      </c>
      <c r="O1715" s="54">
        <f>VLOOKUP(_stats[[#This Row],[tournament]],tournaments_n_rules[],5,0)</f>
        <v>46356</v>
      </c>
    </row>
    <row r="1716" spans="1:15" x14ac:dyDescent="0.25">
      <c r="A1716" s="6">
        <v>46313</v>
      </c>
      <c r="B1716" s="72">
        <v>4</v>
      </c>
      <c r="C1716" s="104" t="s">
        <v>26</v>
      </c>
      <c r="D1716" s="10" t="str">
        <f>IFERROR(VLOOKUP(_stats[[#This Row],[player_id]],_players[[player_id]:[player_name]],2,0),"")</f>
        <v>Игорь Фомичев</v>
      </c>
      <c r="E1716" s="72">
        <v>0</v>
      </c>
      <c r="F1716" s="102">
        <v>1</v>
      </c>
      <c r="G1716" s="10">
        <f>SUMIFS(_teams[wins_on_date],_teams[date],_stats[[#This Row],[date]],_teams[team_number],_stats[[#This Row],[team_number]])</f>
        <v>5</v>
      </c>
      <c r="H1716" s="10">
        <f>SUMIFS(_teams[draws_on_date],_teams[date],_stats[[#This Row],[date]],_teams[team_number],_stats[[#This Row],[team_number]])</f>
        <v>1</v>
      </c>
      <c r="I1716" s="72">
        <v>0</v>
      </c>
      <c r="J1716" s="104">
        <v>0</v>
      </c>
      <c r="K1716" s="72">
        <v>9</v>
      </c>
      <c r="L1716" s="53">
        <f>VLOOKUP(_stats[[#This Row],[tournament]],tournaments_n_rules[],2,0)</f>
        <v>1747</v>
      </c>
      <c r="M1716" s="53" t="str">
        <f>VLOOKUP(_stats[[#This Row],[tournament]],tournaments_n_rules[],3,0)</f>
        <v>Осень 2026</v>
      </c>
      <c r="N1716" s="54">
        <f>VLOOKUP(_stats[[#This Row],[tournament]],tournaments_n_rules[],4,0)</f>
        <v>46285</v>
      </c>
      <c r="O1716" s="54">
        <f>VLOOKUP(_stats[[#This Row],[tournament]],tournaments_n_rules[],5,0)</f>
        <v>46356</v>
      </c>
    </row>
    <row r="1717" spans="1:15" x14ac:dyDescent="0.25">
      <c r="A1717" s="6">
        <v>46313</v>
      </c>
      <c r="B1717" s="72">
        <v>1</v>
      </c>
      <c r="C1717" s="104" t="s">
        <v>28</v>
      </c>
      <c r="D1717" s="10" t="str">
        <f>IFERROR(VLOOKUP(_stats[[#This Row],[player_id]],_players[[player_id]:[player_name]],2,0),"")</f>
        <v>Витя</v>
      </c>
      <c r="E1717" s="72">
        <v>1</v>
      </c>
      <c r="F1717" s="102">
        <v>0</v>
      </c>
      <c r="G1717" s="10">
        <f>SUMIFS(_teams[wins_on_date],_teams[date],_stats[[#This Row],[date]],_teams[team_number],_stats[[#This Row],[team_number]])</f>
        <v>4</v>
      </c>
      <c r="H1717" s="10">
        <f>SUMIFS(_teams[draws_on_date],_teams[date],_stats[[#This Row],[date]],_teams[team_number],_stats[[#This Row],[team_number]])</f>
        <v>2</v>
      </c>
      <c r="I1717" s="72">
        <v>0</v>
      </c>
      <c r="J1717" s="104">
        <v>0</v>
      </c>
      <c r="K1717" s="72">
        <v>9</v>
      </c>
      <c r="L1717" s="53">
        <f>VLOOKUP(_stats[[#This Row],[tournament]],tournaments_n_rules[],2,0)</f>
        <v>1747</v>
      </c>
      <c r="M1717" s="53" t="str">
        <f>VLOOKUP(_stats[[#This Row],[tournament]],tournaments_n_rules[],3,0)</f>
        <v>Осень 2026</v>
      </c>
      <c r="N1717" s="54">
        <f>VLOOKUP(_stats[[#This Row],[tournament]],tournaments_n_rules[],4,0)</f>
        <v>46285</v>
      </c>
      <c r="O1717" s="54">
        <f>VLOOKUP(_stats[[#This Row],[tournament]],tournaments_n_rules[],5,0)</f>
        <v>46356</v>
      </c>
    </row>
    <row r="1718" spans="1:15" x14ac:dyDescent="0.25">
      <c r="A1718" s="6">
        <v>46313</v>
      </c>
      <c r="B1718" s="72">
        <v>2</v>
      </c>
      <c r="C1718" s="104" t="s">
        <v>37</v>
      </c>
      <c r="D1718" s="10" t="str">
        <f>IFERROR(VLOOKUP(_stats[[#This Row],[player_id]],_players[[player_id]:[player_name]],2,0),"")</f>
        <v>Женя Одушкин</v>
      </c>
      <c r="E1718" s="72">
        <v>0</v>
      </c>
      <c r="F1718" s="102">
        <v>1</v>
      </c>
      <c r="G1718" s="10">
        <f>SUMIFS(_teams[wins_on_date],_teams[date],_stats[[#This Row],[date]],_teams[team_number],_stats[[#This Row],[team_number]])</f>
        <v>4</v>
      </c>
      <c r="H1718" s="10">
        <f>SUMIFS(_teams[draws_on_date],_teams[date],_stats[[#This Row],[date]],_teams[team_number],_stats[[#This Row],[team_number]])</f>
        <v>3</v>
      </c>
      <c r="I1718" s="72">
        <v>0</v>
      </c>
      <c r="J1718" s="104">
        <v>0</v>
      </c>
      <c r="K1718" s="72">
        <v>9</v>
      </c>
      <c r="L1718" s="53">
        <f>VLOOKUP(_stats[[#This Row],[tournament]],tournaments_n_rules[],2,0)</f>
        <v>1747</v>
      </c>
      <c r="M1718" s="53" t="str">
        <f>VLOOKUP(_stats[[#This Row],[tournament]],tournaments_n_rules[],3,0)</f>
        <v>Осень 2026</v>
      </c>
      <c r="N1718" s="54">
        <f>VLOOKUP(_stats[[#This Row],[tournament]],tournaments_n_rules[],4,0)</f>
        <v>46285</v>
      </c>
      <c r="O1718" s="54">
        <f>VLOOKUP(_stats[[#This Row],[tournament]],tournaments_n_rules[],5,0)</f>
        <v>46356</v>
      </c>
    </row>
    <row r="1719" spans="1:15" x14ac:dyDescent="0.25">
      <c r="A1719" s="6">
        <v>46313</v>
      </c>
      <c r="B1719" s="72">
        <v>3</v>
      </c>
      <c r="C1719" s="104" t="s">
        <v>13</v>
      </c>
      <c r="D1719" s="10" t="str">
        <f>IFERROR(VLOOKUP(_stats[[#This Row],[player_id]],_players[[player_id]:[player_name]],2,0),"")</f>
        <v>Нурик</v>
      </c>
      <c r="E1719" s="72">
        <v>4</v>
      </c>
      <c r="F1719" s="102">
        <v>0</v>
      </c>
      <c r="G1719" s="10">
        <f>SUMIFS(_teams[wins_on_date],_teams[date],_stats[[#This Row],[date]],_teams[team_number],_stats[[#This Row],[team_number]])</f>
        <v>4</v>
      </c>
      <c r="H1719" s="10">
        <f>SUMIFS(_teams[draws_on_date],_teams[date],_stats[[#This Row],[date]],_teams[team_number],_stats[[#This Row],[team_number]])</f>
        <v>2</v>
      </c>
      <c r="I1719" s="72">
        <v>0</v>
      </c>
      <c r="J1719" s="104">
        <v>0</v>
      </c>
      <c r="K1719" s="72">
        <v>9</v>
      </c>
      <c r="L1719" s="53">
        <f>VLOOKUP(_stats[[#This Row],[tournament]],tournaments_n_rules[],2,0)</f>
        <v>1747</v>
      </c>
      <c r="M1719" s="53" t="str">
        <f>VLOOKUP(_stats[[#This Row],[tournament]],tournaments_n_rules[],3,0)</f>
        <v>Осень 2026</v>
      </c>
      <c r="N1719" s="54">
        <f>VLOOKUP(_stats[[#This Row],[tournament]],tournaments_n_rules[],4,0)</f>
        <v>46285</v>
      </c>
      <c r="O1719" s="54">
        <f>VLOOKUP(_stats[[#This Row],[tournament]],tournaments_n_rules[],5,0)</f>
        <v>46356</v>
      </c>
    </row>
    <row r="1720" spans="1:15" x14ac:dyDescent="0.25">
      <c r="A1720" s="6">
        <v>46313</v>
      </c>
      <c r="B1720" s="72">
        <v>2</v>
      </c>
      <c r="C1720" s="104" t="s">
        <v>21</v>
      </c>
      <c r="D1720" s="10" t="str">
        <f>IFERROR(VLOOKUP(_stats[[#This Row],[player_id]],_players[[player_id]:[player_name]],2,0),"")</f>
        <v>Максим Строцкий</v>
      </c>
      <c r="E1720" s="72">
        <v>4</v>
      </c>
      <c r="F1720" s="102">
        <v>1</v>
      </c>
      <c r="G1720" s="10">
        <f>SUMIFS(_teams[wins_on_date],_teams[date],_stats[[#This Row],[date]],_teams[team_number],_stats[[#This Row],[team_number]])</f>
        <v>4</v>
      </c>
      <c r="H1720" s="10">
        <f>SUMIFS(_teams[draws_on_date],_teams[date],_stats[[#This Row],[date]],_teams[team_number],_stats[[#This Row],[team_number]])</f>
        <v>3</v>
      </c>
      <c r="I1720" s="72">
        <v>0</v>
      </c>
      <c r="J1720" s="104">
        <v>0</v>
      </c>
      <c r="K1720" s="72">
        <v>9</v>
      </c>
      <c r="L1720" s="53">
        <f>VLOOKUP(_stats[[#This Row],[tournament]],tournaments_n_rules[],2,0)</f>
        <v>1747</v>
      </c>
      <c r="M1720" s="53" t="str">
        <f>VLOOKUP(_stats[[#This Row],[tournament]],tournaments_n_rules[],3,0)</f>
        <v>Осень 2026</v>
      </c>
      <c r="N1720" s="54">
        <f>VLOOKUP(_stats[[#This Row],[tournament]],tournaments_n_rules[],4,0)</f>
        <v>46285</v>
      </c>
      <c r="O1720" s="54">
        <f>VLOOKUP(_stats[[#This Row],[tournament]],tournaments_n_rules[],5,0)</f>
        <v>46356</v>
      </c>
    </row>
    <row r="1721" spans="1:15" x14ac:dyDescent="0.25">
      <c r="A1721" s="6">
        <v>46313</v>
      </c>
      <c r="B1721" s="72">
        <v>2</v>
      </c>
      <c r="C1721" s="104" t="s">
        <v>46</v>
      </c>
      <c r="D1721" s="10" t="str">
        <f>IFERROR(VLOOKUP(_stats[[#This Row],[player_id]],_players[[player_id]:[player_name]],2,0),"")</f>
        <v>Рома Сурнин</v>
      </c>
      <c r="E1721" s="72">
        <v>0</v>
      </c>
      <c r="F1721" s="102">
        <v>0</v>
      </c>
      <c r="G1721" s="10">
        <f>SUMIFS(_teams[wins_on_date],_teams[date],_stats[[#This Row],[date]],_teams[team_number],_stats[[#This Row],[team_number]])</f>
        <v>4</v>
      </c>
      <c r="H1721" s="10">
        <f>SUMIFS(_teams[draws_on_date],_teams[date],_stats[[#This Row],[date]],_teams[team_number],_stats[[#This Row],[team_number]])</f>
        <v>3</v>
      </c>
      <c r="I1721" s="72">
        <v>0</v>
      </c>
      <c r="J1721" s="104">
        <v>0</v>
      </c>
      <c r="K1721" s="72">
        <v>9</v>
      </c>
      <c r="L1721" s="53">
        <f>VLOOKUP(_stats[[#This Row],[tournament]],tournaments_n_rules[],2,0)</f>
        <v>1747</v>
      </c>
      <c r="M1721" s="53" t="str">
        <f>VLOOKUP(_stats[[#This Row],[tournament]],tournaments_n_rules[],3,0)</f>
        <v>Осень 2026</v>
      </c>
      <c r="N1721" s="54">
        <f>VLOOKUP(_stats[[#This Row],[tournament]],tournaments_n_rules[],4,0)</f>
        <v>46285</v>
      </c>
      <c r="O1721" s="54">
        <f>VLOOKUP(_stats[[#This Row],[tournament]],tournaments_n_rules[],5,0)</f>
        <v>46356</v>
      </c>
    </row>
    <row r="1722" spans="1:15" x14ac:dyDescent="0.25">
      <c r="A1722" s="6">
        <v>46313</v>
      </c>
      <c r="B1722" s="72">
        <v>3</v>
      </c>
      <c r="C1722" s="104" t="s">
        <v>31</v>
      </c>
      <c r="D1722" s="10" t="str">
        <f>IFERROR(VLOOKUP(_stats[[#This Row],[player_id]],_players[[player_id]:[player_name]],2,0),"")</f>
        <v>Эля</v>
      </c>
      <c r="E1722" s="72">
        <v>0</v>
      </c>
      <c r="F1722" s="102">
        <v>2</v>
      </c>
      <c r="G1722" s="10">
        <f>SUMIFS(_teams[wins_on_date],_teams[date],_stats[[#This Row],[date]],_teams[team_number],_stats[[#This Row],[team_number]])</f>
        <v>4</v>
      </c>
      <c r="H1722" s="10">
        <f>SUMIFS(_teams[draws_on_date],_teams[date],_stats[[#This Row],[date]],_teams[team_number],_stats[[#This Row],[team_number]])</f>
        <v>2</v>
      </c>
      <c r="I1722" s="72">
        <v>0</v>
      </c>
      <c r="J1722" s="104">
        <v>0</v>
      </c>
      <c r="K1722" s="72">
        <v>9</v>
      </c>
      <c r="L1722" s="53">
        <f>VLOOKUP(_stats[[#This Row],[tournament]],tournaments_n_rules[],2,0)</f>
        <v>1747</v>
      </c>
      <c r="M1722" s="53" t="str">
        <f>VLOOKUP(_stats[[#This Row],[tournament]],tournaments_n_rules[],3,0)</f>
        <v>Осень 2026</v>
      </c>
      <c r="N1722" s="54">
        <f>VLOOKUP(_stats[[#This Row],[tournament]],tournaments_n_rules[],4,0)</f>
        <v>46285</v>
      </c>
      <c r="O1722" s="54">
        <f>VLOOKUP(_stats[[#This Row],[tournament]],tournaments_n_rules[],5,0)</f>
        <v>46356</v>
      </c>
    </row>
    <row r="1723" spans="1:15" x14ac:dyDescent="0.25">
      <c r="A1723" s="6">
        <v>46313</v>
      </c>
      <c r="B1723" s="72">
        <v>1</v>
      </c>
      <c r="C1723" s="104" t="s">
        <v>320</v>
      </c>
      <c r="D1723" s="10" t="str">
        <f>IFERROR(VLOOKUP(_stats[[#This Row],[player_id]],_players[[player_id]:[player_name]],2,0),"")</f>
        <v>Сокол</v>
      </c>
      <c r="E1723" s="72">
        <v>0</v>
      </c>
      <c r="F1723" s="102">
        <v>1</v>
      </c>
      <c r="G1723" s="10">
        <f>SUMIFS(_teams[wins_on_date],_teams[date],_stats[[#This Row],[date]],_teams[team_number],_stats[[#This Row],[team_number]])</f>
        <v>4</v>
      </c>
      <c r="H1723" s="10">
        <f>SUMIFS(_teams[draws_on_date],_teams[date],_stats[[#This Row],[date]],_teams[team_number],_stats[[#This Row],[team_number]])</f>
        <v>2</v>
      </c>
      <c r="I1723" s="72">
        <v>1</v>
      </c>
      <c r="J1723" s="104">
        <v>0</v>
      </c>
      <c r="K1723" s="72">
        <v>9</v>
      </c>
      <c r="L1723" s="53">
        <f>VLOOKUP(_stats[[#This Row],[tournament]],tournaments_n_rules[],2,0)</f>
        <v>1747</v>
      </c>
      <c r="M1723" s="53" t="str">
        <f>VLOOKUP(_stats[[#This Row],[tournament]],tournaments_n_rules[],3,0)</f>
        <v>Осень 2026</v>
      </c>
      <c r="N1723" s="54">
        <f>VLOOKUP(_stats[[#This Row],[tournament]],tournaments_n_rules[],4,0)</f>
        <v>46285</v>
      </c>
      <c r="O1723" s="54">
        <f>VLOOKUP(_stats[[#This Row],[tournament]],tournaments_n_rules[],5,0)</f>
        <v>46356</v>
      </c>
    </row>
    <row r="1724" spans="1:15" x14ac:dyDescent="0.25">
      <c r="A1724" s="6">
        <v>46313</v>
      </c>
      <c r="B1724" s="72">
        <v>2</v>
      </c>
      <c r="C1724" s="104" t="s">
        <v>33</v>
      </c>
      <c r="D1724" s="10" t="str">
        <f>IFERROR(VLOOKUP(_stats[[#This Row],[player_id]],_players[[player_id]:[player_name]],2,0),"")</f>
        <v>Артем Ширяев</v>
      </c>
      <c r="E1724" s="72">
        <v>0</v>
      </c>
      <c r="F1724" s="102">
        <v>0</v>
      </c>
      <c r="G1724" s="10">
        <f>SUMIFS(_teams[wins_on_date],_teams[date],_stats[[#This Row],[date]],_teams[team_number],_stats[[#This Row],[team_number]])</f>
        <v>4</v>
      </c>
      <c r="H1724" s="10">
        <f>SUMIFS(_teams[draws_on_date],_teams[date],_stats[[#This Row],[date]],_teams[team_number],_stats[[#This Row],[team_number]])</f>
        <v>3</v>
      </c>
      <c r="I1724" s="72">
        <v>0</v>
      </c>
      <c r="J1724" s="104">
        <v>0</v>
      </c>
      <c r="K1724" s="72">
        <v>9</v>
      </c>
      <c r="L1724" s="53">
        <f>VLOOKUP(_stats[[#This Row],[tournament]],tournaments_n_rules[],2,0)</f>
        <v>1747</v>
      </c>
      <c r="M1724" s="53" t="str">
        <f>VLOOKUP(_stats[[#This Row],[tournament]],tournaments_n_rules[],3,0)</f>
        <v>Осень 2026</v>
      </c>
      <c r="N1724" s="54">
        <f>VLOOKUP(_stats[[#This Row],[tournament]],tournaments_n_rules[],4,0)</f>
        <v>46285</v>
      </c>
      <c r="O1724" s="54">
        <f>VLOOKUP(_stats[[#This Row],[tournament]],tournaments_n_rules[],5,0)</f>
        <v>46356</v>
      </c>
    </row>
    <row r="1725" spans="1:15" x14ac:dyDescent="0.25">
      <c r="A1725" s="6">
        <v>46313</v>
      </c>
      <c r="B1725" s="72">
        <v>4</v>
      </c>
      <c r="C1725" s="104" t="s">
        <v>97</v>
      </c>
      <c r="D1725" s="10" t="str">
        <f>IFERROR(VLOOKUP(_stats[[#This Row],[player_id]],_players[[player_id]:[player_name]],2,0),"")</f>
        <v>Умар (Женя+1)</v>
      </c>
      <c r="E1725" s="72">
        <v>0</v>
      </c>
      <c r="F1725" s="102">
        <v>1</v>
      </c>
      <c r="G1725" s="10">
        <f>SUMIFS(_teams[wins_on_date],_teams[date],_stats[[#This Row],[date]],_teams[team_number],_stats[[#This Row],[team_number]])</f>
        <v>5</v>
      </c>
      <c r="H1725" s="10">
        <f>SUMIFS(_teams[draws_on_date],_teams[date],_stats[[#This Row],[date]],_teams[team_number],_stats[[#This Row],[team_number]])</f>
        <v>1</v>
      </c>
      <c r="I1725" s="72">
        <v>0</v>
      </c>
      <c r="J1725" s="104">
        <v>0</v>
      </c>
      <c r="K1725" s="72">
        <v>9</v>
      </c>
      <c r="L1725" s="53">
        <f>VLOOKUP(_stats[[#This Row],[tournament]],tournaments_n_rules[],2,0)</f>
        <v>1747</v>
      </c>
      <c r="M1725" s="53" t="str">
        <f>VLOOKUP(_stats[[#This Row],[tournament]],tournaments_n_rules[],3,0)</f>
        <v>Осень 2026</v>
      </c>
      <c r="N1725" s="54">
        <f>VLOOKUP(_stats[[#This Row],[tournament]],tournaments_n_rules[],4,0)</f>
        <v>46285</v>
      </c>
      <c r="O1725" s="54">
        <f>VLOOKUP(_stats[[#This Row],[tournament]],tournaments_n_rules[],5,0)</f>
        <v>46356</v>
      </c>
    </row>
    <row r="1726" spans="1:15" x14ac:dyDescent="0.25">
      <c r="A1726" s="6">
        <v>46313</v>
      </c>
      <c r="B1726" s="72">
        <v>2</v>
      </c>
      <c r="C1726" s="104" t="s">
        <v>324</v>
      </c>
      <c r="D1726" s="10" t="str">
        <f>IFERROR(VLOOKUP(_stats[[#This Row],[player_id]],_players[[player_id]:[player_name]],2,0),"")</f>
        <v>Ислам (Умар+1)</v>
      </c>
      <c r="E1726" s="72">
        <v>0</v>
      </c>
      <c r="F1726" s="102">
        <v>0</v>
      </c>
      <c r="G1726" s="10">
        <f>SUMIFS(_teams[wins_on_date],_teams[date],_stats[[#This Row],[date]],_teams[team_number],_stats[[#This Row],[team_number]])</f>
        <v>4</v>
      </c>
      <c r="H1726" s="10">
        <f>SUMIFS(_teams[draws_on_date],_teams[date],_stats[[#This Row],[date]],_teams[team_number],_stats[[#This Row],[team_number]])</f>
        <v>3</v>
      </c>
      <c r="I1726" s="72">
        <v>2</v>
      </c>
      <c r="J1726" s="104">
        <v>0</v>
      </c>
      <c r="K1726" s="72">
        <v>9</v>
      </c>
      <c r="L1726" s="53">
        <f>VLOOKUP(_stats[[#This Row],[tournament]],tournaments_n_rules[],2,0)</f>
        <v>1747</v>
      </c>
      <c r="M1726" s="53" t="str">
        <f>VLOOKUP(_stats[[#This Row],[tournament]],tournaments_n_rules[],3,0)</f>
        <v>Осень 2026</v>
      </c>
      <c r="N1726" s="54">
        <f>VLOOKUP(_stats[[#This Row],[tournament]],tournaments_n_rules[],4,0)</f>
        <v>46285</v>
      </c>
      <c r="O1726" s="54">
        <f>VLOOKUP(_stats[[#This Row],[tournament]],tournaments_n_rules[],5,0)</f>
        <v>46356</v>
      </c>
    </row>
    <row r="1727" spans="1:15" x14ac:dyDescent="0.25">
      <c r="A1727" s="6">
        <v>46313</v>
      </c>
      <c r="B1727" s="72">
        <v>1</v>
      </c>
      <c r="C1727" s="104" t="s">
        <v>11</v>
      </c>
      <c r="D1727" s="10" t="str">
        <f>IFERROR(VLOOKUP(_stats[[#This Row],[player_id]],_players[[player_id]:[player_name]],2,0),"")</f>
        <v>Сергей Крюков</v>
      </c>
      <c r="E1727" s="72">
        <v>0</v>
      </c>
      <c r="F1727" s="102">
        <v>0</v>
      </c>
      <c r="G1727" s="10">
        <f>SUMIFS(_teams[wins_on_date],_teams[date],_stats[[#This Row],[date]],_teams[team_number],_stats[[#This Row],[team_number]])</f>
        <v>4</v>
      </c>
      <c r="H1727" s="10">
        <f>SUMIFS(_teams[draws_on_date],_teams[date],_stats[[#This Row],[date]],_teams[team_number],_stats[[#This Row],[team_number]])</f>
        <v>2</v>
      </c>
      <c r="I1727" s="72">
        <v>0</v>
      </c>
      <c r="J1727" s="104">
        <v>0</v>
      </c>
      <c r="K1727" s="72">
        <v>9</v>
      </c>
      <c r="L1727" s="53">
        <f>VLOOKUP(_stats[[#This Row],[tournament]],tournaments_n_rules[],2,0)</f>
        <v>1747</v>
      </c>
      <c r="M1727" s="53" t="str">
        <f>VLOOKUP(_stats[[#This Row],[tournament]],tournaments_n_rules[],3,0)</f>
        <v>Осень 2026</v>
      </c>
      <c r="N1727" s="54">
        <f>VLOOKUP(_stats[[#This Row],[tournament]],tournaments_n_rules[],4,0)</f>
        <v>46285</v>
      </c>
      <c r="O1727" s="54">
        <f>VLOOKUP(_stats[[#This Row],[tournament]],tournaments_n_rules[],5,0)</f>
        <v>46356</v>
      </c>
    </row>
  </sheetData>
  <dataValidations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39"/>
  <sheetViews>
    <sheetView topLeftCell="A202" workbookViewId="0">
      <selection activeCell="D239" sqref="D239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  <row r="221" spans="1:9" x14ac:dyDescent="0.25">
      <c r="A221" s="101">
        <v>46236</v>
      </c>
      <c r="B221" s="72">
        <v>1</v>
      </c>
      <c r="C221" s="102">
        <v>5</v>
      </c>
      <c r="D221" s="102">
        <v>2</v>
      </c>
      <c r="E221" s="72">
        <v>7</v>
      </c>
      <c r="F221" s="53" t="str">
        <f>VLOOKUP(_teams[[#This Row],[tournament]],tournaments_n_rules[],2,0)</f>
        <v>УПК</v>
      </c>
      <c r="G221" s="53" t="str">
        <f>VLOOKUP(_teams[[#This Row],[tournament]],tournaments_n_rules[],3,0)</f>
        <v>Лето 2026</v>
      </c>
      <c r="H221" s="54">
        <f>VLOOKUP(_teams[[#This Row],[tournament]],tournaments_n_rules[],4,0)</f>
        <v>46194</v>
      </c>
      <c r="I221" s="54">
        <f>VLOOKUP(_teams[[#This Row],[tournament]],tournaments_n_rules[],5,0)</f>
        <v>46265</v>
      </c>
    </row>
    <row r="222" spans="1:9" x14ac:dyDescent="0.25">
      <c r="A222" s="101">
        <v>46236</v>
      </c>
      <c r="B222" s="72">
        <v>2</v>
      </c>
      <c r="C222" s="102">
        <v>2</v>
      </c>
      <c r="D222" s="102">
        <v>2</v>
      </c>
      <c r="E222" s="72">
        <v>7</v>
      </c>
      <c r="F222" s="53" t="str">
        <f>VLOOKUP(_teams[[#This Row],[tournament]],tournaments_n_rules[],2,0)</f>
        <v>УПК</v>
      </c>
      <c r="G222" s="53" t="str">
        <f>VLOOKUP(_teams[[#This Row],[tournament]],tournaments_n_rules[],3,0)</f>
        <v>Лето 2026</v>
      </c>
      <c r="H222" s="54">
        <f>VLOOKUP(_teams[[#This Row],[tournament]],tournaments_n_rules[],4,0)</f>
        <v>46194</v>
      </c>
      <c r="I222" s="54">
        <f>VLOOKUP(_teams[[#This Row],[tournament]],tournaments_n_rules[],5,0)</f>
        <v>46265</v>
      </c>
    </row>
    <row r="223" spans="1:9" x14ac:dyDescent="0.25">
      <c r="A223" s="101">
        <v>46236</v>
      </c>
      <c r="B223" s="72">
        <v>3</v>
      </c>
      <c r="C223" s="102">
        <v>2</v>
      </c>
      <c r="D223" s="102">
        <v>2</v>
      </c>
      <c r="E223" s="72">
        <v>7</v>
      </c>
      <c r="F223" s="53" t="str">
        <f>VLOOKUP(_teams[[#This Row],[tournament]],tournaments_n_rules[],2,0)</f>
        <v>УПК</v>
      </c>
      <c r="G223" s="53" t="str">
        <f>VLOOKUP(_teams[[#This Row],[tournament]],tournaments_n_rules[],3,0)</f>
        <v>Лето 2026</v>
      </c>
      <c r="H223" s="54">
        <f>VLOOKUP(_teams[[#This Row],[tournament]],tournaments_n_rules[],4,0)</f>
        <v>46194</v>
      </c>
      <c r="I223" s="54">
        <f>VLOOKUP(_teams[[#This Row],[tournament]],tournaments_n_rules[],5,0)</f>
        <v>46265</v>
      </c>
    </row>
    <row r="224" spans="1:9" x14ac:dyDescent="0.25">
      <c r="A224" s="101">
        <v>46243</v>
      </c>
      <c r="B224" s="72">
        <v>1</v>
      </c>
      <c r="C224" s="102">
        <v>0</v>
      </c>
      <c r="D224" s="102">
        <v>3</v>
      </c>
      <c r="E224" s="72">
        <v>7</v>
      </c>
      <c r="F224" s="53" t="str">
        <f>VLOOKUP(_teams[[#This Row],[tournament]],tournaments_n_rules[],2,0)</f>
        <v>УПК</v>
      </c>
      <c r="G224" s="53" t="str">
        <f>VLOOKUP(_teams[[#This Row],[tournament]],tournaments_n_rules[],3,0)</f>
        <v>Лето 2026</v>
      </c>
      <c r="H224" s="54">
        <f>VLOOKUP(_teams[[#This Row],[tournament]],tournaments_n_rules[],4,0)</f>
        <v>46194</v>
      </c>
      <c r="I224" s="54">
        <f>VLOOKUP(_teams[[#This Row],[tournament]],tournaments_n_rules[],5,0)</f>
        <v>46265</v>
      </c>
    </row>
    <row r="225" spans="1:9" x14ac:dyDescent="0.25">
      <c r="A225" s="101">
        <v>46243</v>
      </c>
      <c r="B225" s="72">
        <v>2</v>
      </c>
      <c r="C225" s="102">
        <v>6</v>
      </c>
      <c r="D225" s="102">
        <v>3</v>
      </c>
      <c r="E225" s="72">
        <v>7</v>
      </c>
      <c r="F225" s="53" t="str">
        <f>VLOOKUP(_teams[[#This Row],[tournament]],tournaments_n_rules[],2,0)</f>
        <v>УПК</v>
      </c>
      <c r="G225" s="53" t="str">
        <f>VLOOKUP(_teams[[#This Row],[tournament]],tournaments_n_rules[],3,0)</f>
        <v>Лето 2026</v>
      </c>
      <c r="H225" s="54">
        <f>VLOOKUP(_teams[[#This Row],[tournament]],tournaments_n_rules[],4,0)</f>
        <v>46194</v>
      </c>
      <c r="I225" s="54">
        <f>VLOOKUP(_teams[[#This Row],[tournament]],tournaments_n_rules[],5,0)</f>
        <v>46265</v>
      </c>
    </row>
    <row r="226" spans="1:9" x14ac:dyDescent="0.25">
      <c r="A226" s="101">
        <v>46243</v>
      </c>
      <c r="B226" s="72">
        <v>3</v>
      </c>
      <c r="C226" s="102">
        <v>2</v>
      </c>
      <c r="D226" s="102">
        <v>2</v>
      </c>
      <c r="E226" s="72">
        <v>7</v>
      </c>
      <c r="F226" s="53" t="str">
        <f>VLOOKUP(_teams[[#This Row],[tournament]],tournaments_n_rules[],2,0)</f>
        <v>УПК</v>
      </c>
      <c r="G226" s="53" t="str">
        <f>VLOOKUP(_teams[[#This Row],[tournament]],tournaments_n_rules[],3,0)</f>
        <v>Лето 2026</v>
      </c>
      <c r="H226" s="54">
        <f>VLOOKUP(_teams[[#This Row],[tournament]],tournaments_n_rules[],4,0)</f>
        <v>46194</v>
      </c>
      <c r="I226" s="54">
        <f>VLOOKUP(_teams[[#This Row],[tournament]],tournaments_n_rules[],5,0)</f>
        <v>46265</v>
      </c>
    </row>
    <row r="227" spans="1:9" x14ac:dyDescent="0.25">
      <c r="A227" s="101">
        <v>46285</v>
      </c>
      <c r="B227" s="72">
        <v>1</v>
      </c>
      <c r="C227" s="102">
        <v>1</v>
      </c>
      <c r="D227" s="102">
        <v>0</v>
      </c>
      <c r="E227" s="72">
        <v>9</v>
      </c>
      <c r="F227" s="53">
        <f>VLOOKUP(_teams[[#This Row],[tournament]],tournaments_n_rules[],2,0)</f>
        <v>1747</v>
      </c>
      <c r="G227" s="53" t="str">
        <f>VLOOKUP(_teams[[#This Row],[tournament]],tournaments_n_rules[],3,0)</f>
        <v>Осень 2026</v>
      </c>
      <c r="H227" s="54">
        <f>VLOOKUP(_teams[[#This Row],[tournament]],tournaments_n_rules[],4,0)</f>
        <v>46285</v>
      </c>
      <c r="I227" s="54">
        <f>VLOOKUP(_teams[[#This Row],[tournament]],tournaments_n_rules[],5,0)</f>
        <v>46356</v>
      </c>
    </row>
    <row r="228" spans="1:9" x14ac:dyDescent="0.25">
      <c r="A228" s="101">
        <v>46285</v>
      </c>
      <c r="B228" s="72">
        <v>2</v>
      </c>
      <c r="C228" s="102">
        <v>0</v>
      </c>
      <c r="D228" s="102">
        <v>0</v>
      </c>
      <c r="E228" s="72">
        <v>9</v>
      </c>
      <c r="F228" s="53">
        <f>VLOOKUP(_teams[[#This Row],[tournament]],tournaments_n_rules[],2,0)</f>
        <v>1747</v>
      </c>
      <c r="G228" s="53" t="str">
        <f>VLOOKUP(_teams[[#This Row],[tournament]],tournaments_n_rules[],3,0)</f>
        <v>Осень 2026</v>
      </c>
      <c r="H228" s="54">
        <f>VLOOKUP(_teams[[#This Row],[tournament]],tournaments_n_rules[],4,0)</f>
        <v>46285</v>
      </c>
      <c r="I228" s="54">
        <f>VLOOKUP(_teams[[#This Row],[tournament]],tournaments_n_rules[],5,0)</f>
        <v>46356</v>
      </c>
    </row>
    <row r="229" spans="1:9" x14ac:dyDescent="0.25">
      <c r="A229" s="101">
        <v>46292</v>
      </c>
      <c r="B229" s="72">
        <v>1</v>
      </c>
      <c r="C229" s="102">
        <v>6</v>
      </c>
      <c r="D229" s="102">
        <v>4</v>
      </c>
      <c r="E229" s="72">
        <v>9</v>
      </c>
      <c r="F229" s="53">
        <f>VLOOKUP(_teams[[#This Row],[tournament]],tournaments_n_rules[],2,0)</f>
        <v>1747</v>
      </c>
      <c r="G229" s="53" t="str">
        <f>VLOOKUP(_teams[[#This Row],[tournament]],tournaments_n_rules[],3,0)</f>
        <v>Осень 2026</v>
      </c>
      <c r="H229" s="54">
        <f>VLOOKUP(_teams[[#This Row],[tournament]],tournaments_n_rules[],4,0)</f>
        <v>46285</v>
      </c>
      <c r="I229" s="54">
        <f>VLOOKUP(_teams[[#This Row],[tournament]],tournaments_n_rules[],5,0)</f>
        <v>46356</v>
      </c>
    </row>
    <row r="230" spans="1:9" x14ac:dyDescent="0.25">
      <c r="A230" s="101">
        <v>46292</v>
      </c>
      <c r="B230" s="72">
        <v>2</v>
      </c>
      <c r="C230" s="102">
        <v>5</v>
      </c>
      <c r="D230" s="102">
        <v>3</v>
      </c>
      <c r="E230" s="72">
        <v>9</v>
      </c>
      <c r="F230" s="53">
        <f>VLOOKUP(_teams[[#This Row],[tournament]],tournaments_n_rules[],2,0)</f>
        <v>1747</v>
      </c>
      <c r="G230" s="53" t="str">
        <f>VLOOKUP(_teams[[#This Row],[tournament]],tournaments_n_rules[],3,0)</f>
        <v>Осень 2026</v>
      </c>
      <c r="H230" s="54">
        <f>VLOOKUP(_teams[[#This Row],[tournament]],tournaments_n_rules[],4,0)</f>
        <v>46285</v>
      </c>
      <c r="I230" s="54">
        <f>VLOOKUP(_teams[[#This Row],[tournament]],tournaments_n_rules[],5,0)</f>
        <v>46356</v>
      </c>
    </row>
    <row r="231" spans="1:9" x14ac:dyDescent="0.25">
      <c r="A231" s="101">
        <v>46292</v>
      </c>
      <c r="B231" s="72">
        <v>3</v>
      </c>
      <c r="C231" s="102">
        <v>1</v>
      </c>
      <c r="D231" s="102">
        <v>3</v>
      </c>
      <c r="E231" s="72">
        <v>9</v>
      </c>
      <c r="F231" s="53">
        <f>VLOOKUP(_teams[[#This Row],[tournament]],tournaments_n_rules[],2,0)</f>
        <v>1747</v>
      </c>
      <c r="G231" s="53" t="str">
        <f>VLOOKUP(_teams[[#This Row],[tournament]],tournaments_n_rules[],3,0)</f>
        <v>Осень 2026</v>
      </c>
      <c r="H231" s="54">
        <f>VLOOKUP(_teams[[#This Row],[tournament]],tournaments_n_rules[],4,0)</f>
        <v>46285</v>
      </c>
      <c r="I231" s="54">
        <f>VLOOKUP(_teams[[#This Row],[tournament]],tournaments_n_rules[],5,0)</f>
        <v>46356</v>
      </c>
    </row>
    <row r="232" spans="1:9" x14ac:dyDescent="0.25">
      <c r="A232" s="101">
        <v>46306</v>
      </c>
      <c r="B232" s="72">
        <v>1</v>
      </c>
      <c r="C232" s="102">
        <v>3</v>
      </c>
      <c r="D232" s="102">
        <v>3</v>
      </c>
      <c r="E232" s="72">
        <v>9</v>
      </c>
      <c r="F232" s="53">
        <f>VLOOKUP(_teams[[#This Row],[tournament]],tournaments_n_rules[],2,0)</f>
        <v>1747</v>
      </c>
      <c r="G232" s="53" t="str">
        <f>VLOOKUP(_teams[[#This Row],[tournament]],tournaments_n_rules[],3,0)</f>
        <v>Осень 2026</v>
      </c>
      <c r="H232" s="54">
        <f>VLOOKUP(_teams[[#This Row],[tournament]],tournaments_n_rules[],4,0)</f>
        <v>46285</v>
      </c>
      <c r="I232" s="54">
        <f>VLOOKUP(_teams[[#This Row],[tournament]],tournaments_n_rules[],5,0)</f>
        <v>46356</v>
      </c>
    </row>
    <row r="233" spans="1:9" x14ac:dyDescent="0.25">
      <c r="A233" s="101">
        <v>46306</v>
      </c>
      <c r="B233" s="72">
        <v>2</v>
      </c>
      <c r="C233" s="102">
        <v>9</v>
      </c>
      <c r="D233" s="102">
        <v>2</v>
      </c>
      <c r="E233" s="72">
        <v>9</v>
      </c>
      <c r="F233" s="53">
        <f>VLOOKUP(_teams[[#This Row],[tournament]],tournaments_n_rules[],2,0)</f>
        <v>1747</v>
      </c>
      <c r="G233" s="53" t="str">
        <f>VLOOKUP(_teams[[#This Row],[tournament]],tournaments_n_rules[],3,0)</f>
        <v>Осень 2026</v>
      </c>
      <c r="H233" s="54">
        <f>VLOOKUP(_teams[[#This Row],[tournament]],tournaments_n_rules[],4,0)</f>
        <v>46285</v>
      </c>
      <c r="I233" s="54">
        <f>VLOOKUP(_teams[[#This Row],[tournament]],tournaments_n_rules[],5,0)</f>
        <v>46356</v>
      </c>
    </row>
    <row r="234" spans="1:9" x14ac:dyDescent="0.25">
      <c r="A234" s="101">
        <v>46306</v>
      </c>
      <c r="B234" s="72">
        <v>3</v>
      </c>
      <c r="C234" s="102">
        <v>3</v>
      </c>
      <c r="D234" s="102">
        <v>2</v>
      </c>
      <c r="E234" s="72">
        <v>9</v>
      </c>
      <c r="F234" s="53">
        <f>VLOOKUP(_teams[[#This Row],[tournament]],tournaments_n_rules[],2,0)</f>
        <v>1747</v>
      </c>
      <c r="G234" s="53" t="str">
        <f>VLOOKUP(_teams[[#This Row],[tournament]],tournaments_n_rules[],3,0)</f>
        <v>Осень 2026</v>
      </c>
      <c r="H234" s="54">
        <f>VLOOKUP(_teams[[#This Row],[tournament]],tournaments_n_rules[],4,0)</f>
        <v>46285</v>
      </c>
      <c r="I234" s="54">
        <f>VLOOKUP(_teams[[#This Row],[tournament]],tournaments_n_rules[],5,0)</f>
        <v>46356</v>
      </c>
    </row>
    <row r="235" spans="1:9" x14ac:dyDescent="0.25">
      <c r="A235" s="101">
        <v>46306</v>
      </c>
      <c r="B235" s="72">
        <v>4</v>
      </c>
      <c r="C235" s="102">
        <v>1</v>
      </c>
      <c r="D235" s="102">
        <v>1</v>
      </c>
      <c r="E235" s="72">
        <v>9</v>
      </c>
      <c r="F235" s="53">
        <f>VLOOKUP(_teams[[#This Row],[tournament]],tournaments_n_rules[],2,0)</f>
        <v>1747</v>
      </c>
      <c r="G235" s="53" t="str">
        <f>VLOOKUP(_teams[[#This Row],[tournament]],tournaments_n_rules[],3,0)</f>
        <v>Осень 2026</v>
      </c>
      <c r="H235" s="54">
        <f>VLOOKUP(_teams[[#This Row],[tournament]],tournaments_n_rules[],4,0)</f>
        <v>46285</v>
      </c>
      <c r="I235" s="54">
        <f>VLOOKUP(_teams[[#This Row],[tournament]],tournaments_n_rules[],5,0)</f>
        <v>46356</v>
      </c>
    </row>
    <row r="236" spans="1:9" x14ac:dyDescent="0.25">
      <c r="A236" s="101">
        <v>46313</v>
      </c>
      <c r="B236" s="72">
        <v>1</v>
      </c>
      <c r="C236" s="102">
        <v>4</v>
      </c>
      <c r="D236" s="102">
        <v>2</v>
      </c>
      <c r="E236" s="72">
        <v>9</v>
      </c>
      <c r="F236" s="53">
        <f>VLOOKUP(_teams[[#This Row],[tournament]],tournaments_n_rules[],2,0)</f>
        <v>1747</v>
      </c>
      <c r="G236" s="53" t="str">
        <f>VLOOKUP(_teams[[#This Row],[tournament]],tournaments_n_rules[],3,0)</f>
        <v>Осень 2026</v>
      </c>
      <c r="H236" s="54">
        <f>VLOOKUP(_teams[[#This Row],[tournament]],tournaments_n_rules[],4,0)</f>
        <v>46285</v>
      </c>
      <c r="I236" s="54">
        <f>VLOOKUP(_teams[[#This Row],[tournament]],tournaments_n_rules[],5,0)</f>
        <v>46356</v>
      </c>
    </row>
    <row r="237" spans="1:9" x14ac:dyDescent="0.25">
      <c r="A237" s="101">
        <v>46313</v>
      </c>
      <c r="B237" s="72">
        <v>2</v>
      </c>
      <c r="C237" s="102">
        <v>4</v>
      </c>
      <c r="D237" s="102">
        <v>3</v>
      </c>
      <c r="E237" s="72">
        <v>9</v>
      </c>
      <c r="F237" s="53">
        <f>VLOOKUP(_teams[[#This Row],[tournament]],tournaments_n_rules[],2,0)</f>
        <v>1747</v>
      </c>
      <c r="G237" s="53" t="str">
        <f>VLOOKUP(_teams[[#This Row],[tournament]],tournaments_n_rules[],3,0)</f>
        <v>Осень 2026</v>
      </c>
      <c r="H237" s="54">
        <f>VLOOKUP(_teams[[#This Row],[tournament]],tournaments_n_rules[],4,0)</f>
        <v>46285</v>
      </c>
      <c r="I237" s="54">
        <f>VLOOKUP(_teams[[#This Row],[tournament]],tournaments_n_rules[],5,0)</f>
        <v>46356</v>
      </c>
    </row>
    <row r="238" spans="1:9" x14ac:dyDescent="0.25">
      <c r="A238" s="101">
        <v>46313</v>
      </c>
      <c r="B238" s="72">
        <v>3</v>
      </c>
      <c r="C238" s="102">
        <v>4</v>
      </c>
      <c r="D238" s="102">
        <v>2</v>
      </c>
      <c r="E238" s="72">
        <v>9</v>
      </c>
      <c r="F238" s="53">
        <f>VLOOKUP(_teams[[#This Row],[tournament]],tournaments_n_rules[],2,0)</f>
        <v>1747</v>
      </c>
      <c r="G238" s="53" t="str">
        <f>VLOOKUP(_teams[[#This Row],[tournament]],tournaments_n_rules[],3,0)</f>
        <v>Осень 2026</v>
      </c>
      <c r="H238" s="54">
        <f>VLOOKUP(_teams[[#This Row],[tournament]],tournaments_n_rules[],4,0)</f>
        <v>46285</v>
      </c>
      <c r="I238" s="54">
        <f>VLOOKUP(_teams[[#This Row],[tournament]],tournaments_n_rules[],5,0)</f>
        <v>46356</v>
      </c>
    </row>
    <row r="239" spans="1:9" x14ac:dyDescent="0.25">
      <c r="A239" s="101">
        <v>46313</v>
      </c>
      <c r="B239" s="72">
        <v>4</v>
      </c>
      <c r="C239" s="102">
        <v>5</v>
      </c>
      <c r="D239" s="102">
        <v>1</v>
      </c>
      <c r="E239" s="72">
        <v>9</v>
      </c>
      <c r="F239" s="53">
        <f>VLOOKUP(_teams[[#This Row],[tournament]],tournaments_n_rules[],2,0)</f>
        <v>1747</v>
      </c>
      <c r="G239" s="53" t="str">
        <f>VLOOKUP(_teams[[#This Row],[tournament]],tournaments_n_rules[],3,0)</f>
        <v>Осень 2026</v>
      </c>
      <c r="H239" s="54">
        <f>VLOOKUP(_teams[[#This Row],[tournament]],tournaments_n_rules[],4,0)</f>
        <v>46285</v>
      </c>
      <c r="I239" s="54">
        <f>VLOOKUP(_teams[[#This Row],[tournament]],tournaments_n_rules[],5,0)</f>
        <v>46356</v>
      </c>
    </row>
  </sheetData>
  <dataValidations count="1">
    <dataValidation type="list" allowBlank="1" showInputMessage="1" showErrorMessage="1" sqref="B2:B239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10"/>
  <sheetViews>
    <sheetView workbookViewId="0">
      <selection activeCell="E17" sqref="E17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  <row r="9" spans="1:11" x14ac:dyDescent="0.25">
      <c r="A9" s="44">
        <v>8</v>
      </c>
      <c r="B9" s="9">
        <v>1900</v>
      </c>
      <c r="C9" s="43" t="s">
        <v>220</v>
      </c>
      <c r="D9" s="45">
        <v>46236</v>
      </c>
      <c r="E9" s="45">
        <v>46265</v>
      </c>
      <c r="F9" s="7">
        <v>1</v>
      </c>
      <c r="G9" s="7">
        <v>1</v>
      </c>
      <c r="H9" s="7">
        <v>2</v>
      </c>
      <c r="I9" s="7">
        <v>1</v>
      </c>
      <c r="J9" s="7">
        <v>1</v>
      </c>
      <c r="K9" s="8">
        <v>-2</v>
      </c>
    </row>
    <row r="10" spans="1:11" x14ac:dyDescent="0.25">
      <c r="A10" s="44">
        <v>9</v>
      </c>
      <c r="B10" s="9">
        <v>1747</v>
      </c>
      <c r="C10" s="43" t="s">
        <v>319</v>
      </c>
      <c r="D10" s="45">
        <v>46285</v>
      </c>
      <c r="E10" s="45">
        <v>46356</v>
      </c>
      <c r="F10" s="7">
        <v>1</v>
      </c>
      <c r="G10" s="7">
        <v>1</v>
      </c>
      <c r="H10" s="7">
        <v>2</v>
      </c>
      <c r="I10" s="7">
        <v>1</v>
      </c>
      <c r="J10" s="7">
        <v>1</v>
      </c>
      <c r="K10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topLeftCell="A4" workbookViewId="0">
      <selection activeCell="C37" sqref="C37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292</v>
      </c>
      <c r="C22" s="100" t="s">
        <v>293</v>
      </c>
      <c r="D22" s="105" t="s">
        <v>298</v>
      </c>
    </row>
    <row r="23" spans="1:4" ht="30" x14ac:dyDescent="0.25">
      <c r="A23" s="106">
        <v>22</v>
      </c>
      <c r="B23" s="105" t="s">
        <v>299</v>
      </c>
      <c r="C23" s="107" t="s">
        <v>300</v>
      </c>
      <c r="D23" s="105" t="s">
        <v>301</v>
      </c>
    </row>
    <row r="24" spans="1:4" ht="30" x14ac:dyDescent="0.25">
      <c r="A24" s="106">
        <v>23</v>
      </c>
      <c r="B24" s="105" t="s">
        <v>304</v>
      </c>
      <c r="C24" s="107" t="s">
        <v>305</v>
      </c>
      <c r="D24" s="105" t="s">
        <v>306</v>
      </c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500"/>
  <sheetViews>
    <sheetView topLeftCell="A190" workbookViewId="0">
      <selection activeCell="D225" sqref="D225"/>
    </sheetView>
  </sheetViews>
  <sheetFormatPr defaultRowHeight="15" x14ac:dyDescent="0.25"/>
  <cols>
    <col min="1" max="1" width="23.5703125" bestFit="1" customWidth="1"/>
    <col min="2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302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302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302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302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302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302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302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302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302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302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302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302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302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302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302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302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302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302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302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302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302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302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302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302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302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302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302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302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302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302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302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302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302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302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302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302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302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302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302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302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302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302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302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302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302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302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302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302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302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302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302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302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302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302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302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302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302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302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302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302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302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302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302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302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302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302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302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302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302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302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302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302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302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302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302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302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302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302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302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302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302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302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302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302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302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302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302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302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302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302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302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302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302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302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302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302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302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302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302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302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302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302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302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302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302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302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302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302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302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302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302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302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302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302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302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302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302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302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302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302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302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302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302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302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302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302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302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302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302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302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302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302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302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302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302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302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302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302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302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302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302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302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302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302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302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302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302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302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302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302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302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302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302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302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302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302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302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302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302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302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302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302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302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302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302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302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302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302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302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302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302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302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302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302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302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302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302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302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302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302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302</v>
      </c>
    </row>
    <row r="187" spans="1:4" x14ac:dyDescent="0.25">
      <c r="A187" s="95" t="s">
        <v>290</v>
      </c>
      <c r="B187" s="96">
        <v>10</v>
      </c>
      <c r="C187" s="70">
        <v>46023</v>
      </c>
      <c r="D187" s="71" t="s">
        <v>302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302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291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291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291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291</v>
      </c>
    </row>
    <row r="193" spans="1:4" x14ac:dyDescent="0.25">
      <c r="A193" s="108" t="s">
        <v>92</v>
      </c>
      <c r="B193" s="109">
        <v>21</v>
      </c>
      <c r="C193" s="110">
        <v>46229</v>
      </c>
      <c r="D193" s="71" t="s">
        <v>303</v>
      </c>
    </row>
    <row r="194" spans="1:4" x14ac:dyDescent="0.25">
      <c r="A194" s="108" t="s">
        <v>23</v>
      </c>
      <c r="B194" s="109">
        <v>19</v>
      </c>
      <c r="C194" s="110">
        <v>46229</v>
      </c>
      <c r="D194" s="71" t="s">
        <v>303</v>
      </c>
    </row>
    <row r="195" spans="1:4" x14ac:dyDescent="0.25">
      <c r="A195" s="103" t="s">
        <v>294</v>
      </c>
      <c r="B195" s="96">
        <v>10</v>
      </c>
      <c r="C195" s="70">
        <v>46229</v>
      </c>
      <c r="D195" s="71" t="s">
        <v>303</v>
      </c>
    </row>
    <row r="196" spans="1:4" x14ac:dyDescent="0.25">
      <c r="A196" s="103" t="s">
        <v>295</v>
      </c>
      <c r="B196" s="96">
        <v>10</v>
      </c>
      <c r="C196" s="70">
        <v>46229</v>
      </c>
      <c r="D196" s="71" t="s">
        <v>303</v>
      </c>
    </row>
    <row r="197" spans="1:4" x14ac:dyDescent="0.25">
      <c r="A197" s="103" t="s">
        <v>296</v>
      </c>
      <c r="B197" s="96">
        <v>10</v>
      </c>
      <c r="C197" s="70">
        <v>46229</v>
      </c>
      <c r="D197" s="71" t="s">
        <v>303</v>
      </c>
    </row>
    <row r="198" spans="1:4" x14ac:dyDescent="0.25">
      <c r="A198" s="103" t="s">
        <v>297</v>
      </c>
      <c r="B198" s="96">
        <v>10</v>
      </c>
      <c r="C198" s="70">
        <v>46229</v>
      </c>
      <c r="D198" s="71" t="s">
        <v>303</v>
      </c>
    </row>
    <row r="199" spans="1:4" x14ac:dyDescent="0.25">
      <c r="A199" s="108" t="s">
        <v>13</v>
      </c>
      <c r="B199" s="109">
        <v>23</v>
      </c>
      <c r="C199" s="70">
        <v>46229</v>
      </c>
      <c r="D199" s="71" t="s">
        <v>307</v>
      </c>
    </row>
    <row r="200" spans="1:4" x14ac:dyDescent="0.25">
      <c r="A200" s="108" t="s">
        <v>126</v>
      </c>
      <c r="B200" s="109">
        <v>19</v>
      </c>
      <c r="C200" s="110">
        <v>46236</v>
      </c>
      <c r="D200" s="71" t="s">
        <v>302</v>
      </c>
    </row>
    <row r="201" spans="1:4" x14ac:dyDescent="0.25">
      <c r="A201" s="111" t="s">
        <v>308</v>
      </c>
      <c r="B201" s="109">
        <v>10</v>
      </c>
      <c r="C201" s="110">
        <v>46236</v>
      </c>
      <c r="D201" s="71" t="s">
        <v>302</v>
      </c>
    </row>
    <row r="202" spans="1:4" x14ac:dyDescent="0.25">
      <c r="A202" s="111" t="s">
        <v>309</v>
      </c>
      <c r="B202" s="109">
        <v>10</v>
      </c>
      <c r="C202" s="110">
        <v>46236</v>
      </c>
      <c r="D202" s="71" t="s">
        <v>302</v>
      </c>
    </row>
    <row r="203" spans="1:4" x14ac:dyDescent="0.25">
      <c r="A203" s="111" t="s">
        <v>310</v>
      </c>
      <c r="B203" s="109">
        <v>10</v>
      </c>
      <c r="C203" s="110">
        <v>46236</v>
      </c>
      <c r="D203" s="71" t="s">
        <v>302</v>
      </c>
    </row>
    <row r="204" spans="1:4" x14ac:dyDescent="0.25">
      <c r="A204" s="108" t="s">
        <v>8</v>
      </c>
      <c r="B204" s="109">
        <v>23</v>
      </c>
      <c r="C204" s="110">
        <v>46236</v>
      </c>
      <c r="D204" s="71" t="s">
        <v>311</v>
      </c>
    </row>
    <row r="205" spans="1:4" x14ac:dyDescent="0.25">
      <c r="A205" s="108" t="s">
        <v>65</v>
      </c>
      <c r="B205" s="109">
        <v>10</v>
      </c>
      <c r="C205" s="110">
        <v>46243</v>
      </c>
      <c r="D205" s="71" t="s">
        <v>302</v>
      </c>
    </row>
    <row r="206" spans="1:4" x14ac:dyDescent="0.25">
      <c r="A206" s="108" t="s">
        <v>65</v>
      </c>
      <c r="B206" s="109">
        <v>9</v>
      </c>
      <c r="C206" s="110">
        <v>46243</v>
      </c>
      <c r="D206" s="71" t="s">
        <v>302</v>
      </c>
    </row>
    <row r="207" spans="1:4" x14ac:dyDescent="0.25">
      <c r="A207" s="114" t="s">
        <v>48</v>
      </c>
      <c r="B207" s="109">
        <v>15</v>
      </c>
      <c r="C207" s="110">
        <v>46243</v>
      </c>
      <c r="D207" s="71" t="s">
        <v>302</v>
      </c>
    </row>
    <row r="208" spans="1:4" x14ac:dyDescent="0.25">
      <c r="A208" s="108" t="s">
        <v>55</v>
      </c>
      <c r="B208" s="109">
        <v>15</v>
      </c>
      <c r="C208" s="110">
        <v>46243</v>
      </c>
      <c r="D208" s="71" t="s">
        <v>302</v>
      </c>
    </row>
    <row r="209" spans="1:4" x14ac:dyDescent="0.25">
      <c r="A209" s="113" t="s">
        <v>17</v>
      </c>
      <c r="B209" s="109">
        <v>15</v>
      </c>
      <c r="C209" s="110">
        <v>46243</v>
      </c>
      <c r="D209" s="71" t="s">
        <v>302</v>
      </c>
    </row>
    <row r="210" spans="1:4" x14ac:dyDescent="0.25">
      <c r="A210" s="113" t="s">
        <v>26</v>
      </c>
      <c r="B210" s="109">
        <v>15</v>
      </c>
      <c r="C210" s="110">
        <v>46243</v>
      </c>
      <c r="D210" s="71" t="s">
        <v>302</v>
      </c>
    </row>
    <row r="211" spans="1:4" x14ac:dyDescent="0.25">
      <c r="A211" s="113" t="s">
        <v>126</v>
      </c>
      <c r="B211" s="109">
        <v>15</v>
      </c>
      <c r="C211" s="110">
        <v>46243</v>
      </c>
      <c r="D211" s="71" t="s">
        <v>302</v>
      </c>
    </row>
    <row r="212" spans="1:4" x14ac:dyDescent="0.25">
      <c r="A212" s="113" t="s">
        <v>64</v>
      </c>
      <c r="B212" s="109">
        <v>15</v>
      </c>
      <c r="C212" s="110">
        <v>46243</v>
      </c>
      <c r="D212" s="71" t="s">
        <v>302</v>
      </c>
    </row>
    <row r="213" spans="1:4" x14ac:dyDescent="0.25">
      <c r="A213" s="108" t="s">
        <v>19</v>
      </c>
      <c r="B213" s="109">
        <v>15</v>
      </c>
      <c r="C213" s="110">
        <v>46243</v>
      </c>
      <c r="D213" s="71" t="s">
        <v>302</v>
      </c>
    </row>
    <row r="214" spans="1:4" x14ac:dyDescent="0.25">
      <c r="A214" s="108" t="s">
        <v>44</v>
      </c>
      <c r="B214" s="109">
        <v>15</v>
      </c>
      <c r="C214" s="110">
        <v>46243</v>
      </c>
      <c r="D214" s="71" t="s">
        <v>302</v>
      </c>
    </row>
    <row r="215" spans="1:4" x14ac:dyDescent="0.25">
      <c r="A215" s="113" t="s">
        <v>46</v>
      </c>
      <c r="B215" s="109">
        <v>15</v>
      </c>
      <c r="C215" s="110">
        <v>46243</v>
      </c>
      <c r="D215" s="71" t="s">
        <v>302</v>
      </c>
    </row>
    <row r="216" spans="1:4" x14ac:dyDescent="0.25">
      <c r="A216" s="108" t="s">
        <v>135</v>
      </c>
      <c r="B216" s="109">
        <v>15</v>
      </c>
      <c r="C216" s="110">
        <v>46243</v>
      </c>
      <c r="D216" s="71" t="s">
        <v>302</v>
      </c>
    </row>
    <row r="217" spans="1:4" x14ac:dyDescent="0.25">
      <c r="A217" s="108" t="s">
        <v>12</v>
      </c>
      <c r="B217" s="109">
        <v>13</v>
      </c>
      <c r="C217" s="110">
        <v>46278</v>
      </c>
      <c r="D217" s="71" t="s">
        <v>317</v>
      </c>
    </row>
    <row r="218" spans="1:4" x14ac:dyDescent="0.25">
      <c r="A218" s="108" t="s">
        <v>69</v>
      </c>
      <c r="B218" s="109">
        <v>2</v>
      </c>
      <c r="C218" s="110">
        <v>46292</v>
      </c>
      <c r="D218" s="71" t="s">
        <v>302</v>
      </c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  <row r="500" spans="1:4" x14ac:dyDescent="0.25">
      <c r="A500" s="60"/>
      <c r="B500" s="60"/>
      <c r="C500" s="62"/>
      <c r="D500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  <hyperlink ref="D27" r:id="rId5" display="https://mitino.streamlit.app" xr:uid="{B576F1F2-3035-48B5-A4A5-E43E300382D5}"/>
    <hyperlink ref="D199" r:id="rId6" xr:uid="{19E2A671-F488-43DB-BB1C-340CFA770393}"/>
    <hyperlink ref="D204" r:id="rId7" xr:uid="{FBE0953B-B4A4-4935-B5C0-B7E0DDD905B4}"/>
    <hyperlink ref="D217" r:id="rId8" xr:uid="{C5566EA2-CECF-4670-9DA4-B0DAF3426AD8}"/>
    <hyperlink ref="D216" r:id="rId9" xr:uid="{BC7CAAA1-A1B9-4375-A9C3-849C484493E1}"/>
    <hyperlink ref="D218" r:id="rId10" xr:uid="{5FB21B47-DB38-4CEC-9263-549874BAB77E}"/>
  </hyperlinks>
  <pageMargins left="0.7" right="0.7" top="0.75" bottom="0.75" header="0.3" footer="0.3"/>
  <tableParts count="1"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M14" sqref="M14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2026-10-18T11:26:23Z</dcterms:modified>
</cp:coreProperties>
</file>