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1175494D-3312-4883-BFD9-1A4116070FA9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99" i="1" l="1"/>
  <c r="D199" i="1"/>
  <c r="C199" i="1"/>
  <c r="H1668" i="2"/>
  <c r="G1668" i="2"/>
  <c r="D1668" i="2"/>
  <c r="G198" i="1"/>
  <c r="D198" i="1"/>
  <c r="C198" i="1"/>
  <c r="G197" i="1"/>
  <c r="F197" i="1"/>
  <c r="E197" i="1"/>
  <c r="D197" i="1"/>
  <c r="C197" i="1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H1673" i="2"/>
  <c r="G1673" i="2"/>
  <c r="H1672" i="2"/>
  <c r="F198" i="1" s="1"/>
  <c r="G1672" i="2"/>
  <c r="E198" i="1" s="1"/>
  <c r="H1671" i="2"/>
  <c r="G1671" i="2"/>
  <c r="H1670" i="2"/>
  <c r="G1670" i="2"/>
  <c r="H1669" i="2"/>
  <c r="G1669" i="2"/>
  <c r="H1667" i="2"/>
  <c r="G1667" i="2"/>
  <c r="H1666" i="2"/>
  <c r="G1666" i="2"/>
  <c r="H1665" i="2"/>
  <c r="G1665" i="2"/>
  <c r="H1664" i="2"/>
  <c r="G1664" i="2"/>
  <c r="H1663" i="2"/>
  <c r="G1663" i="2"/>
  <c r="H1662" i="2"/>
  <c r="G1662" i="2"/>
  <c r="H1661" i="2"/>
  <c r="G1661" i="2"/>
  <c r="H1660" i="2"/>
  <c r="G1660" i="2"/>
  <c r="H1659" i="2"/>
  <c r="G1659" i="2"/>
  <c r="H1658" i="2"/>
  <c r="G1658" i="2"/>
  <c r="H1657" i="2"/>
  <c r="G1657" i="2"/>
  <c r="H1656" i="2"/>
  <c r="F199" i="1" s="1"/>
  <c r="G1656" i="2"/>
  <c r="E199" i="1" s="1"/>
  <c r="H1655" i="2"/>
  <c r="G1655" i="2"/>
  <c r="H1654" i="2"/>
  <c r="G1654" i="2"/>
  <c r="H1653" i="2"/>
  <c r="G1653" i="2"/>
  <c r="H1652" i="2"/>
  <c r="G1652" i="2"/>
  <c r="H1651" i="2"/>
  <c r="G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F196" i="1" s="1"/>
  <c r="G1647" i="2"/>
  <c r="E196" i="1" s="1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G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G1633" i="2"/>
  <c r="H1632" i="2"/>
  <c r="G1632" i="2"/>
  <c r="H1631" i="2"/>
  <c r="F194" i="1" s="1"/>
  <c r="G1631" i="2"/>
  <c r="E194" i="1" s="1"/>
  <c r="H1630" i="2"/>
  <c r="G1630" i="2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N188" i="2" s="1"/>
  <c r="A2" i="4"/>
  <c r="L718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F162" i="1" s="1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H815" i="2"/>
  <c r="G815" i="2"/>
  <c r="D815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H774" i="2"/>
  <c r="G774" i="2"/>
  <c r="D774" i="2"/>
  <c r="H773" i="2"/>
  <c r="G773" i="2"/>
  <c r="D773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H767" i="2"/>
  <c r="G767" i="2"/>
  <c r="D767" i="2"/>
  <c r="L766" i="2"/>
  <c r="H766" i="2"/>
  <c r="G766" i="2"/>
  <c r="D766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H731" i="2"/>
  <c r="G731" i="2"/>
  <c r="D731" i="2"/>
  <c r="H730" i="2"/>
  <c r="G730" i="2"/>
  <c r="D730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H718" i="2"/>
  <c r="G718" i="2"/>
  <c r="D718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H640" i="2"/>
  <c r="G640" i="2"/>
  <c r="D640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H585" i="2"/>
  <c r="F98" i="1" s="1"/>
  <c r="G585" i="2"/>
  <c r="E98" i="1" s="1"/>
  <c r="D585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H496" i="2"/>
  <c r="G496" i="2"/>
  <c r="D496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H489" i="2"/>
  <c r="G489" i="2"/>
  <c r="D489" i="2"/>
  <c r="N488" i="2"/>
  <c r="H488" i="2"/>
  <c r="G488" i="2"/>
  <c r="D488" i="2"/>
  <c r="N487" i="2"/>
  <c r="M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N484" i="2"/>
  <c r="M484" i="2"/>
  <c r="H484" i="2"/>
  <c r="G484" i="2"/>
  <c r="D484" i="2"/>
  <c r="O483" i="2"/>
  <c r="N483" i="2"/>
  <c r="L483" i="2"/>
  <c r="H483" i="2"/>
  <c r="G483" i="2"/>
  <c r="D483" i="2"/>
  <c r="O482" i="2"/>
  <c r="N482" i="2"/>
  <c r="M482" i="2"/>
  <c r="L482" i="2"/>
  <c r="H482" i="2"/>
  <c r="G482" i="2"/>
  <c r="D482" i="2"/>
  <c r="N481" i="2"/>
  <c r="M481" i="2"/>
  <c r="H481" i="2"/>
  <c r="G481" i="2"/>
  <c r="D481" i="2"/>
  <c r="O480" i="2"/>
  <c r="N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H478" i="2"/>
  <c r="G478" i="2"/>
  <c r="D478" i="2"/>
  <c r="O477" i="2"/>
  <c r="N477" i="2"/>
  <c r="L477" i="2"/>
  <c r="H477" i="2"/>
  <c r="G477" i="2"/>
  <c r="D477" i="2"/>
  <c r="O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L474" i="2"/>
  <c r="H474" i="2"/>
  <c r="G474" i="2"/>
  <c r="D474" i="2"/>
  <c r="O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L471" i="2"/>
  <c r="H471" i="2"/>
  <c r="G471" i="2"/>
  <c r="D471" i="2"/>
  <c r="O470" i="2"/>
  <c r="M470" i="2"/>
  <c r="L470" i="2"/>
  <c r="H470" i="2"/>
  <c r="G470" i="2"/>
  <c r="D470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M467" i="2"/>
  <c r="L467" i="2"/>
  <c r="H467" i="2"/>
  <c r="G467" i="2"/>
  <c r="D467" i="2"/>
  <c r="N466" i="2"/>
  <c r="M466" i="2"/>
  <c r="H466" i="2"/>
  <c r="G466" i="2"/>
  <c r="D466" i="2"/>
  <c r="O465" i="2"/>
  <c r="N465" i="2"/>
  <c r="M465" i="2"/>
  <c r="L465" i="2"/>
  <c r="H465" i="2"/>
  <c r="G465" i="2"/>
  <c r="D465" i="2"/>
  <c r="O464" i="2"/>
  <c r="M464" i="2"/>
  <c r="L464" i="2"/>
  <c r="H464" i="2"/>
  <c r="G464" i="2"/>
  <c r="D464" i="2"/>
  <c r="N463" i="2"/>
  <c r="M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N460" i="2"/>
  <c r="M460" i="2"/>
  <c r="H460" i="2"/>
  <c r="G460" i="2"/>
  <c r="D460" i="2"/>
  <c r="O459" i="2"/>
  <c r="N459" i="2"/>
  <c r="L459" i="2"/>
  <c r="H459" i="2"/>
  <c r="G459" i="2"/>
  <c r="D459" i="2"/>
  <c r="O458" i="2"/>
  <c r="N458" i="2"/>
  <c r="M458" i="2"/>
  <c r="L458" i="2"/>
  <c r="H458" i="2"/>
  <c r="G458" i="2"/>
  <c r="D458" i="2"/>
  <c r="N457" i="2"/>
  <c r="M457" i="2"/>
  <c r="H457" i="2"/>
  <c r="G457" i="2"/>
  <c r="D457" i="2"/>
  <c r="O456" i="2"/>
  <c r="N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H454" i="2"/>
  <c r="G454" i="2"/>
  <c r="D454" i="2"/>
  <c r="O453" i="2"/>
  <c r="N453" i="2"/>
  <c r="L453" i="2"/>
  <c r="H453" i="2"/>
  <c r="G453" i="2"/>
  <c r="D453" i="2"/>
  <c r="O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L450" i="2"/>
  <c r="H450" i="2"/>
  <c r="G450" i="2"/>
  <c r="D450" i="2"/>
  <c r="O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L447" i="2"/>
  <c r="H447" i="2"/>
  <c r="G447" i="2"/>
  <c r="D447" i="2"/>
  <c r="O446" i="2"/>
  <c r="M446" i="2"/>
  <c r="L446" i="2"/>
  <c r="H446" i="2"/>
  <c r="G446" i="2"/>
  <c r="D446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M443" i="2"/>
  <c r="L443" i="2"/>
  <c r="H443" i="2"/>
  <c r="G443" i="2"/>
  <c r="D443" i="2"/>
  <c r="N442" i="2"/>
  <c r="M442" i="2"/>
  <c r="H442" i="2"/>
  <c r="G442" i="2"/>
  <c r="D442" i="2"/>
  <c r="O441" i="2"/>
  <c r="N441" i="2"/>
  <c r="M441" i="2"/>
  <c r="L441" i="2"/>
  <c r="H441" i="2"/>
  <c r="G441" i="2"/>
  <c r="D441" i="2"/>
  <c r="O440" i="2"/>
  <c r="M440" i="2"/>
  <c r="L440" i="2"/>
  <c r="H440" i="2"/>
  <c r="G440" i="2"/>
  <c r="D440" i="2"/>
  <c r="N439" i="2"/>
  <c r="M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N436" i="2"/>
  <c r="M436" i="2"/>
  <c r="H436" i="2"/>
  <c r="G436" i="2"/>
  <c r="D436" i="2"/>
  <c r="O435" i="2"/>
  <c r="N435" i="2"/>
  <c r="L435" i="2"/>
  <c r="H435" i="2"/>
  <c r="G435" i="2"/>
  <c r="D435" i="2"/>
  <c r="O434" i="2"/>
  <c r="N434" i="2"/>
  <c r="M434" i="2"/>
  <c r="L434" i="2"/>
  <c r="H434" i="2"/>
  <c r="G434" i="2"/>
  <c r="D434" i="2"/>
  <c r="N433" i="2"/>
  <c r="M433" i="2"/>
  <c r="H433" i="2"/>
  <c r="G433" i="2"/>
  <c r="D433" i="2"/>
  <c r="O432" i="2"/>
  <c r="N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H430" i="2"/>
  <c r="G430" i="2"/>
  <c r="D430" i="2"/>
  <c r="O429" i="2"/>
  <c r="N429" i="2"/>
  <c r="L429" i="2"/>
  <c r="H429" i="2"/>
  <c r="G429" i="2"/>
  <c r="D429" i="2"/>
  <c r="O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L426" i="2"/>
  <c r="H426" i="2"/>
  <c r="G426" i="2"/>
  <c r="D426" i="2"/>
  <c r="O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L423" i="2"/>
  <c r="H423" i="2"/>
  <c r="G423" i="2"/>
  <c r="D423" i="2"/>
  <c r="O422" i="2"/>
  <c r="M422" i="2"/>
  <c r="L422" i="2"/>
  <c r="H422" i="2"/>
  <c r="G422" i="2"/>
  <c r="D422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M419" i="2"/>
  <c r="L419" i="2"/>
  <c r="H419" i="2"/>
  <c r="G419" i="2"/>
  <c r="D419" i="2"/>
  <c r="N418" i="2"/>
  <c r="M418" i="2"/>
  <c r="H418" i="2"/>
  <c r="G418" i="2"/>
  <c r="D418" i="2"/>
  <c r="O417" i="2"/>
  <c r="N417" i="2"/>
  <c r="M417" i="2"/>
  <c r="L417" i="2"/>
  <c r="H417" i="2"/>
  <c r="G417" i="2"/>
  <c r="D417" i="2"/>
  <c r="O416" i="2"/>
  <c r="M416" i="2"/>
  <c r="L416" i="2"/>
  <c r="H416" i="2"/>
  <c r="G416" i="2"/>
  <c r="D416" i="2"/>
  <c r="N415" i="2"/>
  <c r="M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N412" i="2"/>
  <c r="M412" i="2"/>
  <c r="H412" i="2"/>
  <c r="G412" i="2"/>
  <c r="D412" i="2"/>
  <c r="O411" i="2"/>
  <c r="N411" i="2"/>
  <c r="L411" i="2"/>
  <c r="H411" i="2"/>
  <c r="G411" i="2"/>
  <c r="D411" i="2"/>
  <c r="O410" i="2"/>
  <c r="N410" i="2"/>
  <c r="M410" i="2"/>
  <c r="L410" i="2"/>
  <c r="H410" i="2"/>
  <c r="G410" i="2"/>
  <c r="D410" i="2"/>
  <c r="N409" i="2"/>
  <c r="M409" i="2"/>
  <c r="H409" i="2"/>
  <c r="G409" i="2"/>
  <c r="D409" i="2"/>
  <c r="O408" i="2"/>
  <c r="N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H406" i="2"/>
  <c r="G406" i="2"/>
  <c r="D406" i="2"/>
  <c r="O405" i="2"/>
  <c r="N405" i="2"/>
  <c r="L405" i="2"/>
  <c r="H405" i="2"/>
  <c r="G405" i="2"/>
  <c r="D405" i="2"/>
  <c r="O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L402" i="2"/>
  <c r="H402" i="2"/>
  <c r="G402" i="2"/>
  <c r="D402" i="2"/>
  <c r="O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E86" i="1" s="1"/>
  <c r="D400" i="2"/>
  <c r="O399" i="2"/>
  <c r="N399" i="2"/>
  <c r="L399" i="2"/>
  <c r="H399" i="2"/>
  <c r="G399" i="2"/>
  <c r="D399" i="2"/>
  <c r="O398" i="2"/>
  <c r="M398" i="2"/>
  <c r="L398" i="2"/>
  <c r="H398" i="2"/>
  <c r="G398" i="2"/>
  <c r="D398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M395" i="2"/>
  <c r="L395" i="2"/>
  <c r="H395" i="2"/>
  <c r="G395" i="2"/>
  <c r="D395" i="2"/>
  <c r="N394" i="2"/>
  <c r="M394" i="2"/>
  <c r="H394" i="2"/>
  <c r="G394" i="2"/>
  <c r="D394" i="2"/>
  <c r="O393" i="2"/>
  <c r="N393" i="2"/>
  <c r="M393" i="2"/>
  <c r="L393" i="2"/>
  <c r="H393" i="2"/>
  <c r="G393" i="2"/>
  <c r="D393" i="2"/>
  <c r="O392" i="2"/>
  <c r="M392" i="2"/>
  <c r="L392" i="2"/>
  <c r="H392" i="2"/>
  <c r="F85" i="1" s="1"/>
  <c r="G392" i="2"/>
  <c r="E85" i="1" s="1"/>
  <c r="D392" i="2"/>
  <c r="N391" i="2"/>
  <c r="M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H388" i="2"/>
  <c r="G388" i="2"/>
  <c r="D388" i="2"/>
  <c r="O387" i="2"/>
  <c r="N387" i="2"/>
  <c r="L387" i="2"/>
  <c r="H387" i="2"/>
  <c r="G387" i="2"/>
  <c r="D387" i="2"/>
  <c r="O386" i="2"/>
  <c r="N386" i="2"/>
  <c r="M386" i="2"/>
  <c r="L386" i="2"/>
  <c r="H386" i="2"/>
  <c r="G386" i="2"/>
  <c r="D386" i="2"/>
  <c r="N385" i="2"/>
  <c r="M385" i="2"/>
  <c r="L385" i="2"/>
  <c r="H385" i="2"/>
  <c r="G385" i="2"/>
  <c r="D385" i="2"/>
  <c r="O384" i="2"/>
  <c r="N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H382" i="2"/>
  <c r="G382" i="2"/>
  <c r="D382" i="2"/>
  <c r="O381" i="2"/>
  <c r="N381" i="2"/>
  <c r="L381" i="2"/>
  <c r="H381" i="2"/>
  <c r="G381" i="2"/>
  <c r="D381" i="2"/>
  <c r="O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L375" i="2"/>
  <c r="H375" i="2"/>
  <c r="G375" i="2"/>
  <c r="D375" i="2"/>
  <c r="O374" i="2"/>
  <c r="M374" i="2"/>
  <c r="L374" i="2"/>
  <c r="H374" i="2"/>
  <c r="G374" i="2"/>
  <c r="D374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N370" i="2"/>
  <c r="M370" i="2"/>
  <c r="H370" i="2"/>
  <c r="G370" i="2"/>
  <c r="D370" i="2"/>
  <c r="O369" i="2"/>
  <c r="N369" i="2"/>
  <c r="M369" i="2"/>
  <c r="L369" i="2"/>
  <c r="H369" i="2"/>
  <c r="G369" i="2"/>
  <c r="D369" i="2"/>
  <c r="O368" i="2"/>
  <c r="M368" i="2"/>
  <c r="L368" i="2"/>
  <c r="H368" i="2"/>
  <c r="G368" i="2"/>
  <c r="D368" i="2"/>
  <c r="N367" i="2"/>
  <c r="M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H364" i="2"/>
  <c r="G364" i="2"/>
  <c r="D364" i="2"/>
  <c r="O363" i="2"/>
  <c r="N363" i="2"/>
  <c r="L363" i="2"/>
  <c r="H363" i="2"/>
  <c r="G363" i="2"/>
  <c r="D363" i="2"/>
  <c r="O362" i="2"/>
  <c r="N362" i="2"/>
  <c r="M362" i="2"/>
  <c r="L362" i="2"/>
  <c r="H362" i="2"/>
  <c r="G362" i="2"/>
  <c r="D362" i="2"/>
  <c r="N361" i="2"/>
  <c r="M361" i="2"/>
  <c r="L361" i="2"/>
  <c r="H361" i="2"/>
  <c r="G361" i="2"/>
  <c r="D361" i="2"/>
  <c r="O360" i="2"/>
  <c r="N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H358" i="2"/>
  <c r="G358" i="2"/>
  <c r="D358" i="2"/>
  <c r="O357" i="2"/>
  <c r="N357" i="2"/>
  <c r="L357" i="2"/>
  <c r="H357" i="2"/>
  <c r="G357" i="2"/>
  <c r="D357" i="2"/>
  <c r="O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L351" i="2"/>
  <c r="H351" i="2"/>
  <c r="G351" i="2"/>
  <c r="D351" i="2"/>
  <c r="O350" i="2"/>
  <c r="M350" i="2"/>
  <c r="L350" i="2"/>
  <c r="H350" i="2"/>
  <c r="G350" i="2"/>
  <c r="D350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N346" i="2"/>
  <c r="M346" i="2"/>
  <c r="H346" i="2"/>
  <c r="G346" i="2"/>
  <c r="D346" i="2"/>
  <c r="O345" i="2"/>
  <c r="N345" i="2"/>
  <c r="M345" i="2"/>
  <c r="L345" i="2"/>
  <c r="H345" i="2"/>
  <c r="G345" i="2"/>
  <c r="D345" i="2"/>
  <c r="O344" i="2"/>
  <c r="M344" i="2"/>
  <c r="L344" i="2"/>
  <c r="H344" i="2"/>
  <c r="G344" i="2"/>
  <c r="D344" i="2"/>
  <c r="N343" i="2"/>
  <c r="M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H340" i="2"/>
  <c r="G340" i="2"/>
  <c r="D340" i="2"/>
  <c r="O339" i="2"/>
  <c r="N339" i="2"/>
  <c r="L339" i="2"/>
  <c r="H339" i="2"/>
  <c r="G339" i="2"/>
  <c r="D339" i="2"/>
  <c r="O338" i="2"/>
  <c r="N338" i="2"/>
  <c r="M338" i="2"/>
  <c r="L338" i="2"/>
  <c r="H338" i="2"/>
  <c r="G338" i="2"/>
  <c r="D338" i="2"/>
  <c r="N337" i="2"/>
  <c r="M337" i="2"/>
  <c r="L337" i="2"/>
  <c r="H337" i="2"/>
  <c r="G337" i="2"/>
  <c r="D337" i="2"/>
  <c r="O336" i="2"/>
  <c r="N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H334" i="2"/>
  <c r="F81" i="1" s="1"/>
  <c r="G334" i="2"/>
  <c r="E81" i="1" s="1"/>
  <c r="D334" i="2"/>
  <c r="O333" i="2"/>
  <c r="N333" i="2"/>
  <c r="L333" i="2"/>
  <c r="H333" i="2"/>
  <c r="G333" i="2"/>
  <c r="D333" i="2"/>
  <c r="O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L327" i="2"/>
  <c r="H327" i="2"/>
  <c r="G327" i="2"/>
  <c r="D327" i="2"/>
  <c r="O326" i="2"/>
  <c r="M326" i="2"/>
  <c r="L326" i="2"/>
  <c r="H326" i="2"/>
  <c r="G326" i="2"/>
  <c r="D326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N322" i="2"/>
  <c r="M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N319" i="2"/>
  <c r="M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H316" i="2"/>
  <c r="G316" i="2"/>
  <c r="D316" i="2"/>
  <c r="O315" i="2"/>
  <c r="N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L309" i="2"/>
  <c r="H309" i="2"/>
  <c r="G309" i="2"/>
  <c r="D309" i="2"/>
  <c r="O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M302" i="2"/>
  <c r="L302" i="2"/>
  <c r="H302" i="2"/>
  <c r="G302" i="2"/>
  <c r="D302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N298" i="2"/>
  <c r="M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N295" i="2"/>
  <c r="M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H292" i="2"/>
  <c r="G292" i="2"/>
  <c r="D292" i="2"/>
  <c r="O291" i="2"/>
  <c r="N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L285" i="2"/>
  <c r="H285" i="2"/>
  <c r="G285" i="2"/>
  <c r="D285" i="2"/>
  <c r="O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M278" i="2"/>
  <c r="L278" i="2"/>
  <c r="H278" i="2"/>
  <c r="G278" i="2"/>
  <c r="D278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N274" i="2"/>
  <c r="M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N271" i="2"/>
  <c r="M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H268" i="2"/>
  <c r="G268" i="2"/>
  <c r="D268" i="2"/>
  <c r="O267" i="2"/>
  <c r="N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L261" i="2"/>
  <c r="H261" i="2"/>
  <c r="G261" i="2"/>
  <c r="D261" i="2"/>
  <c r="O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M254" i="2"/>
  <c r="L254" i="2"/>
  <c r="H254" i="2"/>
  <c r="G254" i="2"/>
  <c r="D254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N250" i="2"/>
  <c r="M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N247" i="2"/>
  <c r="M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H244" i="2"/>
  <c r="G244" i="2"/>
  <c r="D244" i="2"/>
  <c r="O243" i="2"/>
  <c r="N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L237" i="2"/>
  <c r="H237" i="2"/>
  <c r="G237" i="2"/>
  <c r="D237" i="2"/>
  <c r="O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M230" i="2"/>
  <c r="L230" i="2"/>
  <c r="H230" i="2"/>
  <c r="G230" i="2"/>
  <c r="D230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N226" i="2"/>
  <c r="M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N223" i="2"/>
  <c r="M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H220" i="2"/>
  <c r="G220" i="2"/>
  <c r="D220" i="2"/>
  <c r="O219" i="2"/>
  <c r="N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L213" i="2"/>
  <c r="H213" i="2"/>
  <c r="G213" i="2"/>
  <c r="D213" i="2"/>
  <c r="O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D210" i="2"/>
  <c r="O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M206" i="2"/>
  <c r="L206" i="2"/>
  <c r="H206" i="2"/>
  <c r="G206" i="2"/>
  <c r="D206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N202" i="2"/>
  <c r="M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N199" i="2"/>
  <c r="M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H196" i="2"/>
  <c r="G196" i="2"/>
  <c r="D196" i="2"/>
  <c r="O195" i="2"/>
  <c r="N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L189" i="2"/>
  <c r="H189" i="2"/>
  <c r="G189" i="2"/>
  <c r="D189" i="2"/>
  <c r="O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N175" i="2"/>
  <c r="M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N151" i="2"/>
  <c r="M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N127" i="2"/>
  <c r="M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N103" i="2"/>
  <c r="M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N79" i="2"/>
  <c r="M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E193" i="1" l="1"/>
  <c r="N65" i="2"/>
  <c r="M72" i="2"/>
  <c r="L79" i="2"/>
  <c r="O82" i="2"/>
  <c r="N89" i="2"/>
  <c r="M96" i="2"/>
  <c r="L103" i="2"/>
  <c r="O106" i="2"/>
  <c r="N113" i="2"/>
  <c r="M120" i="2"/>
  <c r="L127" i="2"/>
  <c r="O130" i="2"/>
  <c r="N137" i="2"/>
  <c r="M144" i="2"/>
  <c r="L151" i="2"/>
  <c r="O154" i="2"/>
  <c r="N161" i="2"/>
  <c r="M168" i="2"/>
  <c r="L175" i="2"/>
  <c r="O178" i="2"/>
  <c r="N185" i="2"/>
  <c r="M192" i="2"/>
  <c r="L199" i="2"/>
  <c r="O202" i="2"/>
  <c r="N209" i="2"/>
  <c r="M216" i="2"/>
  <c r="L223" i="2"/>
  <c r="O226" i="2"/>
  <c r="N233" i="2"/>
  <c r="M240" i="2"/>
  <c r="L247" i="2"/>
  <c r="O250" i="2"/>
  <c r="N257" i="2"/>
  <c r="M264" i="2"/>
  <c r="L271" i="2"/>
  <c r="O274" i="2"/>
  <c r="N281" i="2"/>
  <c r="M288" i="2"/>
  <c r="L295" i="2"/>
  <c r="O298" i="2"/>
  <c r="N305" i="2"/>
  <c r="M312" i="2"/>
  <c r="L319" i="2"/>
  <c r="O322" i="2"/>
  <c r="N329" i="2"/>
  <c r="M336" i="2"/>
  <c r="L343" i="2"/>
  <c r="O346" i="2"/>
  <c r="N353" i="2"/>
  <c r="M360" i="2"/>
  <c r="L367" i="2"/>
  <c r="O370" i="2"/>
  <c r="N377" i="2"/>
  <c r="M384" i="2"/>
  <c r="L391" i="2"/>
  <c r="O394" i="2"/>
  <c r="N401" i="2"/>
  <c r="M408" i="2"/>
  <c r="L415" i="2"/>
  <c r="O418" i="2"/>
  <c r="N425" i="2"/>
  <c r="M432" i="2"/>
  <c r="L439" i="2"/>
  <c r="O442" i="2"/>
  <c r="N449" i="2"/>
  <c r="M456" i="2"/>
  <c r="L463" i="2"/>
  <c r="O466" i="2"/>
  <c r="N473" i="2"/>
  <c r="M480" i="2"/>
  <c r="L487" i="2"/>
  <c r="O549" i="2"/>
  <c r="M611" i="2"/>
  <c r="L618" i="2"/>
  <c r="M639" i="2"/>
  <c r="L646" i="2"/>
  <c r="O765" i="2"/>
  <c r="N772" i="2"/>
  <c r="M779" i="2"/>
  <c r="L786" i="2"/>
  <c r="E115" i="1"/>
  <c r="L76" i="2"/>
  <c r="O79" i="2"/>
  <c r="N86" i="2"/>
  <c r="M93" i="2"/>
  <c r="L100" i="2"/>
  <c r="O103" i="2"/>
  <c r="N110" i="2"/>
  <c r="M117" i="2"/>
  <c r="L124" i="2"/>
  <c r="O127" i="2"/>
  <c r="N134" i="2"/>
  <c r="M141" i="2"/>
  <c r="L148" i="2"/>
  <c r="O151" i="2"/>
  <c r="N158" i="2"/>
  <c r="M165" i="2"/>
  <c r="L172" i="2"/>
  <c r="O175" i="2"/>
  <c r="N182" i="2"/>
  <c r="M189" i="2"/>
  <c r="L196" i="2"/>
  <c r="O199" i="2"/>
  <c r="N206" i="2"/>
  <c r="M213" i="2"/>
  <c r="L220" i="2"/>
  <c r="O223" i="2"/>
  <c r="N230" i="2"/>
  <c r="M237" i="2"/>
  <c r="L244" i="2"/>
  <c r="O247" i="2"/>
  <c r="N254" i="2"/>
  <c r="M261" i="2"/>
  <c r="L268" i="2"/>
  <c r="O271" i="2"/>
  <c r="N278" i="2"/>
  <c r="M285" i="2"/>
  <c r="L292" i="2"/>
  <c r="O295" i="2"/>
  <c r="N302" i="2"/>
  <c r="M309" i="2"/>
  <c r="L316" i="2"/>
  <c r="O319" i="2"/>
  <c r="N326" i="2"/>
  <c r="M333" i="2"/>
  <c r="L340" i="2"/>
  <c r="O343" i="2"/>
  <c r="N350" i="2"/>
  <c r="M357" i="2"/>
  <c r="L364" i="2"/>
  <c r="O367" i="2"/>
  <c r="N374" i="2"/>
  <c r="M381" i="2"/>
  <c r="L388" i="2"/>
  <c r="O391" i="2"/>
  <c r="N398" i="2"/>
  <c r="M405" i="2"/>
  <c r="L412" i="2"/>
  <c r="O415" i="2"/>
  <c r="N422" i="2"/>
  <c r="M429" i="2"/>
  <c r="L436" i="2"/>
  <c r="O439" i="2"/>
  <c r="N446" i="2"/>
  <c r="M453" i="2"/>
  <c r="L460" i="2"/>
  <c r="O463" i="2"/>
  <c r="N470" i="2"/>
  <c r="M477" i="2"/>
  <c r="L484" i="2"/>
  <c r="O487" i="2"/>
  <c r="N508" i="2"/>
  <c r="O577" i="2"/>
  <c r="N584" i="2"/>
  <c r="O745" i="2"/>
  <c r="N752" i="2"/>
  <c r="M759" i="2"/>
  <c r="N395" i="2"/>
  <c r="M402" i="2"/>
  <c r="L409" i="2"/>
  <c r="O412" i="2"/>
  <c r="N419" i="2"/>
  <c r="M426" i="2"/>
  <c r="L433" i="2"/>
  <c r="O436" i="2"/>
  <c r="N443" i="2"/>
  <c r="M450" i="2"/>
  <c r="L457" i="2"/>
  <c r="O460" i="2"/>
  <c r="N467" i="2"/>
  <c r="M474" i="2"/>
  <c r="L481" i="2"/>
  <c r="O484" i="2"/>
  <c r="M495" i="2"/>
  <c r="L502" i="2"/>
  <c r="M599" i="2"/>
  <c r="L606" i="2"/>
  <c r="M327" i="2"/>
  <c r="L334" i="2"/>
  <c r="O337" i="2"/>
  <c r="N344" i="2"/>
  <c r="M351" i="2"/>
  <c r="L358" i="2"/>
  <c r="O361" i="2"/>
  <c r="N368" i="2"/>
  <c r="M375" i="2"/>
  <c r="L382" i="2"/>
  <c r="O385" i="2"/>
  <c r="N392" i="2"/>
  <c r="M399" i="2"/>
  <c r="L406" i="2"/>
  <c r="O409" i="2"/>
  <c r="N416" i="2"/>
  <c r="M423" i="2"/>
  <c r="L430" i="2"/>
  <c r="O433" i="2"/>
  <c r="N440" i="2"/>
  <c r="M447" i="2"/>
  <c r="L454" i="2"/>
  <c r="O457" i="2"/>
  <c r="N464" i="2"/>
  <c r="M471" i="2"/>
  <c r="L478" i="2"/>
  <c r="O481" i="2"/>
  <c r="O697" i="2"/>
  <c r="N704" i="2"/>
  <c r="M711" i="2"/>
  <c r="M1672" i="2"/>
  <c r="L1145" i="2"/>
  <c r="M195" i="2"/>
  <c r="L202" i="2"/>
  <c r="O205" i="2"/>
  <c r="N212" i="2"/>
  <c r="M219" i="2"/>
  <c r="L226" i="2"/>
  <c r="O229" i="2"/>
  <c r="N236" i="2"/>
  <c r="M243" i="2"/>
  <c r="L250" i="2"/>
  <c r="O253" i="2"/>
  <c r="N260" i="2"/>
  <c r="M267" i="2"/>
  <c r="L274" i="2"/>
  <c r="O277" i="2"/>
  <c r="N284" i="2"/>
  <c r="M291" i="2"/>
  <c r="L298" i="2"/>
  <c r="O301" i="2"/>
  <c r="N308" i="2"/>
  <c r="M315" i="2"/>
  <c r="L322" i="2"/>
  <c r="O325" i="2"/>
  <c r="N332" i="2"/>
  <c r="M339" i="2"/>
  <c r="L346" i="2"/>
  <c r="O349" i="2"/>
  <c r="N356" i="2"/>
  <c r="M363" i="2"/>
  <c r="L370" i="2"/>
  <c r="O373" i="2"/>
  <c r="N380" i="2"/>
  <c r="M387" i="2"/>
  <c r="L394" i="2"/>
  <c r="O397" i="2"/>
  <c r="N404" i="2"/>
  <c r="M411" i="2"/>
  <c r="L418" i="2"/>
  <c r="O421" i="2"/>
  <c r="N428" i="2"/>
  <c r="M435" i="2"/>
  <c r="L442" i="2"/>
  <c r="O445" i="2"/>
  <c r="N452" i="2"/>
  <c r="M459" i="2"/>
  <c r="L466" i="2"/>
  <c r="O469" i="2"/>
  <c r="N476" i="2"/>
  <c r="M483" i="2"/>
  <c r="O513" i="2"/>
  <c r="N520" i="2"/>
  <c r="N652" i="2"/>
  <c r="N680" i="2"/>
  <c r="M687" i="2"/>
  <c r="O729" i="2"/>
  <c r="N820" i="2"/>
  <c r="M827" i="2"/>
  <c r="M834" i="2"/>
  <c r="M841" i="2"/>
  <c r="M848" i="2"/>
  <c r="M855" i="2"/>
  <c r="M862" i="2"/>
  <c r="M1648" i="2"/>
  <c r="L1653" i="2"/>
  <c r="L1659" i="2"/>
  <c r="L1665" i="2"/>
  <c r="L1672" i="2"/>
  <c r="M1653" i="2"/>
  <c r="M1659" i="2"/>
  <c r="M1665" i="2"/>
  <c r="M1650" i="2"/>
  <c r="N1653" i="2"/>
  <c r="N1659" i="2"/>
  <c r="N1665" i="2"/>
  <c r="N1672" i="2"/>
  <c r="O1653" i="2"/>
  <c r="O1659" i="2"/>
  <c r="O1665" i="2"/>
  <c r="O1672" i="2"/>
  <c r="F229" i="3"/>
  <c r="L1654" i="2"/>
  <c r="L1660" i="2"/>
  <c r="L1666" i="2"/>
  <c r="L1673" i="2"/>
  <c r="G229" i="3"/>
  <c r="M1654" i="2"/>
  <c r="M1660" i="2"/>
  <c r="M1666" i="2"/>
  <c r="M1673" i="2"/>
  <c r="H229" i="3"/>
  <c r="N1654" i="2"/>
  <c r="N1660" i="2"/>
  <c r="N1666" i="2"/>
  <c r="N1673" i="2"/>
  <c r="I229" i="3"/>
  <c r="O1654" i="2"/>
  <c r="O1660" i="2"/>
  <c r="O1666" i="2"/>
  <c r="O1673" i="2"/>
  <c r="O489" i="2"/>
  <c r="N496" i="2"/>
  <c r="O537" i="2"/>
  <c r="N544" i="2"/>
  <c r="O585" i="2"/>
  <c r="N592" i="2"/>
  <c r="O633" i="2"/>
  <c r="N640" i="2"/>
  <c r="F230" i="3"/>
  <c r="L1655" i="2"/>
  <c r="L1661" i="2"/>
  <c r="L1667" i="2"/>
  <c r="G230" i="3"/>
  <c r="M1655" i="2"/>
  <c r="M1661" i="2"/>
  <c r="M1667" i="2"/>
  <c r="H230" i="3"/>
  <c r="N1655" i="2"/>
  <c r="N1661" i="2"/>
  <c r="N1667" i="2"/>
  <c r="O717" i="2"/>
  <c r="N724" i="2"/>
  <c r="M731" i="2"/>
  <c r="L738" i="2"/>
  <c r="L814" i="2"/>
  <c r="I230" i="3"/>
  <c r="O1655" i="2"/>
  <c r="O1661" i="2"/>
  <c r="O1667" i="2"/>
  <c r="F231" i="3"/>
  <c r="L1656" i="2"/>
  <c r="L1662" i="2"/>
  <c r="L1669" i="2"/>
  <c r="G231" i="3"/>
  <c r="M1656" i="2"/>
  <c r="M1662" i="2"/>
  <c r="M1669" i="2"/>
  <c r="H231" i="3"/>
  <c r="N1656" i="2"/>
  <c r="N1662" i="2"/>
  <c r="N1669" i="2"/>
  <c r="I231" i="3"/>
  <c r="O1656" i="2"/>
  <c r="O1662" i="2"/>
  <c r="O1669" i="2"/>
  <c r="L1668" i="2"/>
  <c r="L1651" i="2"/>
  <c r="L1657" i="2"/>
  <c r="L1663" i="2"/>
  <c r="L1670" i="2"/>
  <c r="M1668" i="2"/>
  <c r="M1651" i="2"/>
  <c r="M1657" i="2"/>
  <c r="M1663" i="2"/>
  <c r="M1670" i="2"/>
  <c r="N1668" i="2"/>
  <c r="N1651" i="2"/>
  <c r="N1657" i="2"/>
  <c r="N1663" i="2"/>
  <c r="N1670" i="2"/>
  <c r="O1668" i="2"/>
  <c r="O1651" i="2"/>
  <c r="O1657" i="2"/>
  <c r="O1663" i="2"/>
  <c r="O1670" i="2"/>
  <c r="L1652" i="2"/>
  <c r="L1658" i="2"/>
  <c r="L1664" i="2"/>
  <c r="L1671" i="2"/>
  <c r="M1652" i="2"/>
  <c r="M1658" i="2"/>
  <c r="M1664" i="2"/>
  <c r="M1671" i="2"/>
  <c r="M1636" i="2"/>
  <c r="N1652" i="2"/>
  <c r="N1658" i="2"/>
  <c r="N1664" i="2"/>
  <c r="N1671" i="2"/>
  <c r="M1642" i="2"/>
  <c r="O1652" i="2"/>
  <c r="O1658" i="2"/>
  <c r="O1664" i="2"/>
  <c r="O1671" i="2"/>
  <c r="F193" i="1"/>
  <c r="E195" i="1"/>
  <c r="F195" i="1"/>
  <c r="I228" i="3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<sst xmlns="http://schemas.openxmlformats.org/spreadsheetml/2006/main" count="2637" uniqueCount="323">
  <si>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</si>
  <si>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</si>
  <si>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</si>
  <si>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</si>
  <si>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</si>
  <si>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</si>
  <si>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</si>
  <si>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</si>
  <si>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</si>
  <si>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</si>
  <si>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</si>
  <si>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</si>
  <si>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</si>
  <si>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</si>
  <si>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</si>
  <si>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</si>
  <si>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</si>
  <si>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</si>
  <si>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</si>
  <si>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</si>
  <si>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</si>
  <si>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</si>
  <si>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</si>
  <si>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</si>
  <si>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</si>
  <si>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</si>
  <si>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</si>
  <si>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</si>
  <si>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</si>
  <si>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</si>
  <si>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</si>
  <si>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</si>
  <si>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</si>
  <si>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</si>
  <si>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</si>
  <si>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</si>
  <si>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</si>
  <si>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</si>
  <si>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</si>
  <si>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</si>
  <si>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</si>
  <si>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</si>
  <si>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</si>
  <si>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</si>
  <si>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</si>
  <si>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</si>
  <si>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</si>
  <si>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</si>
  <si>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</si>
  <si>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</si>
  <si>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</si>
  <si>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</si>
  <si>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</si>
  <si>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</si>
  <si>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</si>
  <si>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</si>
  <si>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</si>
  <si>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</si>
  <si>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</si>
  <si>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</si>
  <si>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</si>
  <si>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</si>
  <si>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</si>
  <si>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</si>
  <si>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</si>
  <si>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</si>
  <si>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</si>
  <si>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</si>
  <si>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</si>
  <si>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</si>
  <si>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</si>
  <si>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</si>
  <si>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</si>
  <si>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</si>
  <si>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</si>
  <si>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</si>
  <si>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</si>
  <si>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</si>
  <si>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</si>
  <si>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</si>
  <si>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</si>
  <si>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</si>
  <si>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</si>
  <si>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</si>
  <si>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</si>
  <si>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</si>
  <si>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</si>
  <si>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</si>
  <si>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</si>
  <si>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</si>
  <si>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</si>
  <si>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</si>
  <si>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</si>
  <si>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</si>
  <si>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</si>
  <si>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</si>
  <si>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</si>
  <si>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</si>
  <si>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</si>
  <si>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</si>
  <si>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</si>
  <si>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</si>
  <si>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</si>
  <si>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</si>
  <si>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</si>
  <si>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</si>
  <si>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</si>
  <si>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</si>
  <si>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</si>
  <si>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</si>
  <si>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</si>
  <si>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</si>
  <si>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</si>
  <si>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</si>
  <si>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</si>
  <si>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</si>
  <si>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</si>
  <si>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</si>
  <si>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</si>
  <si>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</si>
  <si>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</si>
  <si>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</si>
  <si>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</si>
  <si>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</si>
  <si>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</si>
  <si>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</si>
  <si>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</si>
  <si>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</si>
  <si>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</si>
  <si>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</si>
  <si>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</si>
  <si>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</si>
  <si>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</si>
  <si>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</si>
  <si>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</si>
  <si>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</si>
  <si>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</si>
  <si>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</si>
  <si>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</si>
  <si>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</si>
  <si>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</si>
  <si>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</si>
  <si>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</si>
  <si>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</si>
  <si>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</si>
  <si>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</si>
  <si>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</si>
  <si>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</si>
  <si>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</si>
  <si>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</si>
  <si>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</si>
  <si>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</si>
  <si>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</si>
  <si>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</si>
  <si>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</si>
  <si>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</si>
  <si>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</si>
  <si>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</si>
  <si>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</si>
  <si>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</si>
  <si>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</si>
  <si>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</si>
  <si>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</si>
  <si>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</si>
  <si>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</si>
  <si>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</si>
  <si>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</si>
  <si>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</si>
  <si>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</si>
  <si>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</si>
  <si>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</si>
  <si>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</si>
  <si>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</si>
  <si>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</si>
  <si>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</si>
  <si>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</si>
  <si>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</si>
  <si>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</si>
  <si>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</si>
  <si>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</si>
  <si>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</si>
  <si>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</si>
  <si>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</si>
  <si>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</si>
  <si>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</si>
  <si>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</si>
  <si>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</si>
  <si>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</si>
  <si>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</si>
  <si>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</si>
  <si>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</si>
  <si>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</si>
  <si>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</si>
  <si>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</si>
  <si>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</si>
  <si>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</si>
  <si>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</si>
  <si>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</si>
  <si>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</si>
  <si>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</si>
  <si>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</si>
  <si>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</si>
  <si>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</si>
  <si>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</si>
  <si>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</si>
  <si>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</si>
  <si>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</si>
  <si>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</si>
  <si>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</si>
  <si>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</si>
  <si>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</si>
  <si>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</si>
  <si>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</si>
  <si>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</si>
  <si>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</si>
  <si>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</si>
  <si>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</si>
  <si>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</si>
  <si>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</si>
  <si>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</si>
  <si>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</si>
  <si>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</si>
  <si>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</si>
  <si>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</si>
  <si>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</si>
  <si>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</si>
  <si>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</si>
  <si>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</si>
  <si>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</si>
  <si>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</si>
  <si>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</si>
  <si>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</si>
  <si>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</si>
  <si>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</si>
  <si>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</si>
  <si>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</si>
  <si>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</si>
  <si>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</si>
  <si>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</si>
  <si>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</si>
  <si>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</si>
  <si>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</si>
  <si>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</si>
  <si>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</si>
  <si>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</si>
  <si>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</si>
  <si>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</si>
  <si>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</si>
  <si>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</si>
  <si>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</si>
  <si>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</si>
  <si>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</si>
  <si>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</si>
  <si>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</si>
  <si>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</si>
  <si>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</si>
  <si>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</si>
  <si>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</si>
  <si>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</si>
  <si>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</si>
  <si>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</si>
  <si>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</si>
  <si>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</si>
  <si>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</si>
  <si>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</si>
  <si>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</si>
  <si>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</si>
  <si>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</si>
  <si>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</si>
  <si>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</si>
  <si>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</si>
  <si>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</si>
  <si>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</si>
  <si>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</si>
  <si>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</si>
  <si>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</si>
  <si>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</si>
  <si>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</si>
  <si>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</si>
  <si>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</si>
  <si>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</si>
  <si>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</si>
  <si>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</si>
  <si>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</si>
  <si>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</si>
  <si>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</si>
  <si>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</si>
  <si>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</si>
  <si>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</si>
  <si>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</si>
  <si>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</si>
  <si>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</si>
  <si>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</si>
  <si>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</si>
  <si>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</si>
  <si>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</si>
  <si>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</si>
  <si>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</si>
  <si>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</si>
  <si>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</si>
  <si>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</si>
  <si>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</si>
  <si>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</si>
  <si>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</si>
  <si>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</si>
  <si>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</si>
  <si>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</si>
  <si>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</si>
  <si>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</si>
  <si>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</si>
  <si>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</si>
  <si>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</si>
  <si>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</si>
  <si>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</si>
  <si>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</si>
  <si>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</si>
  <si>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</si>
  <si>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</si>
  <si>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</si>
  <si>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</si>
  <si>
    <t>Сокол</t>
  </si>
  <si>
    <t>Роял (Нур+1)</t>
  </si>
  <si>
    <t>Дима (Богдан+1)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</si>
</sst>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99" headerRowDxfId="25" totalsRowDxfId="22" headerRowBorderDxfId="24" tableBorderDxfId="23">
  <autoFilter ref="A1:G199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673">
  <autoFilter ref="A1:O1673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31">
  <autoFilter ref="A1:I231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8" totalsRowShown="0" headerRowDxfId="8" dataDxfId="6" headerRowBorderDxfId="7" tableBorderDxfId="5" totalsRowBorderDxfId="4">
  <autoFilter ref="A1:D21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10" Type="http://schemas.openxmlformats.org/officeDocument/2006/relationships/hyperlink" Target="https://greyusek.github.io/football_stats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hyperlink" Target="https://greyusek.github.io/football_stat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99"/>
  <sheetViews>
    <sheetView topLeftCell="A160" workbookViewId="0">
      <selection activeCell="B199" sqref="B199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82</v>
      </c>
      <c r="D3" s="11">
        <f>SUMIFS(_stats[assists_on_date],_stats[player_id],_players[[#This Row],[player_id]])</f>
        <v>53</v>
      </c>
      <c r="E3" s="11">
        <f>SUMIFS(_stats[wins_on_date],_stats[player_id],_players[[#This Row],[player_id]])</f>
        <v>214</v>
      </c>
      <c r="F3" s="11">
        <f>SUMIFS(_stats[draws_on_date],_stats[player_id],_players[[#This Row],[player_id]])</f>
        <v>54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43</v>
      </c>
      <c r="D6" s="16">
        <f>SUMIFS(_stats[assists_on_date],_stats[player_id],_players[[#This Row],[player_id]])</f>
        <v>24</v>
      </c>
      <c r="E6" s="16">
        <f>SUMIFS(_stats[wins_on_date],_stats[player_id],_players[[#This Row],[player_id]])</f>
        <v>227</v>
      </c>
      <c r="F6" s="16">
        <f>SUMIFS(_stats[draws_on_date],_stats[player_id],_players[[#This Row],[player_id]])</f>
        <v>65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55</v>
      </c>
      <c r="D8" s="11">
        <f>SUMIFS(_stats[assists_on_date],_stats[player_id],_players[[#This Row],[player_id]])</f>
        <v>30</v>
      </c>
      <c r="E8" s="11">
        <f>SUMIFS(_stats[wins_on_date],_stats[player_id],_players[[#This Row],[player_id]])</f>
        <v>180</v>
      </c>
      <c r="F8" s="11">
        <f>SUMIFS(_stats[draws_on_date],_stats[player_id],_players[[#This Row],[player_id]])</f>
        <v>59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7</v>
      </c>
      <c r="E10" s="16">
        <f>SUMIFS(_stats[wins_on_date],_stats[player_id],_players[[#This Row],[player_id]])</f>
        <v>82</v>
      </c>
      <c r="F10" s="16">
        <f>SUMIFS(_stats[draws_on_date],_stats[player_id],_players[[#This Row],[player_id]])</f>
        <v>23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88</v>
      </c>
      <c r="D12" s="16">
        <f>SUMIFS(_stats[assists_on_date],_stats[player_id],_players[[#This Row],[player_id]])</f>
        <v>95</v>
      </c>
      <c r="E12" s="16">
        <f>SUMIFS(_stats[wins_on_date],_stats[player_id],_players[[#This Row],[player_id]])</f>
        <v>174</v>
      </c>
      <c r="F12" s="16">
        <f>SUMIFS(_stats[draws_on_date],_stats[player_id],_players[[#This Row],[player_id]])</f>
        <v>58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193</v>
      </c>
      <c r="F14" s="11">
        <f>SUMIFS(_stats[draws_on_date],_stats[player_id],_players[[#This Row],[player_id]])</f>
        <v>58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27</v>
      </c>
      <c r="E17" s="11">
        <f>SUMIFS(_stats[wins_on_date],_stats[player_id],_players[[#This Row],[player_id]])</f>
        <v>76</v>
      </c>
      <c r="F17" s="11">
        <f>SUMIFS(_stats[draws_on_date],_stats[player_id],_players[[#This Row],[player_id]])</f>
        <v>25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35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45</v>
      </c>
      <c r="D21" s="11">
        <f>SUMIFS(_stats[assists_on_date],_stats[player_id],_players[[#This Row],[player_id]])</f>
        <v>57</v>
      </c>
      <c r="E21" s="11">
        <f>SUMIFS(_stats[wins_on_date],_stats[player_id],_players[[#This Row],[player_id]])</f>
        <v>152</v>
      </c>
      <c r="F21" s="11">
        <f>SUMIFS(_stats[draws_on_date],_stats[player_id],_players[[#This Row],[player_id]])</f>
        <v>43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134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40</v>
      </c>
      <c r="D23" s="11">
        <f>SUMIFS(_stats[assists_on_date],_stats[player_id],_players[[#This Row],[player_id]])</f>
        <v>41</v>
      </c>
      <c r="E23" s="11">
        <f>SUMIFS(_stats[wins_on_date],_stats[player_id],_players[[#This Row],[player_id]])</f>
        <v>136</v>
      </c>
      <c r="F23" s="11">
        <f>SUMIFS(_stats[draws_on_date],_stats[player_id],_players[[#This Row],[player_id]])</f>
        <v>33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19</v>
      </c>
      <c r="D25" s="11">
        <f>SUMIFS(_stats[assists_on_date],_stats[player_id],_players[[#This Row],[player_id]])</f>
        <v>27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57</v>
      </c>
      <c r="F30" s="16">
        <f>SUMIFS(_stats[draws_on_date],_stats[player_id],_players[[#This Row],[player_id]])</f>
        <v>16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33</v>
      </c>
      <c r="F33" s="11">
        <f>SUMIFS(_stats[draws_on_date],_stats[player_id],_players[[#This Row],[player_id]])</f>
        <v>17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27</v>
      </c>
      <c r="E38" s="11">
        <f>SUMIFS(_stats[wins_on_date],_stats[player_id],_players[[#This Row],[player_id]])</f>
        <v>90</v>
      </c>
      <c r="F38" s="11">
        <f>SUMIFS(_stats[draws_on_date],_stats[player_id],_players[[#This Row],[player_id]])</f>
        <v>37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194</v>
      </c>
      <c r="F39" s="11">
        <f>SUMIFS(_stats[draws_on_date],_stats[player_id],_players[[#This Row],[player_id]])</f>
        <v>75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13</v>
      </c>
      <c r="E41" s="11">
        <f>SUMIFS(_stats[wins_on_date],_stats[player_id],_players[[#This Row],[player_id]])</f>
        <v>96</v>
      </c>
      <c r="F41" s="11">
        <f>SUMIFS(_stats[draws_on_date],_stats[player_id],_players[[#This Row],[player_id]])</f>
        <v>33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68</v>
      </c>
      <c r="F43" s="11">
        <f>SUMIFS(_stats[draws_on_date],_stats[player_id],_players[[#This Row],[player_id]])</f>
        <v>28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73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24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58</v>
      </c>
      <c r="F59" s="16">
        <f>SUMIFS(_stats[draws_on_date],_stats[player_id],_players[[#This Row],[player_id]])</f>
        <v>21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22</v>
      </c>
      <c r="D64" s="16">
        <f>SUMIFS(_stats[assists_on_date],_stats[player_id],_players[[#This Row],[player_id]])</f>
        <v>19</v>
      </c>
      <c r="E64" s="16">
        <f>SUMIFS(_stats[wins_on_date],_stats[player_id],_players[[#This Row],[player_id]])</f>
        <v>136</v>
      </c>
      <c r="F64" s="16">
        <f>SUMIFS(_stats[draws_on_date],_stats[player_id],_players[[#This Row],[player_id]])</f>
        <v>46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3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7</v>
      </c>
      <c r="F92" s="16">
        <f>SUMIFS(_stats[draws_on_date],_stats[player_id],_players[[#This Row],[player_id]])</f>
        <v>5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6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23</v>
      </c>
      <c r="F96" s="16">
        <f>SUMIFS(_stats[draws_on_date],_stats[player_id],_players[[#This Row],[player_id]])</f>
        <v>11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11</v>
      </c>
      <c r="F106" s="16">
        <f>SUMIFS(_stats[draws_on_date],_stats[player_id],_players[[#This Row],[player_id]])</f>
        <v>14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2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2</v>
      </c>
      <c r="F108" s="16">
        <f>SUMIFS(_stats[draws_on_date],_stats[player_id],_players[[#This Row],[player_id]])</f>
        <v>5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20</v>
      </c>
      <c r="D120" s="16">
        <f>SUMIFS(_stats[assists_on_date],_stats[player_id],_players[[#This Row],[player_id]])</f>
        <v>11</v>
      </c>
      <c r="E120" s="16">
        <f>SUMIFS(_stats[wins_on_date],_stats[player_id],_players[[#This Row],[player_id]])</f>
        <v>58</v>
      </c>
      <c r="F120" s="16">
        <f>SUMIFS(_stats[draws_on_date],_stats[player_id],_players[[#This Row],[player_id]])</f>
        <v>28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33</v>
      </c>
      <c r="F126" s="16">
        <f>SUMIFS(_stats[draws_on_date],_stats[player_id],_players[[#This Row],[player_id]])</f>
        <v>19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12</v>
      </c>
      <c r="F130" s="16">
        <f>SUMIFS(_stats[draws_on_date],_stats[player_id],_players[[#This Row],[player_id]])</f>
        <v>10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10</v>
      </c>
      <c r="D137" s="16">
        <f>SUMIFS(_stats[assists_on_date],_stats[player_id],_players[[#This Row],[player_id]])</f>
        <v>6</v>
      </c>
      <c r="E137" s="16">
        <f>SUMIFS(_stats[wins_on_date],_stats[player_id],_players[[#This Row],[player_id]])</f>
        <v>35</v>
      </c>
      <c r="F137" s="16">
        <f>SUMIFS(_stats[draws_on_date],_stats[player_id],_players[[#This Row],[player_id]])</f>
        <v>15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23</v>
      </c>
      <c r="F148" s="16">
        <f>SUMIFS(_stats[draws_on_date],_stats[player_id],_players[[#This Row],[player_id]])</f>
        <v>17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15</v>
      </c>
      <c r="D152" s="16">
        <f>SUMIFS(_stats[assists_on_date],_stats[player_id],_players[[#This Row],[player_id]])</f>
        <v>4</v>
      </c>
      <c r="E152" s="16">
        <f>SUMIFS(_stats[wins_on_date],_stats[player_id],_players[[#This Row],[player_id]])</f>
        <v>33</v>
      </c>
      <c r="F152" s="16">
        <f>SUMIFS(_stats[draws_on_date],_stats[player_id],_players[[#This Row],[player_id]])</f>
        <v>12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0</v>
      </c>
      <c r="E193" s="73">
        <f>SUMIFS(_stats[wins_on_date],_stats[player_id],_players[[#This Row],[player_id]])</f>
        <v>1</v>
      </c>
      <c r="F193" s="73">
        <f>SUMIFS(_stats[draws_on_date],_stats[player_id],_players[[#This Row],[player_id]])</f>
        <v>6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1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8</v>
      </c>
      <c r="F195" s="73">
        <f>SUMIFS(_stats[draws_on_date],_stats[player_id],_players[[#This Row],[player_id]])</f>
        <v>6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  <row r="197" spans="1:7" x14ac:dyDescent="0.25">
      <c r="A197" s="111" t="s">
        <v>321</v>
      </c>
      <c r="B197" s="112" t="s">
        <v>321</v>
      </c>
      <c r="C197" s="73">
        <f>SUMIFS(_stats[goals_on_date],_stats[player_id],_players[[#This Row],[player_id]])</f>
        <v>0</v>
      </c>
      <c r="D197" s="73">
        <f>SUMIFS(_stats[assists_on_date],_stats[player_id],_players[[#This Row],[player_id]])</f>
        <v>0</v>
      </c>
      <c r="E197" s="73">
        <f>SUMIFS(_stats[wins_on_date],_stats[player_id],_players[[#This Row],[player_id]])</f>
        <v>1</v>
      </c>
      <c r="F197" s="73">
        <f>SUMIFS(_stats[draws_on_date],_stats[player_id],_players[[#This Row],[player_id]])</f>
        <v>3</v>
      </c>
      <c r="G197" s="93">
        <f>SUMIFS(_stats[foul_on_date],_stats[player_id],_players[[#This Row],[player_id]])</f>
        <v>0</v>
      </c>
    </row>
    <row r="198" spans="1:7" x14ac:dyDescent="0.25">
      <c r="A198" s="111" t="s">
        <v>322</v>
      </c>
      <c r="B198" s="111" t="s">
        <v>322</v>
      </c>
      <c r="C198" s="73">
        <f>SUMIFS(_stats[goals_on_date],_stats[player_id],_players[[#This Row],[player_id]])</f>
        <v>0</v>
      </c>
      <c r="D198" s="73">
        <f>SUMIFS(_stats[assists_on_date],_stats[player_id],_players[[#This Row],[player_id]])</f>
        <v>0</v>
      </c>
      <c r="E198" s="73">
        <f>SUMIFS(_stats[wins_on_date],_stats[player_id],_players[[#This Row],[player_id]])</f>
        <v>1</v>
      </c>
      <c r="F198" s="73">
        <f>SUMIFS(_stats[draws_on_date],_stats[player_id],_players[[#This Row],[player_id]])</f>
        <v>3</v>
      </c>
      <c r="G198" s="93">
        <f>SUMIFS(_stats[foul_on_date],_stats[player_id],_players[[#This Row],[player_id]])</f>
        <v>0</v>
      </c>
    </row>
    <row r="199" spans="1:7" x14ac:dyDescent="0.25">
      <c r="A199" s="111" t="s">
        <v>320</v>
      </c>
      <c r="B199" s="112" t="s">
        <v>320</v>
      </c>
      <c r="C199" s="73">
        <f>SUMIFS(_stats[goals_on_date],_stats[player_id],_players[[#This Row],[player_id]])</f>
        <v>0</v>
      </c>
      <c r="D199" s="73">
        <f>SUMIFS(_stats[assists_on_date],_stats[player_id],_players[[#This Row],[player_id]])</f>
        <v>0</v>
      </c>
      <c r="E199" s="73">
        <f>SUMIFS(_stats[wins_on_date],_stats[player_id],_players[[#This Row],[player_id]])</f>
        <v>6</v>
      </c>
      <c r="F199" s="73">
        <f>SUMIFS(_stats[draws_on_date],_stats[player_id],_players[[#This Row],[player_id]])</f>
        <v>4</v>
      </c>
      <c r="G199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673"/>
  <sheetViews>
    <sheetView topLeftCell="A1635" workbookViewId="0">
      <selection activeCell="E1672" sqref="E1672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  <row r="1651" spans="1:15" x14ac:dyDescent="0.25">
      <c r="A1651" s="6">
        <v>46292</v>
      </c>
      <c r="B1651" s="72">
        <v>2</v>
      </c>
      <c r="C1651" s="104" t="s">
        <v>157</v>
      </c>
      <c r="D1651" s="10" t="str">
        <f>IFERROR(VLOOKUP(_stats[[#This Row],[player_id]],_players[[player_id]:[player_name]],2,0),"")</f>
        <v>Никита (Сурэн+1)</v>
      </c>
      <c r="E1651" s="72">
        <v>4</v>
      </c>
      <c r="F1651" s="102">
        <v>1</v>
      </c>
      <c r="G1651" s="10">
        <f>SUMIFS(_teams[wins_on_date],_teams[date],_stats[[#This Row],[date]],_teams[team_number],_stats[[#This Row],[team_number]])</f>
        <v>5</v>
      </c>
      <c r="H1651" s="10">
        <f>SUMIFS(_teams[draws_on_date],_teams[date],_stats[[#This Row],[date]],_teams[team_number],_stats[[#This Row],[team_number]])</f>
        <v>3</v>
      </c>
      <c r="I1651" s="72">
        <v>0</v>
      </c>
      <c r="J1651" s="104">
        <v>0</v>
      </c>
      <c r="K1651" s="72">
        <v>9</v>
      </c>
      <c r="L1651" s="53">
        <f>VLOOKUP(_stats[[#This Row],[tournament]],tournaments_n_rules[],2,0)</f>
        <v>1747</v>
      </c>
      <c r="M1651" s="53" t="str">
        <f>VLOOKUP(_stats[[#This Row],[tournament]],tournaments_n_rules[],3,0)</f>
        <v>Осень 2026</v>
      </c>
      <c r="N1651" s="54">
        <f>VLOOKUP(_stats[[#This Row],[tournament]],tournaments_n_rules[],4,0)</f>
        <v>46285</v>
      </c>
      <c r="O1651" s="54">
        <f>VLOOKUP(_stats[[#This Row],[tournament]],tournaments_n_rules[],5,0)</f>
        <v>46356</v>
      </c>
    </row>
    <row r="1652" spans="1:15" x14ac:dyDescent="0.25">
      <c r="A1652" s="6">
        <v>46292</v>
      </c>
      <c r="B1652" s="72">
        <v>3</v>
      </c>
      <c r="C1652" s="104" t="s">
        <v>13</v>
      </c>
      <c r="D1652" s="10" t="str">
        <f>IFERROR(VLOOKUP(_stats[[#This Row],[player_id]],_players[[player_id]:[player_name]],2,0),"")</f>
        <v>Нурик</v>
      </c>
      <c r="E1652" s="72">
        <v>0</v>
      </c>
      <c r="F1652" s="102">
        <v>0</v>
      </c>
      <c r="G1652" s="10">
        <f>SUMIFS(_teams[wins_on_date],_teams[date],_stats[[#This Row],[date]],_teams[team_number],_stats[[#This Row],[team_number]])</f>
        <v>1</v>
      </c>
      <c r="H1652" s="10">
        <f>SUMIFS(_teams[draws_on_date],_teams[date],_stats[[#This Row],[date]],_teams[team_number],_stats[[#This Row],[team_number]])</f>
        <v>3</v>
      </c>
      <c r="I1652" s="72">
        <v>0</v>
      </c>
      <c r="J1652" s="104">
        <v>0</v>
      </c>
      <c r="K1652" s="72">
        <v>9</v>
      </c>
      <c r="L1652" s="53">
        <f>VLOOKUP(_stats[[#This Row],[tournament]],tournaments_n_rules[],2,0)</f>
        <v>1747</v>
      </c>
      <c r="M1652" s="53" t="str">
        <f>VLOOKUP(_stats[[#This Row],[tournament]],tournaments_n_rules[],3,0)</f>
        <v>Осень 2026</v>
      </c>
      <c r="N1652" s="54">
        <f>VLOOKUP(_stats[[#This Row],[tournament]],tournaments_n_rules[],4,0)</f>
        <v>46285</v>
      </c>
      <c r="O1652" s="54">
        <f>VLOOKUP(_stats[[#This Row],[tournament]],tournaments_n_rules[],5,0)</f>
        <v>46356</v>
      </c>
    </row>
    <row r="1653" spans="1:15" x14ac:dyDescent="0.25">
      <c r="A1653" s="6">
        <v>46292</v>
      </c>
      <c r="B1653" s="72">
        <v>1</v>
      </c>
      <c r="C1653" s="104" t="s">
        <v>142</v>
      </c>
      <c r="D1653" s="10" t="str">
        <f>IFERROR(VLOOKUP(_stats[[#This Row],[player_id]],_players[[player_id]:[player_name]],2,0),"")</f>
        <v>Сурэн</v>
      </c>
      <c r="E1653" s="72">
        <v>4</v>
      </c>
      <c r="F1653" s="102">
        <v>3</v>
      </c>
      <c r="G1653" s="10">
        <f>SUMIFS(_teams[wins_on_date],_teams[date],_stats[[#This Row],[date]],_teams[team_number],_stats[[#This Row],[team_number]])</f>
        <v>6</v>
      </c>
      <c r="H1653" s="10">
        <f>SUMIFS(_teams[draws_on_date],_teams[date],_stats[[#This Row],[date]],_teams[team_number],_stats[[#This Row],[team_number]])</f>
        <v>4</v>
      </c>
      <c r="I1653" s="72">
        <v>0</v>
      </c>
      <c r="J1653" s="104">
        <v>0</v>
      </c>
      <c r="K1653" s="72">
        <v>9</v>
      </c>
      <c r="L1653" s="53">
        <f>VLOOKUP(_stats[[#This Row],[tournament]],tournaments_n_rules[],2,0)</f>
        <v>1747</v>
      </c>
      <c r="M1653" s="53" t="str">
        <f>VLOOKUP(_stats[[#This Row],[tournament]],tournaments_n_rules[],3,0)</f>
        <v>Осень 2026</v>
      </c>
      <c r="N1653" s="54">
        <f>VLOOKUP(_stats[[#This Row],[tournament]],tournaments_n_rules[],4,0)</f>
        <v>46285</v>
      </c>
      <c r="O1653" s="54">
        <f>VLOOKUP(_stats[[#This Row],[tournament]],tournaments_n_rules[],5,0)</f>
        <v>46356</v>
      </c>
    </row>
    <row r="1654" spans="1:15" x14ac:dyDescent="0.25">
      <c r="A1654" s="6">
        <v>46292</v>
      </c>
      <c r="B1654" s="72">
        <v>2</v>
      </c>
      <c r="C1654" s="104" t="s">
        <v>17</v>
      </c>
      <c r="D1654" s="10" t="str">
        <f>IFERROR(VLOOKUP(_stats[[#This Row],[player_id]],_players[[player_id]:[player_name]],2,0),"")</f>
        <v>Юра Пименов</v>
      </c>
      <c r="E1654" s="72">
        <v>3</v>
      </c>
      <c r="F1654" s="102">
        <v>2</v>
      </c>
      <c r="G1654" s="10">
        <f>SUMIFS(_teams[wins_on_date],_teams[date],_stats[[#This Row],[date]],_teams[team_number],_stats[[#This Row],[team_number]])</f>
        <v>5</v>
      </c>
      <c r="H1654" s="10">
        <f>SUMIFS(_teams[draws_on_date],_teams[date],_stats[[#This Row],[date]],_teams[team_number],_stats[[#This Row],[team_number]])</f>
        <v>3</v>
      </c>
      <c r="I1654" s="72">
        <v>0</v>
      </c>
      <c r="J1654" s="104">
        <v>0</v>
      </c>
      <c r="K1654" s="72">
        <v>9</v>
      </c>
      <c r="L1654" s="53">
        <f>VLOOKUP(_stats[[#This Row],[tournament]],tournaments_n_rules[],2,0)</f>
        <v>1747</v>
      </c>
      <c r="M1654" s="53" t="str">
        <f>VLOOKUP(_stats[[#This Row],[tournament]],tournaments_n_rules[],3,0)</f>
        <v>Осень 2026</v>
      </c>
      <c r="N1654" s="54">
        <f>VLOOKUP(_stats[[#This Row],[tournament]],tournaments_n_rules[],4,0)</f>
        <v>46285</v>
      </c>
      <c r="O1654" s="54">
        <f>VLOOKUP(_stats[[#This Row],[tournament]],tournaments_n_rules[],5,0)</f>
        <v>46356</v>
      </c>
    </row>
    <row r="1655" spans="1:15" x14ac:dyDescent="0.25">
      <c r="A1655" s="6">
        <v>46292</v>
      </c>
      <c r="B1655" s="72">
        <v>1</v>
      </c>
      <c r="C1655" s="104" t="s">
        <v>19</v>
      </c>
      <c r="D1655" s="10" t="str">
        <f>IFERROR(VLOOKUP(_stats[[#This Row],[player_id]],_players[[player_id]:[player_name]],2,0),"")</f>
        <v>Олег Шишкин</v>
      </c>
      <c r="E1655" s="72">
        <v>0</v>
      </c>
      <c r="F1655" s="102">
        <v>0</v>
      </c>
      <c r="G1655" s="10">
        <f>SUMIFS(_teams[wins_on_date],_teams[date],_stats[[#This Row],[date]],_teams[team_number],_stats[[#This Row],[team_number]])</f>
        <v>6</v>
      </c>
      <c r="H1655" s="10">
        <f>SUMIFS(_teams[draws_on_date],_teams[date],_stats[[#This Row],[date]],_teams[team_number],_stats[[#This Row],[team_number]])</f>
        <v>4</v>
      </c>
      <c r="I1655" s="72">
        <v>0</v>
      </c>
      <c r="J1655" s="104">
        <v>0</v>
      </c>
      <c r="K1655" s="72">
        <v>9</v>
      </c>
      <c r="L1655" s="53">
        <f>VLOOKUP(_stats[[#This Row],[tournament]],tournaments_n_rules[],2,0)</f>
        <v>1747</v>
      </c>
      <c r="M1655" s="53" t="str">
        <f>VLOOKUP(_stats[[#This Row],[tournament]],tournaments_n_rules[],3,0)</f>
        <v>Осень 2026</v>
      </c>
      <c r="N1655" s="54">
        <f>VLOOKUP(_stats[[#This Row],[tournament]],tournaments_n_rules[],4,0)</f>
        <v>46285</v>
      </c>
      <c r="O1655" s="54">
        <f>VLOOKUP(_stats[[#This Row],[tournament]],tournaments_n_rules[],5,0)</f>
        <v>46356</v>
      </c>
    </row>
    <row r="1656" spans="1:15" x14ac:dyDescent="0.25">
      <c r="A1656" s="6">
        <v>46292</v>
      </c>
      <c r="B1656" s="72">
        <v>1</v>
      </c>
      <c r="C1656" s="104" t="s">
        <v>320</v>
      </c>
      <c r="D1656" s="10" t="str">
        <f>IFERROR(VLOOKUP(_stats[[#This Row],[player_id]],_players[[player_id]:[player_name]],2,0),"")</f>
        <v>Сокол</v>
      </c>
      <c r="E1656" s="72">
        <v>0</v>
      </c>
      <c r="F1656" s="102">
        <v>0</v>
      </c>
      <c r="G1656" s="10">
        <f>SUMIFS(_teams[wins_on_date],_teams[date],_stats[[#This Row],[date]],_teams[team_number],_stats[[#This Row],[team_number]])</f>
        <v>6</v>
      </c>
      <c r="H1656" s="10">
        <f>SUMIFS(_teams[draws_on_date],_teams[date],_stats[[#This Row],[date]],_teams[team_number],_stats[[#This Row],[team_number]])</f>
        <v>4</v>
      </c>
      <c r="I1656" s="72">
        <v>0</v>
      </c>
      <c r="J1656" s="104">
        <v>0</v>
      </c>
      <c r="K1656" s="72">
        <v>9</v>
      </c>
      <c r="L1656" s="53">
        <f>VLOOKUP(_stats[[#This Row],[tournament]],tournaments_n_rules[],2,0)</f>
        <v>1747</v>
      </c>
      <c r="M1656" s="53" t="str">
        <f>VLOOKUP(_stats[[#This Row],[tournament]],tournaments_n_rules[],3,0)</f>
        <v>Осень 2026</v>
      </c>
      <c r="N1656" s="54">
        <f>VLOOKUP(_stats[[#This Row],[tournament]],tournaments_n_rules[],4,0)</f>
        <v>46285</v>
      </c>
      <c r="O1656" s="54">
        <f>VLOOKUP(_stats[[#This Row],[tournament]],tournaments_n_rules[],5,0)</f>
        <v>46356</v>
      </c>
    </row>
    <row r="1657" spans="1:15" x14ac:dyDescent="0.25">
      <c r="A1657" s="6">
        <v>46292</v>
      </c>
      <c r="B1657" s="72">
        <v>2</v>
      </c>
      <c r="C1657" s="104" t="s">
        <v>15</v>
      </c>
      <c r="D1657" s="10" t="str">
        <f>IFERROR(VLOOKUP(_stats[[#This Row],[player_id]],_players[[player_id]:[player_name]],2,0),"")</f>
        <v>Тёма</v>
      </c>
      <c r="E1657" s="72">
        <v>0</v>
      </c>
      <c r="F1657" s="102">
        <v>2</v>
      </c>
      <c r="G1657" s="10">
        <f>SUMIFS(_teams[wins_on_date],_teams[date],_stats[[#This Row],[date]],_teams[team_number],_stats[[#This Row],[team_number]])</f>
        <v>5</v>
      </c>
      <c r="H1657" s="10">
        <f>SUMIFS(_teams[draws_on_date],_teams[date],_stats[[#This Row],[date]],_teams[team_number],_stats[[#This Row],[team_number]])</f>
        <v>3</v>
      </c>
      <c r="I1657" s="72">
        <v>0</v>
      </c>
      <c r="J1657" s="104">
        <v>0</v>
      </c>
      <c r="K1657" s="72">
        <v>9</v>
      </c>
      <c r="L1657" s="53">
        <f>VLOOKUP(_stats[[#This Row],[tournament]],tournaments_n_rules[],2,0)</f>
        <v>1747</v>
      </c>
      <c r="M1657" s="53" t="str">
        <f>VLOOKUP(_stats[[#This Row],[tournament]],tournaments_n_rules[],3,0)</f>
        <v>Осень 2026</v>
      </c>
      <c r="N1657" s="54">
        <f>VLOOKUP(_stats[[#This Row],[tournament]],tournaments_n_rules[],4,0)</f>
        <v>46285</v>
      </c>
      <c r="O1657" s="54">
        <f>VLOOKUP(_stats[[#This Row],[tournament]],tournaments_n_rules[],5,0)</f>
        <v>46356</v>
      </c>
    </row>
    <row r="1658" spans="1:15" x14ac:dyDescent="0.25">
      <c r="A1658" s="6">
        <v>46292</v>
      </c>
      <c r="B1658" s="72">
        <v>2</v>
      </c>
      <c r="C1658" s="104" t="s">
        <v>44</v>
      </c>
      <c r="D1658" s="10" t="str">
        <f>IFERROR(VLOOKUP(_stats[[#This Row],[player_id]],_players[[player_id]:[player_name]],2,0),"")</f>
        <v>Женя (кипер)</v>
      </c>
      <c r="E1658" s="72">
        <v>0</v>
      </c>
      <c r="F1658" s="102">
        <v>0</v>
      </c>
      <c r="G1658" s="10">
        <f>SUMIFS(_teams[wins_on_date],_teams[date],_stats[[#This Row],[date]],_teams[team_number],_stats[[#This Row],[team_number]])</f>
        <v>5</v>
      </c>
      <c r="H1658" s="10">
        <f>SUMIFS(_teams[draws_on_date],_teams[date],_stats[[#This Row],[date]],_teams[team_number],_stats[[#This Row],[team_number]])</f>
        <v>3</v>
      </c>
      <c r="I1658" s="72">
        <v>4</v>
      </c>
      <c r="J1658" s="104">
        <v>0</v>
      </c>
      <c r="K1658" s="72">
        <v>9</v>
      </c>
      <c r="L1658" s="53">
        <f>VLOOKUP(_stats[[#This Row],[tournament]],tournaments_n_rules[],2,0)</f>
        <v>1747</v>
      </c>
      <c r="M1658" s="53" t="str">
        <f>VLOOKUP(_stats[[#This Row],[tournament]],tournaments_n_rules[],3,0)</f>
        <v>Осень 2026</v>
      </c>
      <c r="N1658" s="54">
        <f>VLOOKUP(_stats[[#This Row],[tournament]],tournaments_n_rules[],4,0)</f>
        <v>46285</v>
      </c>
      <c r="O1658" s="54">
        <f>VLOOKUP(_stats[[#This Row],[tournament]],tournaments_n_rules[],5,0)</f>
        <v>46356</v>
      </c>
    </row>
    <row r="1659" spans="1:15" x14ac:dyDescent="0.25">
      <c r="A1659" s="6">
        <v>46292</v>
      </c>
      <c r="B1659" s="72">
        <v>3</v>
      </c>
      <c r="C1659" s="104" t="s">
        <v>314</v>
      </c>
      <c r="D1659" s="10" t="str">
        <f>IFERROR(VLOOKUP(_stats[[#This Row],[player_id]],_players[[player_id]:[player_name]],2,0),"")</f>
        <v>Рашид</v>
      </c>
      <c r="E1659" s="72">
        <v>0</v>
      </c>
      <c r="F1659" s="102">
        <v>0</v>
      </c>
      <c r="G1659" s="10">
        <f>SUMIFS(_teams[wins_on_date],_teams[date],_stats[[#This Row],[date]],_teams[team_number],_stats[[#This Row],[team_number]])</f>
        <v>1</v>
      </c>
      <c r="H1659" s="10">
        <f>SUMIFS(_teams[draws_on_date],_teams[date],_stats[[#This Row],[date]],_teams[team_number],_stats[[#This Row],[team_number]])</f>
        <v>3</v>
      </c>
      <c r="I1659" s="72">
        <v>4</v>
      </c>
      <c r="J1659" s="104">
        <v>0</v>
      </c>
      <c r="K1659" s="72">
        <v>9</v>
      </c>
      <c r="L1659" s="53">
        <f>VLOOKUP(_stats[[#This Row],[tournament]],tournaments_n_rules[],2,0)</f>
        <v>1747</v>
      </c>
      <c r="M1659" s="53" t="str">
        <f>VLOOKUP(_stats[[#This Row],[tournament]],tournaments_n_rules[],3,0)</f>
        <v>Осень 2026</v>
      </c>
      <c r="N1659" s="54">
        <f>VLOOKUP(_stats[[#This Row],[tournament]],tournaments_n_rules[],4,0)</f>
        <v>46285</v>
      </c>
      <c r="O1659" s="54">
        <f>VLOOKUP(_stats[[#This Row],[tournament]],tournaments_n_rules[],5,0)</f>
        <v>46356</v>
      </c>
    </row>
    <row r="1660" spans="1:15" x14ac:dyDescent="0.25">
      <c r="A1660" s="6">
        <v>46292</v>
      </c>
      <c r="B1660" s="72">
        <v>1</v>
      </c>
      <c r="C1660" s="104" t="s">
        <v>8</v>
      </c>
      <c r="D1660" s="10" t="str">
        <f>IFERROR(VLOOKUP(_stats[[#This Row],[player_id]],_players[[player_id]:[player_name]],2,0),"")</f>
        <v>Костя</v>
      </c>
      <c r="E1660" s="72">
        <v>3</v>
      </c>
      <c r="F1660" s="102">
        <v>2</v>
      </c>
      <c r="G1660" s="10">
        <f>SUMIFS(_teams[wins_on_date],_teams[date],_stats[[#This Row],[date]],_teams[team_number],_stats[[#This Row],[team_number]])</f>
        <v>6</v>
      </c>
      <c r="H1660" s="10">
        <f>SUMIFS(_teams[draws_on_date],_teams[date],_stats[[#This Row],[date]],_teams[team_number],_stats[[#This Row],[team_number]])</f>
        <v>4</v>
      </c>
      <c r="I1660" s="72">
        <v>0</v>
      </c>
      <c r="J1660" s="104">
        <v>0</v>
      </c>
      <c r="K1660" s="72">
        <v>9</v>
      </c>
      <c r="L1660" s="53">
        <f>VLOOKUP(_stats[[#This Row],[tournament]],tournaments_n_rules[],2,0)</f>
        <v>1747</v>
      </c>
      <c r="M1660" s="53" t="str">
        <f>VLOOKUP(_stats[[#This Row],[tournament]],tournaments_n_rules[],3,0)</f>
        <v>Осень 2026</v>
      </c>
      <c r="N1660" s="54">
        <f>VLOOKUP(_stats[[#This Row],[tournament]],tournaments_n_rules[],4,0)</f>
        <v>46285</v>
      </c>
      <c r="O1660" s="54">
        <f>VLOOKUP(_stats[[#This Row],[tournament]],tournaments_n_rules[],5,0)</f>
        <v>46356</v>
      </c>
    </row>
    <row r="1661" spans="1:15" x14ac:dyDescent="0.25">
      <c r="A1661" s="6">
        <v>46292</v>
      </c>
      <c r="B1661" s="72">
        <v>1</v>
      </c>
      <c r="C1661" s="104" t="s">
        <v>69</v>
      </c>
      <c r="D1661" s="10" t="str">
        <f>IFERROR(VLOOKUP(_stats[[#This Row],[player_id]],_players[[player_id]:[player_name]],2,0),"")</f>
        <v>Анашкин</v>
      </c>
      <c r="E1661" s="72">
        <v>2</v>
      </c>
      <c r="F1661" s="102">
        <v>2</v>
      </c>
      <c r="G1661" s="10">
        <f>SUMIFS(_teams[wins_on_date],_teams[date],_stats[[#This Row],[date]],_teams[team_number],_stats[[#This Row],[team_number]])</f>
        <v>6</v>
      </c>
      <c r="H1661" s="10">
        <f>SUMIFS(_teams[draws_on_date],_teams[date],_stats[[#This Row],[date]],_teams[team_number],_stats[[#This Row],[team_number]])</f>
        <v>4</v>
      </c>
      <c r="I1661" s="72">
        <v>0</v>
      </c>
      <c r="J1661" s="104">
        <v>0</v>
      </c>
      <c r="K1661" s="72">
        <v>9</v>
      </c>
      <c r="L1661" s="53">
        <f>VLOOKUP(_stats[[#This Row],[tournament]],tournaments_n_rules[],2,0)</f>
        <v>1747</v>
      </c>
      <c r="M1661" s="53" t="str">
        <f>VLOOKUP(_stats[[#This Row],[tournament]],tournaments_n_rules[],3,0)</f>
        <v>Осень 2026</v>
      </c>
      <c r="N1661" s="54">
        <f>VLOOKUP(_stats[[#This Row],[tournament]],tournaments_n_rules[],4,0)</f>
        <v>46285</v>
      </c>
      <c r="O1661" s="54">
        <f>VLOOKUP(_stats[[#This Row],[tournament]],tournaments_n_rules[],5,0)</f>
        <v>46356</v>
      </c>
    </row>
    <row r="1662" spans="1:15" x14ac:dyDescent="0.25">
      <c r="A1662" s="6">
        <v>46292</v>
      </c>
      <c r="B1662" s="72">
        <v>2</v>
      </c>
      <c r="C1662" s="104" t="s">
        <v>43</v>
      </c>
      <c r="D1662" s="10" t="str">
        <f>IFERROR(VLOOKUP(_stats[[#This Row],[player_id]],_players[[player_id]:[player_name]],2,0),"")</f>
        <v>Никита</v>
      </c>
      <c r="E1662" s="72">
        <v>0</v>
      </c>
      <c r="F1662" s="102">
        <v>3</v>
      </c>
      <c r="G1662" s="10">
        <f>SUMIFS(_teams[wins_on_date],_teams[date],_stats[[#This Row],[date]],_teams[team_number],_stats[[#This Row],[team_number]])</f>
        <v>5</v>
      </c>
      <c r="H1662" s="10">
        <f>SUMIFS(_teams[draws_on_date],_teams[date],_stats[[#This Row],[date]],_teams[team_number],_stats[[#This Row],[team_number]])</f>
        <v>3</v>
      </c>
      <c r="I1662" s="72">
        <v>0</v>
      </c>
      <c r="J1662" s="104">
        <v>0</v>
      </c>
      <c r="K1662" s="72">
        <v>9</v>
      </c>
      <c r="L1662" s="53">
        <f>VLOOKUP(_stats[[#This Row],[tournament]],tournaments_n_rules[],2,0)</f>
        <v>1747</v>
      </c>
      <c r="M1662" s="53" t="str">
        <f>VLOOKUP(_stats[[#This Row],[tournament]],tournaments_n_rules[],3,0)</f>
        <v>Осень 2026</v>
      </c>
      <c r="N1662" s="54">
        <f>VLOOKUP(_stats[[#This Row],[tournament]],tournaments_n_rules[],4,0)</f>
        <v>46285</v>
      </c>
      <c r="O1662" s="54">
        <f>VLOOKUP(_stats[[#This Row],[tournament]],tournaments_n_rules[],5,0)</f>
        <v>46356</v>
      </c>
    </row>
    <row r="1663" spans="1:15" x14ac:dyDescent="0.25">
      <c r="A1663" s="6">
        <v>46292</v>
      </c>
      <c r="B1663" s="72">
        <v>2</v>
      </c>
      <c r="C1663" s="104" t="s">
        <v>153</v>
      </c>
      <c r="D1663" s="10" t="str">
        <f>IFERROR(VLOOKUP(_stats[[#This Row],[player_id]],_players[[player_id]:[player_name]],2,0),"")</f>
        <v>Богдан</v>
      </c>
      <c r="E1663" s="72">
        <v>0</v>
      </c>
      <c r="F1663" s="102">
        <v>0</v>
      </c>
      <c r="G1663" s="10">
        <f>SUMIFS(_teams[wins_on_date],_teams[date],_stats[[#This Row],[date]],_teams[team_number],_stats[[#This Row],[team_number]])</f>
        <v>5</v>
      </c>
      <c r="H1663" s="10">
        <f>SUMIFS(_teams[draws_on_date],_teams[date],_stats[[#This Row],[date]],_teams[team_number],_stats[[#This Row],[team_number]])</f>
        <v>3</v>
      </c>
      <c r="I1663" s="72">
        <v>0</v>
      </c>
      <c r="J1663" s="104">
        <v>0</v>
      </c>
      <c r="K1663" s="72">
        <v>9</v>
      </c>
      <c r="L1663" s="53">
        <f>VLOOKUP(_stats[[#This Row],[tournament]],tournaments_n_rules[],2,0)</f>
        <v>1747</v>
      </c>
      <c r="M1663" s="53" t="str">
        <f>VLOOKUP(_stats[[#This Row],[tournament]],tournaments_n_rules[],3,0)</f>
        <v>Осень 2026</v>
      </c>
      <c r="N1663" s="54">
        <f>VLOOKUP(_stats[[#This Row],[tournament]],tournaments_n_rules[],4,0)</f>
        <v>46285</v>
      </c>
      <c r="O1663" s="54">
        <f>VLOOKUP(_stats[[#This Row],[tournament]],tournaments_n_rules[],5,0)</f>
        <v>46356</v>
      </c>
    </row>
    <row r="1664" spans="1:15" x14ac:dyDescent="0.25">
      <c r="A1664" s="6">
        <v>46292</v>
      </c>
      <c r="B1664" s="72">
        <v>3</v>
      </c>
      <c r="C1664" s="104" t="s">
        <v>22</v>
      </c>
      <c r="D1664" s="10" t="str">
        <f>IFERROR(VLOOKUP(_stats[[#This Row],[player_id]],_players[[player_id]:[player_name]],2,0),"")</f>
        <v>Расул</v>
      </c>
      <c r="E1664" s="72">
        <v>0</v>
      </c>
      <c r="F1664" s="102">
        <v>1</v>
      </c>
      <c r="G1664" s="10">
        <f>SUMIFS(_teams[wins_on_date],_teams[date],_stats[[#This Row],[date]],_teams[team_number],_stats[[#This Row],[team_number]])</f>
        <v>1</v>
      </c>
      <c r="H1664" s="10">
        <f>SUMIFS(_teams[draws_on_date],_teams[date],_stats[[#This Row],[date]],_teams[team_number],_stats[[#This Row],[team_number]])</f>
        <v>3</v>
      </c>
      <c r="I1664" s="72">
        <v>0</v>
      </c>
      <c r="J1664" s="104">
        <v>0</v>
      </c>
      <c r="K1664" s="72">
        <v>9</v>
      </c>
      <c r="L1664" s="53">
        <f>VLOOKUP(_stats[[#This Row],[tournament]],tournaments_n_rules[],2,0)</f>
        <v>1747</v>
      </c>
      <c r="M1664" s="53" t="str">
        <f>VLOOKUP(_stats[[#This Row],[tournament]],tournaments_n_rules[],3,0)</f>
        <v>Осень 2026</v>
      </c>
      <c r="N1664" s="54">
        <f>VLOOKUP(_stats[[#This Row],[tournament]],tournaments_n_rules[],4,0)</f>
        <v>46285</v>
      </c>
      <c r="O1664" s="54">
        <f>VLOOKUP(_stats[[#This Row],[tournament]],tournaments_n_rules[],5,0)</f>
        <v>46356</v>
      </c>
    </row>
    <row r="1665" spans="1:15" x14ac:dyDescent="0.25">
      <c r="A1665" s="6">
        <v>46292</v>
      </c>
      <c r="B1665" s="72">
        <v>1</v>
      </c>
      <c r="C1665" s="104" t="s">
        <v>316</v>
      </c>
      <c r="D1665" s="10" t="str">
        <f>IFERROR(VLOOKUP(_stats[[#This Row],[player_id]],_players[[player_id]:[player_name]],2,0),"")</f>
        <v>Даня (кипер)</v>
      </c>
      <c r="E1665" s="72">
        <v>1</v>
      </c>
      <c r="F1665" s="102">
        <v>0</v>
      </c>
      <c r="G1665" s="10">
        <f>SUMIFS(_teams[wins_on_date],_teams[date],_stats[[#This Row],[date]],_teams[team_number],_stats[[#This Row],[team_number]])</f>
        <v>6</v>
      </c>
      <c r="H1665" s="10">
        <f>SUMIFS(_teams[draws_on_date],_teams[date],_stats[[#This Row],[date]],_teams[team_number],_stats[[#This Row],[team_number]])</f>
        <v>4</v>
      </c>
      <c r="I1665" s="72">
        <v>6</v>
      </c>
      <c r="J1665" s="104">
        <v>0</v>
      </c>
      <c r="K1665" s="72">
        <v>9</v>
      </c>
      <c r="L1665" s="53">
        <f>VLOOKUP(_stats[[#This Row],[tournament]],tournaments_n_rules[],2,0)</f>
        <v>1747</v>
      </c>
      <c r="M1665" s="53" t="str">
        <f>VLOOKUP(_stats[[#This Row],[tournament]],tournaments_n_rules[],3,0)</f>
        <v>Осень 2026</v>
      </c>
      <c r="N1665" s="54">
        <f>VLOOKUP(_stats[[#This Row],[tournament]],tournaments_n_rules[],4,0)</f>
        <v>46285</v>
      </c>
      <c r="O1665" s="54">
        <f>VLOOKUP(_stats[[#This Row],[tournament]],tournaments_n_rules[],5,0)</f>
        <v>46356</v>
      </c>
    </row>
    <row r="1666" spans="1:15" x14ac:dyDescent="0.25">
      <c r="A1666" s="6">
        <v>46292</v>
      </c>
      <c r="B1666" s="72">
        <v>1</v>
      </c>
      <c r="C1666" s="104" t="s">
        <v>11</v>
      </c>
      <c r="D1666" s="10" t="str">
        <f>IFERROR(VLOOKUP(_stats[[#This Row],[player_id]],_players[[player_id]:[player_name]],2,0),"")</f>
        <v>Сергей Крюков</v>
      </c>
      <c r="E1666" s="72">
        <v>3</v>
      </c>
      <c r="F1666" s="102">
        <v>1</v>
      </c>
      <c r="G1666" s="10">
        <f>SUMIFS(_teams[wins_on_date],_teams[date],_stats[[#This Row],[date]],_teams[team_number],_stats[[#This Row],[team_number]])</f>
        <v>6</v>
      </c>
      <c r="H1666" s="10">
        <f>SUMIFS(_teams[draws_on_date],_teams[date],_stats[[#This Row],[date]],_teams[team_number],_stats[[#This Row],[team_number]])</f>
        <v>4</v>
      </c>
      <c r="I1666" s="72">
        <v>0</v>
      </c>
      <c r="J1666" s="104">
        <v>0</v>
      </c>
      <c r="K1666" s="72">
        <v>9</v>
      </c>
      <c r="L1666" s="53">
        <f>VLOOKUP(_stats[[#This Row],[tournament]],tournaments_n_rules[],2,0)</f>
        <v>1747</v>
      </c>
      <c r="M1666" s="53" t="str">
        <f>VLOOKUP(_stats[[#This Row],[tournament]],tournaments_n_rules[],3,0)</f>
        <v>Осень 2026</v>
      </c>
      <c r="N1666" s="54">
        <f>VLOOKUP(_stats[[#This Row],[tournament]],tournaments_n_rules[],4,0)</f>
        <v>46285</v>
      </c>
      <c r="O1666" s="54">
        <f>VLOOKUP(_stats[[#This Row],[tournament]],tournaments_n_rules[],5,0)</f>
        <v>46356</v>
      </c>
    </row>
    <row r="1667" spans="1:15" x14ac:dyDescent="0.25">
      <c r="A1667" s="6">
        <v>46292</v>
      </c>
      <c r="B1667" s="72">
        <v>2</v>
      </c>
      <c r="C1667" s="104" t="s">
        <v>28</v>
      </c>
      <c r="D1667" s="10" t="str">
        <f>IFERROR(VLOOKUP(_stats[[#This Row],[player_id]],_players[[player_id]:[player_name]],2,0),"")</f>
        <v>Витя</v>
      </c>
      <c r="E1667" s="72">
        <v>2</v>
      </c>
      <c r="F1667" s="102">
        <v>1</v>
      </c>
      <c r="G1667" s="10">
        <f>SUMIFS(_teams[wins_on_date],_teams[date],_stats[[#This Row],[date]],_teams[team_number],_stats[[#This Row],[team_number]])</f>
        <v>5</v>
      </c>
      <c r="H1667" s="10">
        <f>SUMIFS(_teams[draws_on_date],_teams[date],_stats[[#This Row],[date]],_teams[team_number],_stats[[#This Row],[team_number]])</f>
        <v>3</v>
      </c>
      <c r="I1667" s="72">
        <v>0</v>
      </c>
      <c r="J1667" s="104">
        <v>0</v>
      </c>
      <c r="K1667" s="72">
        <v>9</v>
      </c>
      <c r="L1667" s="53">
        <f>VLOOKUP(_stats[[#This Row],[tournament]],tournaments_n_rules[],2,0)</f>
        <v>1747</v>
      </c>
      <c r="M1667" s="53" t="str">
        <f>VLOOKUP(_stats[[#This Row],[tournament]],tournaments_n_rules[],3,0)</f>
        <v>Осень 2026</v>
      </c>
      <c r="N1667" s="54">
        <f>VLOOKUP(_stats[[#This Row],[tournament]],tournaments_n_rules[],4,0)</f>
        <v>46285</v>
      </c>
      <c r="O1667" s="54">
        <f>VLOOKUP(_stats[[#This Row],[tournament]],tournaments_n_rules[],5,0)</f>
        <v>46356</v>
      </c>
    </row>
    <row r="1668" spans="1:15" x14ac:dyDescent="0.25">
      <c r="A1668" s="6">
        <v>46292</v>
      </c>
      <c r="B1668" s="72">
        <v>3</v>
      </c>
      <c r="C1668" s="104" t="s">
        <v>101</v>
      </c>
      <c r="D1668" s="10" t="str">
        <f>IFERROR(VLOOKUP(_stats[[#This Row],[player_id]],_players[[player_id]:[player_name]],2,0),"")</f>
        <v>Фуад</v>
      </c>
      <c r="E1668" s="72">
        <v>1</v>
      </c>
      <c r="F1668" s="102">
        <v>0</v>
      </c>
      <c r="G1668" s="10">
        <f>SUMIFS(_teams[wins_on_date],_teams[date],_stats[[#This Row],[date]],_teams[team_number],_stats[[#This Row],[team_number]])</f>
        <v>1</v>
      </c>
      <c r="H1668" s="10">
        <f>SUMIFS(_teams[draws_on_date],_teams[date],_stats[[#This Row],[date]],_teams[team_number],_stats[[#This Row],[team_number]])</f>
        <v>3</v>
      </c>
      <c r="I1668" s="72">
        <v>0</v>
      </c>
      <c r="J1668" s="104">
        <v>0</v>
      </c>
      <c r="K1668" s="72">
        <v>9</v>
      </c>
      <c r="L1668" s="53">
        <f>VLOOKUP(_stats[[#This Row],[tournament]],tournaments_n_rules[],2,0)</f>
        <v>1747</v>
      </c>
      <c r="M1668" s="53" t="str">
        <f>VLOOKUP(_stats[[#This Row],[tournament]],tournaments_n_rules[],3,0)</f>
        <v>Осень 2026</v>
      </c>
      <c r="N1668" s="54">
        <f>VLOOKUP(_stats[[#This Row],[tournament]],tournaments_n_rules[],4,0)</f>
        <v>46285</v>
      </c>
      <c r="O1668" s="54">
        <f>VLOOKUP(_stats[[#This Row],[tournament]],tournaments_n_rules[],5,0)</f>
        <v>46356</v>
      </c>
    </row>
    <row r="1669" spans="1:15" x14ac:dyDescent="0.25">
      <c r="A1669" s="6">
        <v>46292</v>
      </c>
      <c r="B1669" s="72">
        <v>3</v>
      </c>
      <c r="C1669" s="104" t="s">
        <v>113</v>
      </c>
      <c r="D1669" s="10" t="str">
        <f>IFERROR(VLOOKUP(_stats[[#This Row],[player_id]],_players[[player_id]:[player_name]],2,0),"")</f>
        <v>Намин (Нур+1)</v>
      </c>
      <c r="E1669" s="72">
        <v>1</v>
      </c>
      <c r="F1669" s="102">
        <v>0</v>
      </c>
      <c r="G1669" s="10">
        <f>SUMIFS(_teams[wins_on_date],_teams[date],_stats[[#This Row],[date]],_teams[team_number],_stats[[#This Row],[team_number]])</f>
        <v>1</v>
      </c>
      <c r="H1669" s="10">
        <f>SUMIFS(_teams[draws_on_date],_teams[date],_stats[[#This Row],[date]],_teams[team_number],_stats[[#This Row],[team_number]])</f>
        <v>3</v>
      </c>
      <c r="I1669" s="72">
        <v>0</v>
      </c>
      <c r="J1669" s="104">
        <v>0</v>
      </c>
      <c r="K1669" s="72">
        <v>9</v>
      </c>
      <c r="L1669" s="53">
        <f>VLOOKUP(_stats[[#This Row],[tournament]],tournaments_n_rules[],2,0)</f>
        <v>1747</v>
      </c>
      <c r="M1669" s="53" t="str">
        <f>VLOOKUP(_stats[[#This Row],[tournament]],tournaments_n_rules[],3,0)</f>
        <v>Осень 2026</v>
      </c>
      <c r="N1669" s="54">
        <f>VLOOKUP(_stats[[#This Row],[tournament]],tournaments_n_rules[],4,0)</f>
        <v>46285</v>
      </c>
      <c r="O1669" s="54">
        <f>VLOOKUP(_stats[[#This Row],[tournament]],tournaments_n_rules[],5,0)</f>
        <v>46356</v>
      </c>
    </row>
    <row r="1670" spans="1:15" x14ac:dyDescent="0.25">
      <c r="A1670" s="6">
        <v>46292</v>
      </c>
      <c r="B1670" s="72">
        <v>3</v>
      </c>
      <c r="C1670" s="104" t="s">
        <v>321</v>
      </c>
      <c r="D1670" s="10" t="str">
        <f>IFERROR(VLOOKUP(_stats[[#This Row],[player_id]],_players[[player_id]:[player_name]],2,0),"")</f>
        <v>Роял (Нур+1)</v>
      </c>
      <c r="E1670" s="72">
        <v>0</v>
      </c>
      <c r="F1670" s="102">
        <v>0</v>
      </c>
      <c r="G1670" s="10">
        <f>SUMIFS(_teams[wins_on_date],_teams[date],_stats[[#This Row],[date]],_teams[team_number],_stats[[#This Row],[team_number]])</f>
        <v>1</v>
      </c>
      <c r="H1670" s="10">
        <f>SUMIFS(_teams[draws_on_date],_teams[date],_stats[[#This Row],[date]],_teams[team_number],_stats[[#This Row],[team_number]])</f>
        <v>3</v>
      </c>
      <c r="I1670" s="72">
        <v>0</v>
      </c>
      <c r="J1670" s="104">
        <v>0</v>
      </c>
      <c r="K1670" s="72">
        <v>9</v>
      </c>
      <c r="L1670" s="53">
        <f>VLOOKUP(_stats[[#This Row],[tournament]],tournaments_n_rules[],2,0)</f>
        <v>1747</v>
      </c>
      <c r="M1670" s="53" t="str">
        <f>VLOOKUP(_stats[[#This Row],[tournament]],tournaments_n_rules[],3,0)</f>
        <v>Осень 2026</v>
      </c>
      <c r="N1670" s="54">
        <f>VLOOKUP(_stats[[#This Row],[tournament]],tournaments_n_rules[],4,0)</f>
        <v>46285</v>
      </c>
      <c r="O1670" s="54">
        <f>VLOOKUP(_stats[[#This Row],[tournament]],tournaments_n_rules[],5,0)</f>
        <v>46356</v>
      </c>
    </row>
    <row r="1671" spans="1:15" x14ac:dyDescent="0.25">
      <c r="A1671" s="6">
        <v>46292</v>
      </c>
      <c r="B1671" s="72">
        <v>3</v>
      </c>
      <c r="C1671" s="104" t="s">
        <v>111</v>
      </c>
      <c r="D1671" s="10" t="str">
        <f>IFERROR(VLOOKUP(_stats[[#This Row],[player_id]],_players[[player_id]:[player_name]],2,0),"")</f>
        <v>Дима (Спартак)</v>
      </c>
      <c r="E1671" s="72">
        <v>0</v>
      </c>
      <c r="F1671" s="102">
        <v>0</v>
      </c>
      <c r="G1671" s="10">
        <f>SUMIFS(_teams[wins_on_date],_teams[date],_stats[[#This Row],[date]],_teams[team_number],_stats[[#This Row],[team_number]])</f>
        <v>1</v>
      </c>
      <c r="H1671" s="10">
        <f>SUMIFS(_teams[draws_on_date],_teams[date],_stats[[#This Row],[date]],_teams[team_number],_stats[[#This Row],[team_number]])</f>
        <v>3</v>
      </c>
      <c r="I1671" s="72">
        <v>0</v>
      </c>
      <c r="J1671" s="104">
        <v>0</v>
      </c>
      <c r="K1671" s="72">
        <v>9</v>
      </c>
      <c r="L1671" s="53">
        <f>VLOOKUP(_stats[[#This Row],[tournament]],tournaments_n_rules[],2,0)</f>
        <v>1747</v>
      </c>
      <c r="M1671" s="53" t="str">
        <f>VLOOKUP(_stats[[#This Row],[tournament]],tournaments_n_rules[],3,0)</f>
        <v>Осень 2026</v>
      </c>
      <c r="N1671" s="54">
        <f>VLOOKUP(_stats[[#This Row],[tournament]],tournaments_n_rules[],4,0)</f>
        <v>46285</v>
      </c>
      <c r="O1671" s="54">
        <f>VLOOKUP(_stats[[#This Row],[tournament]],tournaments_n_rules[],5,0)</f>
        <v>46356</v>
      </c>
    </row>
    <row r="1672" spans="1:15" x14ac:dyDescent="0.25">
      <c r="A1672" s="6">
        <v>46292</v>
      </c>
      <c r="B1672" s="72">
        <v>3</v>
      </c>
      <c r="C1672" s="104" t="s">
        <v>322</v>
      </c>
      <c r="D1672" s="10" t="str">
        <f>IFERROR(VLOOKUP(_stats[[#This Row],[player_id]],_players[[player_id]:[player_name]],2,0),"")</f>
        <v>Дима (Богдан+1)</v>
      </c>
      <c r="E1672" s="72">
        <v>0</v>
      </c>
      <c r="F1672" s="102">
        <v>0</v>
      </c>
      <c r="G1672" s="10">
        <f>SUMIFS(_teams[wins_on_date],_teams[date],_stats[[#This Row],[date]],_teams[team_number],_stats[[#This Row],[team_number]])</f>
        <v>1</v>
      </c>
      <c r="H1672" s="10">
        <f>SUMIFS(_teams[draws_on_date],_teams[date],_stats[[#This Row],[date]],_teams[team_number],_stats[[#This Row],[team_number]])</f>
        <v>3</v>
      </c>
      <c r="I1672" s="72">
        <v>0</v>
      </c>
      <c r="J1672" s="104">
        <v>0</v>
      </c>
      <c r="K1672" s="72">
        <v>9</v>
      </c>
      <c r="L1672" s="53">
        <f>VLOOKUP(_stats[[#This Row],[tournament]],tournaments_n_rules[],2,0)</f>
        <v>1747</v>
      </c>
      <c r="M1672" s="53" t="str">
        <f>VLOOKUP(_stats[[#This Row],[tournament]],tournaments_n_rules[],3,0)</f>
        <v>Осень 2026</v>
      </c>
      <c r="N1672" s="54">
        <f>VLOOKUP(_stats[[#This Row],[tournament]],tournaments_n_rules[],4,0)</f>
        <v>46285</v>
      </c>
      <c r="O1672" s="54">
        <f>VLOOKUP(_stats[[#This Row],[tournament]],tournaments_n_rules[],5,0)</f>
        <v>46356</v>
      </c>
    </row>
    <row r="1673" spans="1:15" x14ac:dyDescent="0.25">
      <c r="A1673" s="6">
        <v>46292</v>
      </c>
      <c r="B1673" s="72">
        <v>3</v>
      </c>
      <c r="C1673" s="104" t="s">
        <v>97</v>
      </c>
      <c r="D1673" s="10" t="str">
        <f>IFERROR(VLOOKUP(_stats[[#This Row],[player_id]],_players[[player_id]:[player_name]],2,0),"")</f>
        <v>Умар (Женя+1)</v>
      </c>
      <c r="E1673" s="72">
        <v>2</v>
      </c>
      <c r="F1673" s="102">
        <v>0</v>
      </c>
      <c r="G1673" s="10">
        <f>SUMIFS(_teams[wins_on_date],_teams[date],_stats[[#This Row],[date]],_teams[team_number],_stats[[#This Row],[team_number]])</f>
        <v>1</v>
      </c>
      <c r="H1673" s="10">
        <f>SUMIFS(_teams[draws_on_date],_teams[date],_stats[[#This Row],[date]],_teams[team_number],_stats[[#This Row],[team_number]])</f>
        <v>3</v>
      </c>
      <c r="I1673" s="72">
        <v>0</v>
      </c>
      <c r="J1673" s="104">
        <v>0</v>
      </c>
      <c r="K1673" s="72">
        <v>9</v>
      </c>
      <c r="L1673" s="53">
        <f>VLOOKUP(_stats[[#This Row],[tournament]],tournaments_n_rules[],2,0)</f>
        <v>1747</v>
      </c>
      <c r="M1673" s="53" t="str">
        <f>VLOOKUP(_stats[[#This Row],[tournament]],tournaments_n_rules[],3,0)</f>
        <v>Осень 2026</v>
      </c>
      <c r="N1673" s="54">
        <f>VLOOKUP(_stats[[#This Row],[tournament]],tournaments_n_rules[],4,0)</f>
        <v>46285</v>
      </c>
      <c r="O1673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31"/>
  <sheetViews>
    <sheetView topLeftCell="A196" workbookViewId="0">
      <selection activeCell="D237" sqref="D237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  <row r="229" spans="1:9" x14ac:dyDescent="0.25">
      <c r="A229" s="101">
        <v>46292</v>
      </c>
      <c r="B229" s="72">
        <v>1</v>
      </c>
      <c r="C229" s="102">
        <v>6</v>
      </c>
      <c r="D229" s="102">
        <v>4</v>
      </c>
      <c r="E229" s="72">
        <v>9</v>
      </c>
      <c r="F229" s="53">
        <f>VLOOKUP(_teams[[#This Row],[tournament]],tournaments_n_rules[],2,0)</f>
        <v>1747</v>
      </c>
      <c r="G229" s="53" t="str">
        <f>VLOOKUP(_teams[[#This Row],[tournament]],tournaments_n_rules[],3,0)</f>
        <v>Осень 2026</v>
      </c>
      <c r="H229" s="54">
        <f>VLOOKUP(_teams[[#This Row],[tournament]],tournaments_n_rules[],4,0)</f>
        <v>46285</v>
      </c>
      <c r="I229" s="54">
        <f>VLOOKUP(_teams[[#This Row],[tournament]],tournaments_n_rules[],5,0)</f>
        <v>46356</v>
      </c>
    </row>
    <row r="230" spans="1:9" x14ac:dyDescent="0.25">
      <c r="A230" s="101">
        <v>46292</v>
      </c>
      <c r="B230" s="72">
        <v>2</v>
      </c>
      <c r="C230" s="102">
        <v>5</v>
      </c>
      <c r="D230" s="102">
        <v>3</v>
      </c>
      <c r="E230" s="72">
        <v>9</v>
      </c>
      <c r="F230" s="53">
        <f>VLOOKUP(_teams[[#This Row],[tournament]],tournaments_n_rules[],2,0)</f>
        <v>1747</v>
      </c>
      <c r="G230" s="53" t="str">
        <f>VLOOKUP(_teams[[#This Row],[tournament]],tournaments_n_rules[],3,0)</f>
        <v>Осень 2026</v>
      </c>
      <c r="H230" s="54">
        <f>VLOOKUP(_teams[[#This Row],[tournament]],tournaments_n_rules[],4,0)</f>
        <v>46285</v>
      </c>
      <c r="I230" s="54">
        <f>VLOOKUP(_teams[[#This Row],[tournament]],tournaments_n_rules[],5,0)</f>
        <v>46356</v>
      </c>
    </row>
    <row r="231" spans="1:9" x14ac:dyDescent="0.25">
      <c r="A231" s="101">
        <v>46292</v>
      </c>
      <c r="B231" s="72">
        <v>3</v>
      </c>
      <c r="C231" s="102">
        <v>1</v>
      </c>
      <c r="D231" s="102">
        <v>3</v>
      </c>
      <c r="E231" s="72">
        <v>9</v>
      </c>
      <c r="F231" s="53">
        <f>VLOOKUP(_teams[[#This Row],[tournament]],tournaments_n_rules[],2,0)</f>
        <v>1747</v>
      </c>
      <c r="G231" s="53" t="str">
        <f>VLOOKUP(_teams[[#This Row],[tournament]],tournaments_n_rules[],3,0)</f>
        <v>Осень 2026</v>
      </c>
      <c r="H231" s="54">
        <f>VLOOKUP(_teams[[#This Row],[tournament]],tournaments_n_rules[],4,0)</f>
        <v>46285</v>
      </c>
      <c r="I231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31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5" sqref="D225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108" t="s">
        <v>69</v>
      </c>
      <c r="B218" s="109">
        <v>2</v>
      </c>
      <c r="C218" s="110">
        <v>46292</v>
      </c>
      <c r="D218" s="71" t="s">
        <v>302</v>
      </c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  <hyperlink ref="D216" r:id="rId9" xr:uid="{BC7CAAA1-A1B9-4375-A9C3-849C484493E1}"/>
    <hyperlink ref="D218" r:id="rId10" xr:uid="{5FB21B47-DB38-4CEC-9263-549874BAB77E}"/>
  </hyperlinks>
  <pageMargins left="0.7" right="0.7" top="0.75" bottom="0.75" header="0.3" footer="0.3"/>
  <tableParts count="1"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E28" sqref="E2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2026-09-27T11:48:59Z</dcterms:modified>
</cp:coreProperties>
</file>