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T:\dev\football_stats\"/>
    </mc:Choice>
  </mc:AlternateContent>
  <xr:revisionPtr revIDLastSave="0" documentId="13_ncr:1_{069EDA97-3BB3-4A87-AA3D-BF0536ECDE44}" xr6:coauthVersionLast="47" xr6:coauthVersionMax="47" xr10:uidLastSave="{00000000-0000-0000-0000-000000000000}"/>
  <bookViews>
    <workbookView xWindow="-120" yWindow="-120" windowWidth="29040" windowHeight="15840" firstSheet="3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8" i="4" l="1"/>
  <c r="A7" i="4"/>
  <c r="A6" i="4"/>
  <c r="A5" i="4"/>
  <c r="A4" i="4"/>
  <c r="A3" i="4"/>
  <c r="A2" i="4"/>
  <c r="I212" i="3"/>
  <c r="H212" i="3"/>
  <c r="G212" i="3"/>
  <c r="F212" i="3"/>
  <c r="I211" i="3"/>
  <c r="H211" i="3"/>
  <c r="G211" i="3"/>
  <c r="F211" i="3"/>
  <c r="I210" i="3"/>
  <c r="H210" i="3"/>
  <c r="G210" i="3"/>
  <c r="F210" i="3"/>
  <c r="I209" i="3"/>
  <c r="H209" i="3"/>
  <c r="G209" i="3"/>
  <c r="F209" i="3"/>
  <c r="I208" i="3"/>
  <c r="H208" i="3"/>
  <c r="G208" i="3"/>
  <c r="F208" i="3"/>
  <c r="I207" i="3"/>
  <c r="H207" i="3"/>
  <c r="G207" i="3"/>
  <c r="F207" i="3"/>
  <c r="I206" i="3"/>
  <c r="H206" i="3"/>
  <c r="G206" i="3"/>
  <c r="F206" i="3"/>
  <c r="I205" i="3"/>
  <c r="H205" i="3"/>
  <c r="G205" i="3"/>
  <c r="F205" i="3"/>
  <c r="I204" i="3"/>
  <c r="H204" i="3"/>
  <c r="G204" i="3"/>
  <c r="F204" i="3"/>
  <c r="I203" i="3"/>
  <c r="H203" i="3"/>
  <c r="G203" i="3"/>
  <c r="F203" i="3"/>
  <c r="I202" i="3"/>
  <c r="H202" i="3"/>
  <c r="G202" i="3"/>
  <c r="F202" i="3"/>
  <c r="I201" i="3"/>
  <c r="H201" i="3"/>
  <c r="G201" i="3"/>
  <c r="F201" i="3"/>
  <c r="I200" i="3"/>
  <c r="H200" i="3"/>
  <c r="G200" i="3"/>
  <c r="F200" i="3"/>
  <c r="I199" i="3"/>
  <c r="H199" i="3"/>
  <c r="G199" i="3"/>
  <c r="F199" i="3"/>
  <c r="I198" i="3"/>
  <c r="H198" i="3"/>
  <c r="G198" i="3"/>
  <c r="F198" i="3"/>
  <c r="I197" i="3"/>
  <c r="H197" i="3"/>
  <c r="G197" i="3"/>
  <c r="F197" i="3"/>
  <c r="I196" i="3"/>
  <c r="H196" i="3"/>
  <c r="G196" i="3"/>
  <c r="F196" i="3"/>
  <c r="I195" i="3"/>
  <c r="H195" i="3"/>
  <c r="G195" i="3"/>
  <c r="F195" i="3"/>
  <c r="I194" i="3"/>
  <c r="H194" i="3"/>
  <c r="G194" i="3"/>
  <c r="F194" i="3"/>
  <c r="I193" i="3"/>
  <c r="H193" i="3"/>
  <c r="G193" i="3"/>
  <c r="F193" i="3"/>
  <c r="I192" i="3"/>
  <c r="H192" i="3"/>
  <c r="G192" i="3"/>
  <c r="F192" i="3"/>
  <c r="I191" i="3"/>
  <c r="H191" i="3"/>
  <c r="G191" i="3"/>
  <c r="F191" i="3"/>
  <c r="I190" i="3"/>
  <c r="H190" i="3"/>
  <c r="G190" i="3"/>
  <c r="F190" i="3"/>
  <c r="I189" i="3"/>
  <c r="H189" i="3"/>
  <c r="G189" i="3"/>
  <c r="F189" i="3"/>
  <c r="I188" i="3"/>
  <c r="H188" i="3"/>
  <c r="G188" i="3"/>
  <c r="F188" i="3"/>
  <c r="I187" i="3"/>
  <c r="H187" i="3"/>
  <c r="G187" i="3"/>
  <c r="F187" i="3"/>
  <c r="I186" i="3"/>
  <c r="H186" i="3"/>
  <c r="G186" i="3"/>
  <c r="F186" i="3"/>
  <c r="I185" i="3"/>
  <c r="H185" i="3"/>
  <c r="G185" i="3"/>
  <c r="F185" i="3"/>
  <c r="I184" i="3"/>
  <c r="H184" i="3"/>
  <c r="G184" i="3"/>
  <c r="F184" i="3"/>
  <c r="I183" i="3"/>
  <c r="H183" i="3"/>
  <c r="G183" i="3"/>
  <c r="F183" i="3"/>
  <c r="I182" i="3"/>
  <c r="H182" i="3"/>
  <c r="G182" i="3"/>
  <c r="F182" i="3"/>
  <c r="I181" i="3"/>
  <c r="H181" i="3"/>
  <c r="G181" i="3"/>
  <c r="F181" i="3"/>
  <c r="I180" i="3"/>
  <c r="H180" i="3"/>
  <c r="G180" i="3"/>
  <c r="F180" i="3"/>
  <c r="I179" i="3"/>
  <c r="H179" i="3"/>
  <c r="G179" i="3"/>
  <c r="F179" i="3"/>
  <c r="I178" i="3"/>
  <c r="H178" i="3"/>
  <c r="G178" i="3"/>
  <c r="F178" i="3"/>
  <c r="I177" i="3"/>
  <c r="H177" i="3"/>
  <c r="G177" i="3"/>
  <c r="F177" i="3"/>
  <c r="I176" i="3"/>
  <c r="H176" i="3"/>
  <c r="G176" i="3"/>
  <c r="F176" i="3"/>
  <c r="I175" i="3"/>
  <c r="H175" i="3"/>
  <c r="G175" i="3"/>
  <c r="F175" i="3"/>
  <c r="I174" i="3"/>
  <c r="H174" i="3"/>
  <c r="G174" i="3"/>
  <c r="F174" i="3"/>
  <c r="I173" i="3"/>
  <c r="H173" i="3"/>
  <c r="G173" i="3"/>
  <c r="F173" i="3"/>
  <c r="I172" i="3"/>
  <c r="H172" i="3"/>
  <c r="G172" i="3"/>
  <c r="F172" i="3"/>
  <c r="I171" i="3"/>
  <c r="H171" i="3"/>
  <c r="G171" i="3"/>
  <c r="F171" i="3"/>
  <c r="I170" i="3"/>
  <c r="H170" i="3"/>
  <c r="G170" i="3"/>
  <c r="F170" i="3"/>
  <c r="I169" i="3"/>
  <c r="H169" i="3"/>
  <c r="G169" i="3"/>
  <c r="F169" i="3"/>
  <c r="I168" i="3"/>
  <c r="H168" i="3"/>
  <c r="G168" i="3"/>
  <c r="F168" i="3"/>
  <c r="I167" i="3"/>
  <c r="H167" i="3"/>
  <c r="G167" i="3"/>
  <c r="F167" i="3"/>
  <c r="I166" i="3"/>
  <c r="H166" i="3"/>
  <c r="G166" i="3"/>
  <c r="F166" i="3"/>
  <c r="I165" i="3"/>
  <c r="H165" i="3"/>
  <c r="G165" i="3"/>
  <c r="F165" i="3"/>
  <c r="I164" i="3"/>
  <c r="H164" i="3"/>
  <c r="G164" i="3"/>
  <c r="F164" i="3"/>
  <c r="I163" i="3"/>
  <c r="H163" i="3"/>
  <c r="G163" i="3"/>
  <c r="F163" i="3"/>
  <c r="I162" i="3"/>
  <c r="H162" i="3"/>
  <c r="G162" i="3"/>
  <c r="F162" i="3"/>
  <c r="I161" i="3"/>
  <c r="H161" i="3"/>
  <c r="G161" i="3"/>
  <c r="F161" i="3"/>
  <c r="I160" i="3"/>
  <c r="H160" i="3"/>
  <c r="G160" i="3"/>
  <c r="F160" i="3"/>
  <c r="I159" i="3"/>
  <c r="H159" i="3"/>
  <c r="G159" i="3"/>
  <c r="F159" i="3"/>
  <c r="I158" i="3"/>
  <c r="H158" i="3"/>
  <c r="G158" i="3"/>
  <c r="F158" i="3"/>
  <c r="I157" i="3"/>
  <c r="H157" i="3"/>
  <c r="G157" i="3"/>
  <c r="F157" i="3"/>
  <c r="I156" i="3"/>
  <c r="H156" i="3"/>
  <c r="G156" i="3"/>
  <c r="F156" i="3"/>
  <c r="I155" i="3"/>
  <c r="H155" i="3"/>
  <c r="G155" i="3"/>
  <c r="F155" i="3"/>
  <c r="I154" i="3"/>
  <c r="H154" i="3"/>
  <c r="G154" i="3"/>
  <c r="F154" i="3"/>
  <c r="I153" i="3"/>
  <c r="H153" i="3"/>
  <c r="G153" i="3"/>
  <c r="F153" i="3"/>
  <c r="I152" i="3"/>
  <c r="H152" i="3"/>
  <c r="G152" i="3"/>
  <c r="F152" i="3"/>
  <c r="I151" i="3"/>
  <c r="H151" i="3"/>
  <c r="G151" i="3"/>
  <c r="F151" i="3"/>
  <c r="I150" i="3"/>
  <c r="H150" i="3"/>
  <c r="G150" i="3"/>
  <c r="F150" i="3"/>
  <c r="I149" i="3"/>
  <c r="H149" i="3"/>
  <c r="G149" i="3"/>
  <c r="F149" i="3"/>
  <c r="I148" i="3"/>
  <c r="H148" i="3"/>
  <c r="G148" i="3"/>
  <c r="F148" i="3"/>
  <c r="I147" i="3"/>
  <c r="H147" i="3"/>
  <c r="G147" i="3"/>
  <c r="F147" i="3"/>
  <c r="I146" i="3"/>
  <c r="H146" i="3"/>
  <c r="G146" i="3"/>
  <c r="F146" i="3"/>
  <c r="I145" i="3"/>
  <c r="H145" i="3"/>
  <c r="G145" i="3"/>
  <c r="F145" i="3"/>
  <c r="I144" i="3"/>
  <c r="H144" i="3"/>
  <c r="G144" i="3"/>
  <c r="F144" i="3"/>
  <c r="I143" i="3"/>
  <c r="H143" i="3"/>
  <c r="G143" i="3"/>
  <c r="F143" i="3"/>
  <c r="I142" i="3"/>
  <c r="H142" i="3"/>
  <c r="G142" i="3"/>
  <c r="F142" i="3"/>
  <c r="I141" i="3"/>
  <c r="H141" i="3"/>
  <c r="G141" i="3"/>
  <c r="F141" i="3"/>
  <c r="I140" i="3"/>
  <c r="H140" i="3"/>
  <c r="G140" i="3"/>
  <c r="F140" i="3"/>
  <c r="I139" i="3"/>
  <c r="H139" i="3"/>
  <c r="G139" i="3"/>
  <c r="F139" i="3"/>
  <c r="I138" i="3"/>
  <c r="H138" i="3"/>
  <c r="G138" i="3"/>
  <c r="F138" i="3"/>
  <c r="I137" i="3"/>
  <c r="H137" i="3"/>
  <c r="G137" i="3"/>
  <c r="F137" i="3"/>
  <c r="I136" i="3"/>
  <c r="H136" i="3"/>
  <c r="G136" i="3"/>
  <c r="F136" i="3"/>
  <c r="I135" i="3"/>
  <c r="H135" i="3"/>
  <c r="G135" i="3"/>
  <c r="F135" i="3"/>
  <c r="I134" i="3"/>
  <c r="H134" i="3"/>
  <c r="G134" i="3"/>
  <c r="F134" i="3"/>
  <c r="I133" i="3"/>
  <c r="H133" i="3"/>
  <c r="G133" i="3"/>
  <c r="F133" i="3"/>
  <c r="I132" i="3"/>
  <c r="H132" i="3"/>
  <c r="G132" i="3"/>
  <c r="F132" i="3"/>
  <c r="I131" i="3"/>
  <c r="H131" i="3"/>
  <c r="G131" i="3"/>
  <c r="F131" i="3"/>
  <c r="I130" i="3"/>
  <c r="H130" i="3"/>
  <c r="G130" i="3"/>
  <c r="F130" i="3"/>
  <c r="I129" i="3"/>
  <c r="H129" i="3"/>
  <c r="G129" i="3"/>
  <c r="F129" i="3"/>
  <c r="I128" i="3"/>
  <c r="H128" i="3"/>
  <c r="G128" i="3"/>
  <c r="F128" i="3"/>
  <c r="I127" i="3"/>
  <c r="H127" i="3"/>
  <c r="G127" i="3"/>
  <c r="F127" i="3"/>
  <c r="I126" i="3"/>
  <c r="H126" i="3"/>
  <c r="G126" i="3"/>
  <c r="F126" i="3"/>
  <c r="I125" i="3"/>
  <c r="H125" i="3"/>
  <c r="G125" i="3"/>
  <c r="F125" i="3"/>
  <c r="I124" i="3"/>
  <c r="H124" i="3"/>
  <c r="G124" i="3"/>
  <c r="F124" i="3"/>
  <c r="I123" i="3"/>
  <c r="H123" i="3"/>
  <c r="G123" i="3"/>
  <c r="F123" i="3"/>
  <c r="I122" i="3"/>
  <c r="H122" i="3"/>
  <c r="G122" i="3"/>
  <c r="F122" i="3"/>
  <c r="I121" i="3"/>
  <c r="H121" i="3"/>
  <c r="G121" i="3"/>
  <c r="F121" i="3"/>
  <c r="I120" i="3"/>
  <c r="H120" i="3"/>
  <c r="G120" i="3"/>
  <c r="F120" i="3"/>
  <c r="I119" i="3"/>
  <c r="H119" i="3"/>
  <c r="G119" i="3"/>
  <c r="F119" i="3"/>
  <c r="I118" i="3"/>
  <c r="H118" i="3"/>
  <c r="G118" i="3"/>
  <c r="F118" i="3"/>
  <c r="I117" i="3"/>
  <c r="H117" i="3"/>
  <c r="G117" i="3"/>
  <c r="F117" i="3"/>
  <c r="I116" i="3"/>
  <c r="H116" i="3"/>
  <c r="G116" i="3"/>
  <c r="F116" i="3"/>
  <c r="I115" i="3"/>
  <c r="H115" i="3"/>
  <c r="G115" i="3"/>
  <c r="F115" i="3"/>
  <c r="I114" i="3"/>
  <c r="H114" i="3"/>
  <c r="G114" i="3"/>
  <c r="F114" i="3"/>
  <c r="I113" i="3"/>
  <c r="H113" i="3"/>
  <c r="G113" i="3"/>
  <c r="F113" i="3"/>
  <c r="I112" i="3"/>
  <c r="H112" i="3"/>
  <c r="G112" i="3"/>
  <c r="F112" i="3"/>
  <c r="I111" i="3"/>
  <c r="H111" i="3"/>
  <c r="G111" i="3"/>
  <c r="F111" i="3"/>
  <c r="I110" i="3"/>
  <c r="H110" i="3"/>
  <c r="G110" i="3"/>
  <c r="F110" i="3"/>
  <c r="I109" i="3"/>
  <c r="H109" i="3"/>
  <c r="G109" i="3"/>
  <c r="F109" i="3"/>
  <c r="I108" i="3"/>
  <c r="H108" i="3"/>
  <c r="G108" i="3"/>
  <c r="F108" i="3"/>
  <c r="I107" i="3"/>
  <c r="H107" i="3"/>
  <c r="G107" i="3"/>
  <c r="F107" i="3"/>
  <c r="I106" i="3"/>
  <c r="H106" i="3"/>
  <c r="G106" i="3"/>
  <c r="F106" i="3"/>
  <c r="I105" i="3"/>
  <c r="H105" i="3"/>
  <c r="G105" i="3"/>
  <c r="F105" i="3"/>
  <c r="I104" i="3"/>
  <c r="H104" i="3"/>
  <c r="G104" i="3"/>
  <c r="F104" i="3"/>
  <c r="I103" i="3"/>
  <c r="H103" i="3"/>
  <c r="G103" i="3"/>
  <c r="F103" i="3"/>
  <c r="I102" i="3"/>
  <c r="H102" i="3"/>
  <c r="G102" i="3"/>
  <c r="F102" i="3"/>
  <c r="I101" i="3"/>
  <c r="H101" i="3"/>
  <c r="G101" i="3"/>
  <c r="F101" i="3"/>
  <c r="I100" i="3"/>
  <c r="H100" i="3"/>
  <c r="G100" i="3"/>
  <c r="F100" i="3"/>
  <c r="I99" i="3"/>
  <c r="H99" i="3"/>
  <c r="G99" i="3"/>
  <c r="F99" i="3"/>
  <c r="I98" i="3"/>
  <c r="H98" i="3"/>
  <c r="G98" i="3"/>
  <c r="F98" i="3"/>
  <c r="I97" i="3"/>
  <c r="H97" i="3"/>
  <c r="G97" i="3"/>
  <c r="F97" i="3"/>
  <c r="I96" i="3"/>
  <c r="H96" i="3"/>
  <c r="G96" i="3"/>
  <c r="F96" i="3"/>
  <c r="I95" i="3"/>
  <c r="H95" i="3"/>
  <c r="G95" i="3"/>
  <c r="F95" i="3"/>
  <c r="I94" i="3"/>
  <c r="H94" i="3"/>
  <c r="G94" i="3"/>
  <c r="F94" i="3"/>
  <c r="I93" i="3"/>
  <c r="H93" i="3"/>
  <c r="G93" i="3"/>
  <c r="F93" i="3"/>
  <c r="I92" i="3"/>
  <c r="H92" i="3"/>
  <c r="G92" i="3"/>
  <c r="F92" i="3"/>
  <c r="I91" i="3"/>
  <c r="H91" i="3"/>
  <c r="G91" i="3"/>
  <c r="F91" i="3"/>
  <c r="I90" i="3"/>
  <c r="H90" i="3"/>
  <c r="G90" i="3"/>
  <c r="F90" i="3"/>
  <c r="I89" i="3"/>
  <c r="H89" i="3"/>
  <c r="G89" i="3"/>
  <c r="F89" i="3"/>
  <c r="I88" i="3"/>
  <c r="H88" i="3"/>
  <c r="G88" i="3"/>
  <c r="F88" i="3"/>
  <c r="I87" i="3"/>
  <c r="H87" i="3"/>
  <c r="G87" i="3"/>
  <c r="F87" i="3"/>
  <c r="I86" i="3"/>
  <c r="H86" i="3"/>
  <c r="G86" i="3"/>
  <c r="F86" i="3"/>
  <c r="I85" i="3"/>
  <c r="H85" i="3"/>
  <c r="G85" i="3"/>
  <c r="F85" i="3"/>
  <c r="I84" i="3"/>
  <c r="H84" i="3"/>
  <c r="G84" i="3"/>
  <c r="F84" i="3"/>
  <c r="I83" i="3"/>
  <c r="H83" i="3"/>
  <c r="G83" i="3"/>
  <c r="F83" i="3"/>
  <c r="I82" i="3"/>
  <c r="H82" i="3"/>
  <c r="G82" i="3"/>
  <c r="F82" i="3"/>
  <c r="I81" i="3"/>
  <c r="H81" i="3"/>
  <c r="G81" i="3"/>
  <c r="F81" i="3"/>
  <c r="I80" i="3"/>
  <c r="H80" i="3"/>
  <c r="G80" i="3"/>
  <c r="F80" i="3"/>
  <c r="I79" i="3"/>
  <c r="H79" i="3"/>
  <c r="G79" i="3"/>
  <c r="F79" i="3"/>
  <c r="I78" i="3"/>
  <c r="H78" i="3"/>
  <c r="G78" i="3"/>
  <c r="F78" i="3"/>
  <c r="I77" i="3"/>
  <c r="H77" i="3"/>
  <c r="G77" i="3"/>
  <c r="F77" i="3"/>
  <c r="I76" i="3"/>
  <c r="H76" i="3"/>
  <c r="G76" i="3"/>
  <c r="F76" i="3"/>
  <c r="I75" i="3"/>
  <c r="H75" i="3"/>
  <c r="G75" i="3"/>
  <c r="F75" i="3"/>
  <c r="I74" i="3"/>
  <c r="H74" i="3"/>
  <c r="G74" i="3"/>
  <c r="F74" i="3"/>
  <c r="I73" i="3"/>
  <c r="H73" i="3"/>
  <c r="G73" i="3"/>
  <c r="F73" i="3"/>
  <c r="I72" i="3"/>
  <c r="H72" i="3"/>
  <c r="G72" i="3"/>
  <c r="F72" i="3"/>
  <c r="I71" i="3"/>
  <c r="H71" i="3"/>
  <c r="G71" i="3"/>
  <c r="F71" i="3"/>
  <c r="I70" i="3"/>
  <c r="H70" i="3"/>
  <c r="G70" i="3"/>
  <c r="F70" i="3"/>
  <c r="I69" i="3"/>
  <c r="H69" i="3"/>
  <c r="G69" i="3"/>
  <c r="F69" i="3"/>
  <c r="I68" i="3"/>
  <c r="H68" i="3"/>
  <c r="G68" i="3"/>
  <c r="F68" i="3"/>
  <c r="I67" i="3"/>
  <c r="H67" i="3"/>
  <c r="G67" i="3"/>
  <c r="F67" i="3"/>
  <c r="I66" i="3"/>
  <c r="H66" i="3"/>
  <c r="G66" i="3"/>
  <c r="F66" i="3"/>
  <c r="I65" i="3"/>
  <c r="H65" i="3"/>
  <c r="G65" i="3"/>
  <c r="F65" i="3"/>
  <c r="I64" i="3"/>
  <c r="H64" i="3"/>
  <c r="G64" i="3"/>
  <c r="F64" i="3"/>
  <c r="I63" i="3"/>
  <c r="H63" i="3"/>
  <c r="G63" i="3"/>
  <c r="F63" i="3"/>
  <c r="I62" i="3"/>
  <c r="H62" i="3"/>
  <c r="G62" i="3"/>
  <c r="F62" i="3"/>
  <c r="I61" i="3"/>
  <c r="H61" i="3"/>
  <c r="G61" i="3"/>
  <c r="F61" i="3"/>
  <c r="I60" i="3"/>
  <c r="H60" i="3"/>
  <c r="G60" i="3"/>
  <c r="F60" i="3"/>
  <c r="I59" i="3"/>
  <c r="H59" i="3"/>
  <c r="G59" i="3"/>
  <c r="F59" i="3"/>
  <c r="I58" i="3"/>
  <c r="H58" i="3"/>
  <c r="G58" i="3"/>
  <c r="F58" i="3"/>
  <c r="I57" i="3"/>
  <c r="H57" i="3"/>
  <c r="G57" i="3"/>
  <c r="F57" i="3"/>
  <c r="I56" i="3"/>
  <c r="H56" i="3"/>
  <c r="G56" i="3"/>
  <c r="F56" i="3"/>
  <c r="I55" i="3"/>
  <c r="H55" i="3"/>
  <c r="G55" i="3"/>
  <c r="F55" i="3"/>
  <c r="I54" i="3"/>
  <c r="H54" i="3"/>
  <c r="G54" i="3"/>
  <c r="F54" i="3"/>
  <c r="I53" i="3"/>
  <c r="H53" i="3"/>
  <c r="G53" i="3"/>
  <c r="F53" i="3"/>
  <c r="I52" i="3"/>
  <c r="H52" i="3"/>
  <c r="G52" i="3"/>
  <c r="F52" i="3"/>
  <c r="I51" i="3"/>
  <c r="H51" i="3"/>
  <c r="G51" i="3"/>
  <c r="F51" i="3"/>
  <c r="I50" i="3"/>
  <c r="H50" i="3"/>
  <c r="G50" i="3"/>
  <c r="F50" i="3"/>
  <c r="I49" i="3"/>
  <c r="H49" i="3"/>
  <c r="G49" i="3"/>
  <c r="F49" i="3"/>
  <c r="I48" i="3"/>
  <c r="H48" i="3"/>
  <c r="G48" i="3"/>
  <c r="F48" i="3"/>
  <c r="I47" i="3"/>
  <c r="H47" i="3"/>
  <c r="G47" i="3"/>
  <c r="F47" i="3"/>
  <c r="I46" i="3"/>
  <c r="H46" i="3"/>
  <c r="G46" i="3"/>
  <c r="F46" i="3"/>
  <c r="I45" i="3"/>
  <c r="H45" i="3"/>
  <c r="G45" i="3"/>
  <c r="F45" i="3"/>
  <c r="I44" i="3"/>
  <c r="H44" i="3"/>
  <c r="G44" i="3"/>
  <c r="F44" i="3"/>
  <c r="I43" i="3"/>
  <c r="H43" i="3"/>
  <c r="G43" i="3"/>
  <c r="F43" i="3"/>
  <c r="I42" i="3"/>
  <c r="H42" i="3"/>
  <c r="G42" i="3"/>
  <c r="F42" i="3"/>
  <c r="I41" i="3"/>
  <c r="H41" i="3"/>
  <c r="G41" i="3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F36" i="3"/>
  <c r="I35" i="3"/>
  <c r="H35" i="3"/>
  <c r="G35" i="3"/>
  <c r="F35" i="3"/>
  <c r="I34" i="3"/>
  <c r="H34" i="3"/>
  <c r="G34" i="3"/>
  <c r="F34" i="3"/>
  <c r="I33" i="3"/>
  <c r="H33" i="3"/>
  <c r="G33" i="3"/>
  <c r="F33" i="3"/>
  <c r="I32" i="3"/>
  <c r="H32" i="3"/>
  <c r="G32" i="3"/>
  <c r="F32" i="3"/>
  <c r="I31" i="3"/>
  <c r="H31" i="3"/>
  <c r="G31" i="3"/>
  <c r="F31" i="3"/>
  <c r="I30" i="3"/>
  <c r="H30" i="3"/>
  <c r="G30" i="3"/>
  <c r="F30" i="3"/>
  <c r="I29" i="3"/>
  <c r="H29" i="3"/>
  <c r="G29" i="3"/>
  <c r="F29" i="3"/>
  <c r="I28" i="3"/>
  <c r="H28" i="3"/>
  <c r="G28" i="3"/>
  <c r="F28" i="3"/>
  <c r="I27" i="3"/>
  <c r="H27" i="3"/>
  <c r="G27" i="3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F23" i="3"/>
  <c r="I22" i="3"/>
  <c r="H22" i="3"/>
  <c r="G22" i="3"/>
  <c r="F22" i="3"/>
  <c r="I21" i="3"/>
  <c r="H21" i="3"/>
  <c r="G21" i="3"/>
  <c r="F21" i="3"/>
  <c r="I20" i="3"/>
  <c r="H20" i="3"/>
  <c r="G20" i="3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F16" i="3"/>
  <c r="I15" i="3"/>
  <c r="H15" i="3"/>
  <c r="G15" i="3"/>
  <c r="F15" i="3"/>
  <c r="I14" i="3"/>
  <c r="H14" i="3"/>
  <c r="G14" i="3"/>
  <c r="F14" i="3"/>
  <c r="I13" i="3"/>
  <c r="H13" i="3"/>
  <c r="G13" i="3"/>
  <c r="F13" i="3"/>
  <c r="I12" i="3"/>
  <c r="H12" i="3"/>
  <c r="G12" i="3"/>
  <c r="F12" i="3"/>
  <c r="I11" i="3"/>
  <c r="H11" i="3"/>
  <c r="G11" i="3"/>
  <c r="F11" i="3"/>
  <c r="I10" i="3"/>
  <c r="H10" i="3"/>
  <c r="G10" i="3"/>
  <c r="F10" i="3"/>
  <c r="I9" i="3"/>
  <c r="H9" i="3"/>
  <c r="G9" i="3"/>
  <c r="F9" i="3"/>
  <c r="I8" i="3"/>
  <c r="H8" i="3"/>
  <c r="G8" i="3"/>
  <c r="F8" i="3"/>
  <c r="I7" i="3"/>
  <c r="H7" i="3"/>
  <c r="G7" i="3"/>
  <c r="F7" i="3"/>
  <c r="I6" i="3"/>
  <c r="H6" i="3"/>
  <c r="G6" i="3"/>
  <c r="F6" i="3"/>
  <c r="I5" i="3"/>
  <c r="H5" i="3"/>
  <c r="G5" i="3"/>
  <c r="F5" i="3"/>
  <c r="I4" i="3"/>
  <c r="H4" i="3"/>
  <c r="G4" i="3"/>
  <c r="F4" i="3"/>
  <c r="I3" i="3"/>
  <c r="H3" i="3"/>
  <c r="G3" i="3"/>
  <c r="F3" i="3"/>
  <c r="I2" i="3"/>
  <c r="H2" i="3"/>
  <c r="G2" i="3"/>
  <c r="F2" i="3"/>
  <c r="O1523" i="2"/>
  <c r="N1523" i="2"/>
  <c r="M1523" i="2"/>
  <c r="L1523" i="2"/>
  <c r="H1523" i="2"/>
  <c r="G1523" i="2"/>
  <c r="D1523" i="2"/>
  <c r="O1522" i="2"/>
  <c r="N1522" i="2"/>
  <c r="M1522" i="2"/>
  <c r="L1522" i="2"/>
  <c r="H1522" i="2"/>
  <c r="G1522" i="2"/>
  <c r="D1522" i="2"/>
  <c r="O1521" i="2"/>
  <c r="N1521" i="2"/>
  <c r="M1521" i="2"/>
  <c r="L1521" i="2"/>
  <c r="H1521" i="2"/>
  <c r="G1521" i="2"/>
  <c r="D1521" i="2"/>
  <c r="O1520" i="2"/>
  <c r="N1520" i="2"/>
  <c r="M1520" i="2"/>
  <c r="L1520" i="2"/>
  <c r="H1520" i="2"/>
  <c r="G1520" i="2"/>
  <c r="D1520" i="2"/>
  <c r="O1519" i="2"/>
  <c r="N1519" i="2"/>
  <c r="M1519" i="2"/>
  <c r="L1519" i="2"/>
  <c r="H1519" i="2"/>
  <c r="G1519" i="2"/>
  <c r="D1519" i="2"/>
  <c r="O1518" i="2"/>
  <c r="N1518" i="2"/>
  <c r="M1518" i="2"/>
  <c r="L1518" i="2"/>
  <c r="H1518" i="2"/>
  <c r="G1518" i="2"/>
  <c r="D1518" i="2"/>
  <c r="O1517" i="2"/>
  <c r="N1517" i="2"/>
  <c r="M1517" i="2"/>
  <c r="L1517" i="2"/>
  <c r="H1517" i="2"/>
  <c r="G1517" i="2"/>
  <c r="D1517" i="2"/>
  <c r="O1516" i="2"/>
  <c r="N1516" i="2"/>
  <c r="M1516" i="2"/>
  <c r="L1516" i="2"/>
  <c r="H1516" i="2"/>
  <c r="G1516" i="2"/>
  <c r="D1516" i="2"/>
  <c r="O1515" i="2"/>
  <c r="N1515" i="2"/>
  <c r="M1515" i="2"/>
  <c r="L1515" i="2"/>
  <c r="H1515" i="2"/>
  <c r="G1515" i="2"/>
  <c r="D1515" i="2"/>
  <c r="O1514" i="2"/>
  <c r="N1514" i="2"/>
  <c r="M1514" i="2"/>
  <c r="L1514" i="2"/>
  <c r="H1514" i="2"/>
  <c r="G1514" i="2"/>
  <c r="D1514" i="2"/>
  <c r="O1513" i="2"/>
  <c r="N1513" i="2"/>
  <c r="M1513" i="2"/>
  <c r="L1513" i="2"/>
  <c r="H1513" i="2"/>
  <c r="G1513" i="2"/>
  <c r="D1513" i="2"/>
  <c r="O1512" i="2"/>
  <c r="N1512" i="2"/>
  <c r="M1512" i="2"/>
  <c r="L1512" i="2"/>
  <c r="H1512" i="2"/>
  <c r="G1512" i="2"/>
  <c r="D1512" i="2"/>
  <c r="O1511" i="2"/>
  <c r="N1511" i="2"/>
  <c r="M1511" i="2"/>
  <c r="L1511" i="2"/>
  <c r="H1511" i="2"/>
  <c r="G1511" i="2"/>
  <c r="D1511" i="2"/>
  <c r="O1510" i="2"/>
  <c r="N1510" i="2"/>
  <c r="M1510" i="2"/>
  <c r="L1510" i="2"/>
  <c r="H1510" i="2"/>
  <c r="G1510" i="2"/>
  <c r="D1510" i="2"/>
  <c r="O1509" i="2"/>
  <c r="N1509" i="2"/>
  <c r="M1509" i="2"/>
  <c r="L1509" i="2"/>
  <c r="H1509" i="2"/>
  <c r="G1509" i="2"/>
  <c r="D1509" i="2"/>
  <c r="O1508" i="2"/>
  <c r="N1508" i="2"/>
  <c r="M1508" i="2"/>
  <c r="L1508" i="2"/>
  <c r="H1508" i="2"/>
  <c r="G1508" i="2"/>
  <c r="D1508" i="2"/>
  <c r="O1507" i="2"/>
  <c r="N1507" i="2"/>
  <c r="M1507" i="2"/>
  <c r="L1507" i="2"/>
  <c r="H1507" i="2"/>
  <c r="G1507" i="2"/>
  <c r="D1507" i="2"/>
  <c r="O1506" i="2"/>
  <c r="N1506" i="2"/>
  <c r="M1506" i="2"/>
  <c r="L1506" i="2"/>
  <c r="H1506" i="2"/>
  <c r="G1506" i="2"/>
  <c r="D1506" i="2"/>
  <c r="O1505" i="2"/>
  <c r="N1505" i="2"/>
  <c r="M1505" i="2"/>
  <c r="L1505" i="2"/>
  <c r="H1505" i="2"/>
  <c r="G1505" i="2"/>
  <c r="D1505" i="2"/>
  <c r="O1504" i="2"/>
  <c r="N1504" i="2"/>
  <c r="M1504" i="2"/>
  <c r="L1504" i="2"/>
  <c r="H1504" i="2"/>
  <c r="G1504" i="2"/>
  <c r="D1504" i="2"/>
  <c r="O1503" i="2"/>
  <c r="N1503" i="2"/>
  <c r="M1503" i="2"/>
  <c r="L1503" i="2"/>
  <c r="H1503" i="2"/>
  <c r="G1503" i="2"/>
  <c r="D1503" i="2"/>
  <c r="O1502" i="2"/>
  <c r="N1502" i="2"/>
  <c r="M1502" i="2"/>
  <c r="L1502" i="2"/>
  <c r="H1502" i="2"/>
  <c r="G1502" i="2"/>
  <c r="D1502" i="2"/>
  <c r="O1501" i="2"/>
  <c r="N1501" i="2"/>
  <c r="M1501" i="2"/>
  <c r="L1501" i="2"/>
  <c r="H1501" i="2"/>
  <c r="G1501" i="2"/>
  <c r="D1501" i="2"/>
  <c r="O1500" i="2"/>
  <c r="N1500" i="2"/>
  <c r="M1500" i="2"/>
  <c r="L1500" i="2"/>
  <c r="H1500" i="2"/>
  <c r="G1500" i="2"/>
  <c r="D1500" i="2"/>
  <c r="O1499" i="2"/>
  <c r="N1499" i="2"/>
  <c r="M1499" i="2"/>
  <c r="L1499" i="2"/>
  <c r="H1499" i="2"/>
  <c r="G1499" i="2"/>
  <c r="D1499" i="2"/>
  <c r="O1498" i="2"/>
  <c r="N1498" i="2"/>
  <c r="M1498" i="2"/>
  <c r="L1498" i="2"/>
  <c r="H1498" i="2"/>
  <c r="G1498" i="2"/>
  <c r="D1498" i="2"/>
  <c r="O1497" i="2"/>
  <c r="N1497" i="2"/>
  <c r="M1497" i="2"/>
  <c r="L1497" i="2"/>
  <c r="H1497" i="2"/>
  <c r="G1497" i="2"/>
  <c r="D1497" i="2"/>
  <c r="O1496" i="2"/>
  <c r="N1496" i="2"/>
  <c r="M1496" i="2"/>
  <c r="L1496" i="2"/>
  <c r="H1496" i="2"/>
  <c r="G1496" i="2"/>
  <c r="D1496" i="2"/>
  <c r="O1495" i="2"/>
  <c r="N1495" i="2"/>
  <c r="M1495" i="2"/>
  <c r="L1495" i="2"/>
  <c r="H1495" i="2"/>
  <c r="G1495" i="2"/>
  <c r="D1495" i="2"/>
  <c r="O1494" i="2"/>
  <c r="N1494" i="2"/>
  <c r="M1494" i="2"/>
  <c r="L1494" i="2"/>
  <c r="H1494" i="2"/>
  <c r="G1494" i="2"/>
  <c r="D1494" i="2"/>
  <c r="O1493" i="2"/>
  <c r="N1493" i="2"/>
  <c r="M1493" i="2"/>
  <c r="L1493" i="2"/>
  <c r="H1493" i="2"/>
  <c r="G1493" i="2"/>
  <c r="D1493" i="2"/>
  <c r="O1492" i="2"/>
  <c r="N1492" i="2"/>
  <c r="M1492" i="2"/>
  <c r="L1492" i="2"/>
  <c r="H1492" i="2"/>
  <c r="G1492" i="2"/>
  <c r="D1492" i="2"/>
  <c r="O1491" i="2"/>
  <c r="N1491" i="2"/>
  <c r="M1491" i="2"/>
  <c r="L1491" i="2"/>
  <c r="H1491" i="2"/>
  <c r="G1491" i="2"/>
  <c r="D1491" i="2"/>
  <c r="O1490" i="2"/>
  <c r="N1490" i="2"/>
  <c r="M1490" i="2"/>
  <c r="L1490" i="2"/>
  <c r="H1490" i="2"/>
  <c r="G1490" i="2"/>
  <c r="D1490" i="2"/>
  <c r="O1489" i="2"/>
  <c r="N1489" i="2"/>
  <c r="M1489" i="2"/>
  <c r="L1489" i="2"/>
  <c r="H1489" i="2"/>
  <c r="G1489" i="2"/>
  <c r="D1489" i="2"/>
  <c r="O1488" i="2"/>
  <c r="N1488" i="2"/>
  <c r="M1488" i="2"/>
  <c r="L1488" i="2"/>
  <c r="H1488" i="2"/>
  <c r="G1488" i="2"/>
  <c r="D1488" i="2"/>
  <c r="O1487" i="2"/>
  <c r="N1487" i="2"/>
  <c r="M1487" i="2"/>
  <c r="L1487" i="2"/>
  <c r="H1487" i="2"/>
  <c r="G1487" i="2"/>
  <c r="D1487" i="2"/>
  <c r="O1486" i="2"/>
  <c r="N1486" i="2"/>
  <c r="M1486" i="2"/>
  <c r="L1486" i="2"/>
  <c r="H1486" i="2"/>
  <c r="G1486" i="2"/>
  <c r="D1486" i="2"/>
  <c r="O1485" i="2"/>
  <c r="N1485" i="2"/>
  <c r="M1485" i="2"/>
  <c r="L1485" i="2"/>
  <c r="H1485" i="2"/>
  <c r="G1485" i="2"/>
  <c r="D1485" i="2"/>
  <c r="O1484" i="2"/>
  <c r="N1484" i="2"/>
  <c r="M1484" i="2"/>
  <c r="L1484" i="2"/>
  <c r="H1484" i="2"/>
  <c r="G1484" i="2"/>
  <c r="D1484" i="2"/>
  <c r="O1483" i="2"/>
  <c r="N1483" i="2"/>
  <c r="M1483" i="2"/>
  <c r="L1483" i="2"/>
  <c r="H1483" i="2"/>
  <c r="G1483" i="2"/>
  <c r="D1483" i="2"/>
  <c r="O1482" i="2"/>
  <c r="N1482" i="2"/>
  <c r="M1482" i="2"/>
  <c r="L1482" i="2"/>
  <c r="H1482" i="2"/>
  <c r="G1482" i="2"/>
  <c r="D1482" i="2"/>
  <c r="O1481" i="2"/>
  <c r="N1481" i="2"/>
  <c r="M1481" i="2"/>
  <c r="L1481" i="2"/>
  <c r="H1481" i="2"/>
  <c r="G1481" i="2"/>
  <c r="D1481" i="2"/>
  <c r="O1480" i="2"/>
  <c r="N1480" i="2"/>
  <c r="M1480" i="2"/>
  <c r="L1480" i="2"/>
  <c r="H1480" i="2"/>
  <c r="G1480" i="2"/>
  <c r="D1480" i="2"/>
  <c r="O1479" i="2"/>
  <c r="N1479" i="2"/>
  <c r="M1479" i="2"/>
  <c r="L1479" i="2"/>
  <c r="H1479" i="2"/>
  <c r="G1479" i="2"/>
  <c r="D1479" i="2"/>
  <c r="O1478" i="2"/>
  <c r="N1478" i="2"/>
  <c r="M1478" i="2"/>
  <c r="L1478" i="2"/>
  <c r="H1478" i="2"/>
  <c r="G1478" i="2"/>
  <c r="D1478" i="2"/>
  <c r="O1477" i="2"/>
  <c r="N1477" i="2"/>
  <c r="M1477" i="2"/>
  <c r="L1477" i="2"/>
  <c r="H1477" i="2"/>
  <c r="G1477" i="2"/>
  <c r="D1477" i="2"/>
  <c r="O1476" i="2"/>
  <c r="N1476" i="2"/>
  <c r="M1476" i="2"/>
  <c r="L1476" i="2"/>
  <c r="H1476" i="2"/>
  <c r="G1476" i="2"/>
  <c r="D1476" i="2"/>
  <c r="O1475" i="2"/>
  <c r="N1475" i="2"/>
  <c r="M1475" i="2"/>
  <c r="L1475" i="2"/>
  <c r="H1475" i="2"/>
  <c r="G1475" i="2"/>
  <c r="D1475" i="2"/>
  <c r="O1474" i="2"/>
  <c r="N1474" i="2"/>
  <c r="M1474" i="2"/>
  <c r="L1474" i="2"/>
  <c r="H1474" i="2"/>
  <c r="G1474" i="2"/>
  <c r="D1474" i="2"/>
  <c r="O1473" i="2"/>
  <c r="N1473" i="2"/>
  <c r="M1473" i="2"/>
  <c r="L1473" i="2"/>
  <c r="H1473" i="2"/>
  <c r="G1473" i="2"/>
  <c r="D1473" i="2"/>
  <c r="O1472" i="2"/>
  <c r="N1472" i="2"/>
  <c r="M1472" i="2"/>
  <c r="L1472" i="2"/>
  <c r="H1472" i="2"/>
  <c r="G1472" i="2"/>
  <c r="D1472" i="2"/>
  <c r="O1471" i="2"/>
  <c r="N1471" i="2"/>
  <c r="M1471" i="2"/>
  <c r="L1471" i="2"/>
  <c r="H1471" i="2"/>
  <c r="G1471" i="2"/>
  <c r="D1471" i="2"/>
  <c r="O1470" i="2"/>
  <c r="N1470" i="2"/>
  <c r="M1470" i="2"/>
  <c r="L1470" i="2"/>
  <c r="H1470" i="2"/>
  <c r="G1470" i="2"/>
  <c r="D1470" i="2"/>
  <c r="O1469" i="2"/>
  <c r="N1469" i="2"/>
  <c r="M1469" i="2"/>
  <c r="L1469" i="2"/>
  <c r="H1469" i="2"/>
  <c r="G1469" i="2"/>
  <c r="D1469" i="2"/>
  <c r="O1468" i="2"/>
  <c r="N1468" i="2"/>
  <c r="M1468" i="2"/>
  <c r="L1468" i="2"/>
  <c r="H1468" i="2"/>
  <c r="G1468" i="2"/>
  <c r="D1468" i="2"/>
  <c r="O1467" i="2"/>
  <c r="N1467" i="2"/>
  <c r="M1467" i="2"/>
  <c r="L1467" i="2"/>
  <c r="H1467" i="2"/>
  <c r="G1467" i="2"/>
  <c r="D1467" i="2"/>
  <c r="O1466" i="2"/>
  <c r="N1466" i="2"/>
  <c r="M1466" i="2"/>
  <c r="L1466" i="2"/>
  <c r="H1466" i="2"/>
  <c r="G1466" i="2"/>
  <c r="D1466" i="2"/>
  <c r="O1465" i="2"/>
  <c r="N1465" i="2"/>
  <c r="M1465" i="2"/>
  <c r="L1465" i="2"/>
  <c r="H1465" i="2"/>
  <c r="G1465" i="2"/>
  <c r="D1465" i="2"/>
  <c r="O1464" i="2"/>
  <c r="N1464" i="2"/>
  <c r="M1464" i="2"/>
  <c r="L1464" i="2"/>
  <c r="H1464" i="2"/>
  <c r="G1464" i="2"/>
  <c r="D1464" i="2"/>
  <c r="O1463" i="2"/>
  <c r="N1463" i="2"/>
  <c r="M1463" i="2"/>
  <c r="L1463" i="2"/>
  <c r="H1463" i="2"/>
  <c r="G1463" i="2"/>
  <c r="D1463" i="2"/>
  <c r="O1462" i="2"/>
  <c r="N1462" i="2"/>
  <c r="M1462" i="2"/>
  <c r="L1462" i="2"/>
  <c r="H1462" i="2"/>
  <c r="G1462" i="2"/>
  <c r="D1462" i="2"/>
  <c r="O1461" i="2"/>
  <c r="N1461" i="2"/>
  <c r="M1461" i="2"/>
  <c r="L1461" i="2"/>
  <c r="H1461" i="2"/>
  <c r="G1461" i="2"/>
  <c r="D1461" i="2"/>
  <c r="O1460" i="2"/>
  <c r="N1460" i="2"/>
  <c r="M1460" i="2"/>
  <c r="L1460" i="2"/>
  <c r="H1460" i="2"/>
  <c r="G1460" i="2"/>
  <c r="D1460" i="2"/>
  <c r="O1459" i="2"/>
  <c r="N1459" i="2"/>
  <c r="M1459" i="2"/>
  <c r="L1459" i="2"/>
  <c r="H1459" i="2"/>
  <c r="G1459" i="2"/>
  <c r="D1459" i="2"/>
  <c r="O1458" i="2"/>
  <c r="N1458" i="2"/>
  <c r="M1458" i="2"/>
  <c r="L1458" i="2"/>
  <c r="H1458" i="2"/>
  <c r="G1458" i="2"/>
  <c r="D1458" i="2"/>
  <c r="O1457" i="2"/>
  <c r="N1457" i="2"/>
  <c r="M1457" i="2"/>
  <c r="L1457" i="2"/>
  <c r="H1457" i="2"/>
  <c r="G1457" i="2"/>
  <c r="D1457" i="2"/>
  <c r="O1456" i="2"/>
  <c r="N1456" i="2"/>
  <c r="M1456" i="2"/>
  <c r="L1456" i="2"/>
  <c r="H1456" i="2"/>
  <c r="G1456" i="2"/>
  <c r="D1456" i="2"/>
  <c r="O1455" i="2"/>
  <c r="N1455" i="2"/>
  <c r="M1455" i="2"/>
  <c r="L1455" i="2"/>
  <c r="H1455" i="2"/>
  <c r="G1455" i="2"/>
  <c r="D1455" i="2"/>
  <c r="O1454" i="2"/>
  <c r="N1454" i="2"/>
  <c r="M1454" i="2"/>
  <c r="L1454" i="2"/>
  <c r="H1454" i="2"/>
  <c r="G1454" i="2"/>
  <c r="D1454" i="2"/>
  <c r="O1453" i="2"/>
  <c r="N1453" i="2"/>
  <c r="M1453" i="2"/>
  <c r="L1453" i="2"/>
  <c r="H1453" i="2"/>
  <c r="G1453" i="2"/>
  <c r="D1453" i="2"/>
  <c r="O1452" i="2"/>
  <c r="N1452" i="2"/>
  <c r="M1452" i="2"/>
  <c r="L1452" i="2"/>
  <c r="H1452" i="2"/>
  <c r="G1452" i="2"/>
  <c r="D1452" i="2"/>
  <c r="O1451" i="2"/>
  <c r="N1451" i="2"/>
  <c r="M1451" i="2"/>
  <c r="L1451" i="2"/>
  <c r="H1451" i="2"/>
  <c r="G1451" i="2"/>
  <c r="D1451" i="2"/>
  <c r="O1450" i="2"/>
  <c r="N1450" i="2"/>
  <c r="M1450" i="2"/>
  <c r="L1450" i="2"/>
  <c r="H1450" i="2"/>
  <c r="G1450" i="2"/>
  <c r="D1450" i="2"/>
  <c r="O1449" i="2"/>
  <c r="N1449" i="2"/>
  <c r="M1449" i="2"/>
  <c r="L1449" i="2"/>
  <c r="H1449" i="2"/>
  <c r="G1449" i="2"/>
  <c r="D1449" i="2"/>
  <c r="O1448" i="2"/>
  <c r="N1448" i="2"/>
  <c r="M1448" i="2"/>
  <c r="L1448" i="2"/>
  <c r="H1448" i="2"/>
  <c r="G1448" i="2"/>
  <c r="D1448" i="2"/>
  <c r="O1447" i="2"/>
  <c r="N1447" i="2"/>
  <c r="M1447" i="2"/>
  <c r="L1447" i="2"/>
  <c r="H1447" i="2"/>
  <c r="G1447" i="2"/>
  <c r="D1447" i="2"/>
  <c r="O1446" i="2"/>
  <c r="N1446" i="2"/>
  <c r="M1446" i="2"/>
  <c r="L1446" i="2"/>
  <c r="H1446" i="2"/>
  <c r="G1446" i="2"/>
  <c r="D1446" i="2"/>
  <c r="O1445" i="2"/>
  <c r="N1445" i="2"/>
  <c r="M1445" i="2"/>
  <c r="L1445" i="2"/>
  <c r="H1445" i="2"/>
  <c r="G1445" i="2"/>
  <c r="D1445" i="2"/>
  <c r="O1444" i="2"/>
  <c r="N1444" i="2"/>
  <c r="M1444" i="2"/>
  <c r="L1444" i="2"/>
  <c r="H1444" i="2"/>
  <c r="G1444" i="2"/>
  <c r="D1444" i="2"/>
  <c r="O1443" i="2"/>
  <c r="N1443" i="2"/>
  <c r="M1443" i="2"/>
  <c r="L1443" i="2"/>
  <c r="H1443" i="2"/>
  <c r="G1443" i="2"/>
  <c r="D1443" i="2"/>
  <c r="O1442" i="2"/>
  <c r="N1442" i="2"/>
  <c r="M1442" i="2"/>
  <c r="L1442" i="2"/>
  <c r="H1442" i="2"/>
  <c r="G1442" i="2"/>
  <c r="D1442" i="2"/>
  <c r="O1441" i="2"/>
  <c r="N1441" i="2"/>
  <c r="M1441" i="2"/>
  <c r="L1441" i="2"/>
  <c r="H1441" i="2"/>
  <c r="G1441" i="2"/>
  <c r="D1441" i="2"/>
  <c r="O1440" i="2"/>
  <c r="N1440" i="2"/>
  <c r="M1440" i="2"/>
  <c r="L1440" i="2"/>
  <c r="H1440" i="2"/>
  <c r="G1440" i="2"/>
  <c r="D1440" i="2"/>
  <c r="O1439" i="2"/>
  <c r="N1439" i="2"/>
  <c r="M1439" i="2"/>
  <c r="L1439" i="2"/>
  <c r="H1439" i="2"/>
  <c r="G1439" i="2"/>
  <c r="D1439" i="2"/>
  <c r="O1438" i="2"/>
  <c r="N1438" i="2"/>
  <c r="M1438" i="2"/>
  <c r="L1438" i="2"/>
  <c r="H1438" i="2"/>
  <c r="G1438" i="2"/>
  <c r="D1438" i="2"/>
  <c r="O1437" i="2"/>
  <c r="N1437" i="2"/>
  <c r="M1437" i="2"/>
  <c r="L1437" i="2"/>
  <c r="H1437" i="2"/>
  <c r="G1437" i="2"/>
  <c r="D1437" i="2"/>
  <c r="O1436" i="2"/>
  <c r="N1436" i="2"/>
  <c r="M1436" i="2"/>
  <c r="L1436" i="2"/>
  <c r="H1436" i="2"/>
  <c r="G1436" i="2"/>
  <c r="D1436" i="2"/>
  <c r="O1435" i="2"/>
  <c r="N1435" i="2"/>
  <c r="M1435" i="2"/>
  <c r="L1435" i="2"/>
  <c r="H1435" i="2"/>
  <c r="G1435" i="2"/>
  <c r="D1435" i="2"/>
  <c r="O1434" i="2"/>
  <c r="N1434" i="2"/>
  <c r="M1434" i="2"/>
  <c r="L1434" i="2"/>
  <c r="H1434" i="2"/>
  <c r="G1434" i="2"/>
  <c r="D1434" i="2"/>
  <c r="O1433" i="2"/>
  <c r="N1433" i="2"/>
  <c r="M1433" i="2"/>
  <c r="L1433" i="2"/>
  <c r="H1433" i="2"/>
  <c r="G1433" i="2"/>
  <c r="D1433" i="2"/>
  <c r="O1432" i="2"/>
  <c r="N1432" i="2"/>
  <c r="M1432" i="2"/>
  <c r="L1432" i="2"/>
  <c r="H1432" i="2"/>
  <c r="G1432" i="2"/>
  <c r="D1432" i="2"/>
  <c r="O1431" i="2"/>
  <c r="N1431" i="2"/>
  <c r="M1431" i="2"/>
  <c r="L1431" i="2"/>
  <c r="H1431" i="2"/>
  <c r="G1431" i="2"/>
  <c r="D1431" i="2"/>
  <c r="O1430" i="2"/>
  <c r="N1430" i="2"/>
  <c r="M1430" i="2"/>
  <c r="L1430" i="2"/>
  <c r="H1430" i="2"/>
  <c r="G1430" i="2"/>
  <c r="D1430" i="2"/>
  <c r="O1429" i="2"/>
  <c r="N1429" i="2"/>
  <c r="M1429" i="2"/>
  <c r="L1429" i="2"/>
  <c r="H1429" i="2"/>
  <c r="G1429" i="2"/>
  <c r="D1429" i="2"/>
  <c r="O1428" i="2"/>
  <c r="N1428" i="2"/>
  <c r="M1428" i="2"/>
  <c r="L1428" i="2"/>
  <c r="H1428" i="2"/>
  <c r="G1428" i="2"/>
  <c r="D1428" i="2"/>
  <c r="O1427" i="2"/>
  <c r="N1427" i="2"/>
  <c r="M1427" i="2"/>
  <c r="L1427" i="2"/>
  <c r="H1427" i="2"/>
  <c r="G1427" i="2"/>
  <c r="D1427" i="2"/>
  <c r="O1426" i="2"/>
  <c r="N1426" i="2"/>
  <c r="M1426" i="2"/>
  <c r="L1426" i="2"/>
  <c r="H1426" i="2"/>
  <c r="G1426" i="2"/>
  <c r="D1426" i="2"/>
  <c r="O1425" i="2"/>
  <c r="N1425" i="2"/>
  <c r="M1425" i="2"/>
  <c r="L1425" i="2"/>
  <c r="H1425" i="2"/>
  <c r="G1425" i="2"/>
  <c r="D1425" i="2"/>
  <c r="O1424" i="2"/>
  <c r="N1424" i="2"/>
  <c r="M1424" i="2"/>
  <c r="L1424" i="2"/>
  <c r="H1424" i="2"/>
  <c r="G1424" i="2"/>
  <c r="D1424" i="2"/>
  <c r="O1423" i="2"/>
  <c r="N1423" i="2"/>
  <c r="M1423" i="2"/>
  <c r="L1423" i="2"/>
  <c r="H1423" i="2"/>
  <c r="G1423" i="2"/>
  <c r="D1423" i="2"/>
  <c r="O1422" i="2"/>
  <c r="N1422" i="2"/>
  <c r="M1422" i="2"/>
  <c r="L1422" i="2"/>
  <c r="H1422" i="2"/>
  <c r="G1422" i="2"/>
  <c r="D1422" i="2"/>
  <c r="O1421" i="2"/>
  <c r="N1421" i="2"/>
  <c r="M1421" i="2"/>
  <c r="L1421" i="2"/>
  <c r="H1421" i="2"/>
  <c r="G1421" i="2"/>
  <c r="D1421" i="2"/>
  <c r="O1420" i="2"/>
  <c r="N1420" i="2"/>
  <c r="M1420" i="2"/>
  <c r="L1420" i="2"/>
  <c r="H1420" i="2"/>
  <c r="G1420" i="2"/>
  <c r="D1420" i="2"/>
  <c r="O1419" i="2"/>
  <c r="N1419" i="2"/>
  <c r="M1419" i="2"/>
  <c r="L1419" i="2"/>
  <c r="H1419" i="2"/>
  <c r="G1419" i="2"/>
  <c r="D1419" i="2"/>
  <c r="O1418" i="2"/>
  <c r="N1418" i="2"/>
  <c r="M1418" i="2"/>
  <c r="L1418" i="2"/>
  <c r="H1418" i="2"/>
  <c r="G1418" i="2"/>
  <c r="D1418" i="2"/>
  <c r="O1417" i="2"/>
  <c r="N1417" i="2"/>
  <c r="M1417" i="2"/>
  <c r="L1417" i="2"/>
  <c r="H1417" i="2"/>
  <c r="G1417" i="2"/>
  <c r="D1417" i="2"/>
  <c r="O1416" i="2"/>
  <c r="N1416" i="2"/>
  <c r="M1416" i="2"/>
  <c r="L1416" i="2"/>
  <c r="H1416" i="2"/>
  <c r="G1416" i="2"/>
  <c r="D1416" i="2"/>
  <c r="O1415" i="2"/>
  <c r="N1415" i="2"/>
  <c r="M1415" i="2"/>
  <c r="L1415" i="2"/>
  <c r="H1415" i="2"/>
  <c r="G1415" i="2"/>
  <c r="D1415" i="2"/>
  <c r="O1414" i="2"/>
  <c r="N1414" i="2"/>
  <c r="M1414" i="2"/>
  <c r="L1414" i="2"/>
  <c r="H1414" i="2"/>
  <c r="G1414" i="2"/>
  <c r="D1414" i="2"/>
  <c r="O1413" i="2"/>
  <c r="N1413" i="2"/>
  <c r="M1413" i="2"/>
  <c r="L1413" i="2"/>
  <c r="H1413" i="2"/>
  <c r="G1413" i="2"/>
  <c r="D1413" i="2"/>
  <c r="O1412" i="2"/>
  <c r="N1412" i="2"/>
  <c r="M1412" i="2"/>
  <c r="L1412" i="2"/>
  <c r="H1412" i="2"/>
  <c r="G1412" i="2"/>
  <c r="D1412" i="2"/>
  <c r="O1411" i="2"/>
  <c r="N1411" i="2"/>
  <c r="M1411" i="2"/>
  <c r="L1411" i="2"/>
  <c r="H1411" i="2"/>
  <c r="G1411" i="2"/>
  <c r="D1411" i="2"/>
  <c r="O1410" i="2"/>
  <c r="N1410" i="2"/>
  <c r="M1410" i="2"/>
  <c r="L1410" i="2"/>
  <c r="H1410" i="2"/>
  <c r="G1410" i="2"/>
  <c r="D1410" i="2"/>
  <c r="O1409" i="2"/>
  <c r="N1409" i="2"/>
  <c r="M1409" i="2"/>
  <c r="L1409" i="2"/>
  <c r="H1409" i="2"/>
  <c r="G1409" i="2"/>
  <c r="D1409" i="2"/>
  <c r="O1408" i="2"/>
  <c r="N1408" i="2"/>
  <c r="M1408" i="2"/>
  <c r="L1408" i="2"/>
  <c r="H1408" i="2"/>
  <c r="G1408" i="2"/>
  <c r="D1408" i="2"/>
  <c r="O1407" i="2"/>
  <c r="N1407" i="2"/>
  <c r="M1407" i="2"/>
  <c r="L1407" i="2"/>
  <c r="H1407" i="2"/>
  <c r="G1407" i="2"/>
  <c r="D1407" i="2"/>
  <c r="O1406" i="2"/>
  <c r="N1406" i="2"/>
  <c r="M1406" i="2"/>
  <c r="L1406" i="2"/>
  <c r="H1406" i="2"/>
  <c r="G1406" i="2"/>
  <c r="D1406" i="2"/>
  <c r="O1405" i="2"/>
  <c r="N1405" i="2"/>
  <c r="M1405" i="2"/>
  <c r="L1405" i="2"/>
  <c r="H1405" i="2"/>
  <c r="G1405" i="2"/>
  <c r="D1405" i="2"/>
  <c r="O1404" i="2"/>
  <c r="N1404" i="2"/>
  <c r="M1404" i="2"/>
  <c r="L1404" i="2"/>
  <c r="H1404" i="2"/>
  <c r="G1404" i="2"/>
  <c r="D1404" i="2"/>
  <c r="O1403" i="2"/>
  <c r="N1403" i="2"/>
  <c r="M1403" i="2"/>
  <c r="L1403" i="2"/>
  <c r="H1403" i="2"/>
  <c r="G1403" i="2"/>
  <c r="D1403" i="2"/>
  <c r="O1402" i="2"/>
  <c r="N1402" i="2"/>
  <c r="M1402" i="2"/>
  <c r="L1402" i="2"/>
  <c r="H1402" i="2"/>
  <c r="G1402" i="2"/>
  <c r="D1402" i="2"/>
  <c r="O1401" i="2"/>
  <c r="N1401" i="2"/>
  <c r="M1401" i="2"/>
  <c r="L1401" i="2"/>
  <c r="H1401" i="2"/>
  <c r="G1401" i="2"/>
  <c r="D1401" i="2"/>
  <c r="O1400" i="2"/>
  <c r="N1400" i="2"/>
  <c r="M1400" i="2"/>
  <c r="L1400" i="2"/>
  <c r="H1400" i="2"/>
  <c r="G1400" i="2"/>
  <c r="D1400" i="2"/>
  <c r="O1399" i="2"/>
  <c r="N1399" i="2"/>
  <c r="M1399" i="2"/>
  <c r="L1399" i="2"/>
  <c r="H1399" i="2"/>
  <c r="G1399" i="2"/>
  <c r="D1399" i="2"/>
  <c r="O1398" i="2"/>
  <c r="N1398" i="2"/>
  <c r="M1398" i="2"/>
  <c r="L1398" i="2"/>
  <c r="H1398" i="2"/>
  <c r="G1398" i="2"/>
  <c r="D1398" i="2"/>
  <c r="O1397" i="2"/>
  <c r="N1397" i="2"/>
  <c r="M1397" i="2"/>
  <c r="L1397" i="2"/>
  <c r="H1397" i="2"/>
  <c r="G1397" i="2"/>
  <c r="D1397" i="2"/>
  <c r="O1396" i="2"/>
  <c r="N1396" i="2"/>
  <c r="M1396" i="2"/>
  <c r="L1396" i="2"/>
  <c r="H1396" i="2"/>
  <c r="G1396" i="2"/>
  <c r="D1396" i="2"/>
  <c r="O1395" i="2"/>
  <c r="N1395" i="2"/>
  <c r="M1395" i="2"/>
  <c r="L1395" i="2"/>
  <c r="H1395" i="2"/>
  <c r="G1395" i="2"/>
  <c r="D1395" i="2"/>
  <c r="O1394" i="2"/>
  <c r="N1394" i="2"/>
  <c r="M1394" i="2"/>
  <c r="L1394" i="2"/>
  <c r="H1394" i="2"/>
  <c r="G1394" i="2"/>
  <c r="D1394" i="2"/>
  <c r="O1393" i="2"/>
  <c r="N1393" i="2"/>
  <c r="M1393" i="2"/>
  <c r="L1393" i="2"/>
  <c r="H1393" i="2"/>
  <c r="G1393" i="2"/>
  <c r="D1393" i="2"/>
  <c r="O1392" i="2"/>
  <c r="N1392" i="2"/>
  <c r="M1392" i="2"/>
  <c r="L1392" i="2"/>
  <c r="H1392" i="2"/>
  <c r="G1392" i="2"/>
  <c r="D1392" i="2"/>
  <c r="O1391" i="2"/>
  <c r="N1391" i="2"/>
  <c r="M1391" i="2"/>
  <c r="L1391" i="2"/>
  <c r="H1391" i="2"/>
  <c r="G1391" i="2"/>
  <c r="D1391" i="2"/>
  <c r="O1390" i="2"/>
  <c r="N1390" i="2"/>
  <c r="M1390" i="2"/>
  <c r="L1390" i="2"/>
  <c r="H1390" i="2"/>
  <c r="G1390" i="2"/>
  <c r="D1390" i="2"/>
  <c r="O1389" i="2"/>
  <c r="N1389" i="2"/>
  <c r="M1389" i="2"/>
  <c r="L1389" i="2"/>
  <c r="H1389" i="2"/>
  <c r="G1389" i="2"/>
  <c r="D1389" i="2"/>
  <c r="O1388" i="2"/>
  <c r="N1388" i="2"/>
  <c r="M1388" i="2"/>
  <c r="L1388" i="2"/>
  <c r="H1388" i="2"/>
  <c r="G1388" i="2"/>
  <c r="D1388" i="2"/>
  <c r="O1387" i="2"/>
  <c r="N1387" i="2"/>
  <c r="M1387" i="2"/>
  <c r="L1387" i="2"/>
  <c r="H1387" i="2"/>
  <c r="G1387" i="2"/>
  <c r="D1387" i="2"/>
  <c r="O1386" i="2"/>
  <c r="N1386" i="2"/>
  <c r="M1386" i="2"/>
  <c r="L1386" i="2"/>
  <c r="H1386" i="2"/>
  <c r="G1386" i="2"/>
  <c r="D1386" i="2"/>
  <c r="O1385" i="2"/>
  <c r="N1385" i="2"/>
  <c r="M1385" i="2"/>
  <c r="L1385" i="2"/>
  <c r="H1385" i="2"/>
  <c r="G1385" i="2"/>
  <c r="D1385" i="2"/>
  <c r="O1384" i="2"/>
  <c r="N1384" i="2"/>
  <c r="M1384" i="2"/>
  <c r="L1384" i="2"/>
  <c r="H1384" i="2"/>
  <c r="G1384" i="2"/>
  <c r="D1384" i="2"/>
  <c r="O1383" i="2"/>
  <c r="N1383" i="2"/>
  <c r="M1383" i="2"/>
  <c r="L1383" i="2"/>
  <c r="H1383" i="2"/>
  <c r="G1383" i="2"/>
  <c r="D1383" i="2"/>
  <c r="O1382" i="2"/>
  <c r="N1382" i="2"/>
  <c r="M1382" i="2"/>
  <c r="L1382" i="2"/>
  <c r="H1382" i="2"/>
  <c r="G1382" i="2"/>
  <c r="D1382" i="2"/>
  <c r="O1381" i="2"/>
  <c r="N1381" i="2"/>
  <c r="M1381" i="2"/>
  <c r="L1381" i="2"/>
  <c r="H1381" i="2"/>
  <c r="G1381" i="2"/>
  <c r="D1381" i="2"/>
  <c r="O1380" i="2"/>
  <c r="N1380" i="2"/>
  <c r="M1380" i="2"/>
  <c r="L1380" i="2"/>
  <c r="H1380" i="2"/>
  <c r="G1380" i="2"/>
  <c r="D1380" i="2"/>
  <c r="O1379" i="2"/>
  <c r="N1379" i="2"/>
  <c r="M1379" i="2"/>
  <c r="L1379" i="2"/>
  <c r="H1379" i="2"/>
  <c r="G1379" i="2"/>
  <c r="D1379" i="2"/>
  <c r="O1378" i="2"/>
  <c r="N1378" i="2"/>
  <c r="M1378" i="2"/>
  <c r="L1378" i="2"/>
  <c r="H1378" i="2"/>
  <c r="G1378" i="2"/>
  <c r="D1378" i="2"/>
  <c r="O1377" i="2"/>
  <c r="N1377" i="2"/>
  <c r="M1377" i="2"/>
  <c r="L1377" i="2"/>
  <c r="H1377" i="2"/>
  <c r="G1377" i="2"/>
  <c r="D1377" i="2"/>
  <c r="O1376" i="2"/>
  <c r="N1376" i="2"/>
  <c r="M1376" i="2"/>
  <c r="L1376" i="2"/>
  <c r="H1376" i="2"/>
  <c r="G1376" i="2"/>
  <c r="D1376" i="2"/>
  <c r="O1375" i="2"/>
  <c r="N1375" i="2"/>
  <c r="M1375" i="2"/>
  <c r="L1375" i="2"/>
  <c r="H1375" i="2"/>
  <c r="G1375" i="2"/>
  <c r="D1375" i="2"/>
  <c r="O1374" i="2"/>
  <c r="N1374" i="2"/>
  <c r="M1374" i="2"/>
  <c r="L1374" i="2"/>
  <c r="H1374" i="2"/>
  <c r="G1374" i="2"/>
  <c r="D1374" i="2"/>
  <c r="O1373" i="2"/>
  <c r="N1373" i="2"/>
  <c r="M1373" i="2"/>
  <c r="L1373" i="2"/>
  <c r="H1373" i="2"/>
  <c r="G1373" i="2"/>
  <c r="D1373" i="2"/>
  <c r="O1372" i="2"/>
  <c r="N1372" i="2"/>
  <c r="M1372" i="2"/>
  <c r="L1372" i="2"/>
  <c r="H1372" i="2"/>
  <c r="G1372" i="2"/>
  <c r="D1372" i="2"/>
  <c r="O1371" i="2"/>
  <c r="N1371" i="2"/>
  <c r="M1371" i="2"/>
  <c r="L1371" i="2"/>
  <c r="H1371" i="2"/>
  <c r="G1371" i="2"/>
  <c r="D1371" i="2"/>
  <c r="O1370" i="2"/>
  <c r="N1370" i="2"/>
  <c r="M1370" i="2"/>
  <c r="L1370" i="2"/>
  <c r="H1370" i="2"/>
  <c r="G1370" i="2"/>
  <c r="D1370" i="2"/>
  <c r="O1369" i="2"/>
  <c r="N1369" i="2"/>
  <c r="M1369" i="2"/>
  <c r="L1369" i="2"/>
  <c r="H1369" i="2"/>
  <c r="G1369" i="2"/>
  <c r="D1369" i="2"/>
  <c r="O1368" i="2"/>
  <c r="N1368" i="2"/>
  <c r="M1368" i="2"/>
  <c r="L1368" i="2"/>
  <c r="H1368" i="2"/>
  <c r="G1368" i="2"/>
  <c r="D1368" i="2"/>
  <c r="O1367" i="2"/>
  <c r="N1367" i="2"/>
  <c r="M1367" i="2"/>
  <c r="L1367" i="2"/>
  <c r="H1367" i="2"/>
  <c r="G1367" i="2"/>
  <c r="D1367" i="2"/>
  <c r="O1366" i="2"/>
  <c r="N1366" i="2"/>
  <c r="M1366" i="2"/>
  <c r="L1366" i="2"/>
  <c r="H1366" i="2"/>
  <c r="G1366" i="2"/>
  <c r="D1366" i="2"/>
  <c r="O1365" i="2"/>
  <c r="N1365" i="2"/>
  <c r="M1365" i="2"/>
  <c r="L1365" i="2"/>
  <c r="H1365" i="2"/>
  <c r="G1365" i="2"/>
  <c r="D1365" i="2"/>
  <c r="O1364" i="2"/>
  <c r="N1364" i="2"/>
  <c r="M1364" i="2"/>
  <c r="L1364" i="2"/>
  <c r="H1364" i="2"/>
  <c r="G1364" i="2"/>
  <c r="D1364" i="2"/>
  <c r="O1363" i="2"/>
  <c r="N1363" i="2"/>
  <c r="M1363" i="2"/>
  <c r="L1363" i="2"/>
  <c r="H1363" i="2"/>
  <c r="G1363" i="2"/>
  <c r="D1363" i="2"/>
  <c r="O1362" i="2"/>
  <c r="N1362" i="2"/>
  <c r="M1362" i="2"/>
  <c r="L1362" i="2"/>
  <c r="H1362" i="2"/>
  <c r="G1362" i="2"/>
  <c r="D1362" i="2"/>
  <c r="O1361" i="2"/>
  <c r="N1361" i="2"/>
  <c r="M1361" i="2"/>
  <c r="L1361" i="2"/>
  <c r="H1361" i="2"/>
  <c r="G1361" i="2"/>
  <c r="D1361" i="2"/>
  <c r="O1360" i="2"/>
  <c r="N1360" i="2"/>
  <c r="M1360" i="2"/>
  <c r="L1360" i="2"/>
  <c r="H1360" i="2"/>
  <c r="G1360" i="2"/>
  <c r="D1360" i="2"/>
  <c r="O1359" i="2"/>
  <c r="N1359" i="2"/>
  <c r="M1359" i="2"/>
  <c r="L1359" i="2"/>
  <c r="H1359" i="2"/>
  <c r="G1359" i="2"/>
  <c r="D1359" i="2"/>
  <c r="O1358" i="2"/>
  <c r="N1358" i="2"/>
  <c r="M1358" i="2"/>
  <c r="L1358" i="2"/>
  <c r="H1358" i="2"/>
  <c r="G1358" i="2"/>
  <c r="D1358" i="2"/>
  <c r="O1357" i="2"/>
  <c r="N1357" i="2"/>
  <c r="M1357" i="2"/>
  <c r="L1357" i="2"/>
  <c r="H1357" i="2"/>
  <c r="G1357" i="2"/>
  <c r="D1357" i="2"/>
  <c r="O1356" i="2"/>
  <c r="N1356" i="2"/>
  <c r="M1356" i="2"/>
  <c r="L1356" i="2"/>
  <c r="H1356" i="2"/>
  <c r="G1356" i="2"/>
  <c r="D1356" i="2"/>
  <c r="O1355" i="2"/>
  <c r="N1355" i="2"/>
  <c r="M1355" i="2"/>
  <c r="L1355" i="2"/>
  <c r="H1355" i="2"/>
  <c r="G1355" i="2"/>
  <c r="D1355" i="2"/>
  <c r="O1354" i="2"/>
  <c r="N1354" i="2"/>
  <c r="M1354" i="2"/>
  <c r="L1354" i="2"/>
  <c r="H1354" i="2"/>
  <c r="G1354" i="2"/>
  <c r="D1354" i="2"/>
  <c r="O1353" i="2"/>
  <c r="N1353" i="2"/>
  <c r="M1353" i="2"/>
  <c r="L1353" i="2"/>
  <c r="H1353" i="2"/>
  <c r="G1353" i="2"/>
  <c r="D1353" i="2"/>
  <c r="O1352" i="2"/>
  <c r="N1352" i="2"/>
  <c r="M1352" i="2"/>
  <c r="L1352" i="2"/>
  <c r="H1352" i="2"/>
  <c r="G1352" i="2"/>
  <c r="D1352" i="2"/>
  <c r="O1351" i="2"/>
  <c r="N1351" i="2"/>
  <c r="M1351" i="2"/>
  <c r="L1351" i="2"/>
  <c r="H1351" i="2"/>
  <c r="G1351" i="2"/>
  <c r="D1351" i="2"/>
  <c r="O1350" i="2"/>
  <c r="N1350" i="2"/>
  <c r="M1350" i="2"/>
  <c r="L1350" i="2"/>
  <c r="H1350" i="2"/>
  <c r="G1350" i="2"/>
  <c r="D1350" i="2"/>
  <c r="O1349" i="2"/>
  <c r="N1349" i="2"/>
  <c r="M1349" i="2"/>
  <c r="L1349" i="2"/>
  <c r="H1349" i="2"/>
  <c r="G1349" i="2"/>
  <c r="D1349" i="2"/>
  <c r="O1348" i="2"/>
  <c r="N1348" i="2"/>
  <c r="M1348" i="2"/>
  <c r="L1348" i="2"/>
  <c r="H1348" i="2"/>
  <c r="G1348" i="2"/>
  <c r="D1348" i="2"/>
  <c r="O1347" i="2"/>
  <c r="N1347" i="2"/>
  <c r="M1347" i="2"/>
  <c r="L1347" i="2"/>
  <c r="H1347" i="2"/>
  <c r="G1347" i="2"/>
  <c r="D1347" i="2"/>
  <c r="O1346" i="2"/>
  <c r="N1346" i="2"/>
  <c r="M1346" i="2"/>
  <c r="L1346" i="2"/>
  <c r="H1346" i="2"/>
  <c r="G1346" i="2"/>
  <c r="D1346" i="2"/>
  <c r="O1345" i="2"/>
  <c r="N1345" i="2"/>
  <c r="M1345" i="2"/>
  <c r="L1345" i="2"/>
  <c r="H1345" i="2"/>
  <c r="G1345" i="2"/>
  <c r="D1345" i="2"/>
  <c r="O1344" i="2"/>
  <c r="N1344" i="2"/>
  <c r="M1344" i="2"/>
  <c r="L1344" i="2"/>
  <c r="H1344" i="2"/>
  <c r="G1344" i="2"/>
  <c r="D1344" i="2"/>
  <c r="O1343" i="2"/>
  <c r="N1343" i="2"/>
  <c r="M1343" i="2"/>
  <c r="L1343" i="2"/>
  <c r="H1343" i="2"/>
  <c r="G1343" i="2"/>
  <c r="D1343" i="2"/>
  <c r="O1342" i="2"/>
  <c r="N1342" i="2"/>
  <c r="M1342" i="2"/>
  <c r="L1342" i="2"/>
  <c r="H1342" i="2"/>
  <c r="G1342" i="2"/>
  <c r="D1342" i="2"/>
  <c r="O1341" i="2"/>
  <c r="N1341" i="2"/>
  <c r="M1341" i="2"/>
  <c r="L1341" i="2"/>
  <c r="H1341" i="2"/>
  <c r="G1341" i="2"/>
  <c r="D1341" i="2"/>
  <c r="O1340" i="2"/>
  <c r="N1340" i="2"/>
  <c r="M1340" i="2"/>
  <c r="L1340" i="2"/>
  <c r="H1340" i="2"/>
  <c r="G1340" i="2"/>
  <c r="D1340" i="2"/>
  <c r="O1339" i="2"/>
  <c r="N1339" i="2"/>
  <c r="M1339" i="2"/>
  <c r="L1339" i="2"/>
  <c r="H1339" i="2"/>
  <c r="G1339" i="2"/>
  <c r="D1339" i="2"/>
  <c r="O1338" i="2"/>
  <c r="N1338" i="2"/>
  <c r="M1338" i="2"/>
  <c r="L1338" i="2"/>
  <c r="H1338" i="2"/>
  <c r="G1338" i="2"/>
  <c r="D1338" i="2"/>
  <c r="O1337" i="2"/>
  <c r="N1337" i="2"/>
  <c r="M1337" i="2"/>
  <c r="L1337" i="2"/>
  <c r="H1337" i="2"/>
  <c r="G1337" i="2"/>
  <c r="D1337" i="2"/>
  <c r="O1336" i="2"/>
  <c r="N1336" i="2"/>
  <c r="M1336" i="2"/>
  <c r="L1336" i="2"/>
  <c r="H1336" i="2"/>
  <c r="G1336" i="2"/>
  <c r="D1336" i="2"/>
  <c r="O1335" i="2"/>
  <c r="N1335" i="2"/>
  <c r="M1335" i="2"/>
  <c r="L1335" i="2"/>
  <c r="H1335" i="2"/>
  <c r="G1335" i="2"/>
  <c r="D1335" i="2"/>
  <c r="O1334" i="2"/>
  <c r="N1334" i="2"/>
  <c r="M1334" i="2"/>
  <c r="L1334" i="2"/>
  <c r="H1334" i="2"/>
  <c r="G1334" i="2"/>
  <c r="D1334" i="2"/>
  <c r="O1333" i="2"/>
  <c r="N1333" i="2"/>
  <c r="M1333" i="2"/>
  <c r="L1333" i="2"/>
  <c r="H1333" i="2"/>
  <c r="G1333" i="2"/>
  <c r="D1333" i="2"/>
  <c r="O1332" i="2"/>
  <c r="N1332" i="2"/>
  <c r="M1332" i="2"/>
  <c r="L1332" i="2"/>
  <c r="H1332" i="2"/>
  <c r="G1332" i="2"/>
  <c r="D1332" i="2"/>
  <c r="O1331" i="2"/>
  <c r="N1331" i="2"/>
  <c r="M1331" i="2"/>
  <c r="L1331" i="2"/>
  <c r="H1331" i="2"/>
  <c r="G1331" i="2"/>
  <c r="D1331" i="2"/>
  <c r="O1330" i="2"/>
  <c r="N1330" i="2"/>
  <c r="M1330" i="2"/>
  <c r="L1330" i="2"/>
  <c r="H1330" i="2"/>
  <c r="G1330" i="2"/>
  <c r="D1330" i="2"/>
  <c r="O1329" i="2"/>
  <c r="N1329" i="2"/>
  <c r="M1329" i="2"/>
  <c r="L1329" i="2"/>
  <c r="H1329" i="2"/>
  <c r="G1329" i="2"/>
  <c r="D1329" i="2"/>
  <c r="O1328" i="2"/>
  <c r="N1328" i="2"/>
  <c r="M1328" i="2"/>
  <c r="L1328" i="2"/>
  <c r="H1328" i="2"/>
  <c r="G1328" i="2"/>
  <c r="D1328" i="2"/>
  <c r="O1327" i="2"/>
  <c r="N1327" i="2"/>
  <c r="M1327" i="2"/>
  <c r="L1327" i="2"/>
  <c r="H1327" i="2"/>
  <c r="G1327" i="2"/>
  <c r="D1327" i="2"/>
  <c r="O1326" i="2"/>
  <c r="N1326" i="2"/>
  <c r="M1326" i="2"/>
  <c r="L1326" i="2"/>
  <c r="H1326" i="2"/>
  <c r="G1326" i="2"/>
  <c r="D1326" i="2"/>
  <c r="O1325" i="2"/>
  <c r="N1325" i="2"/>
  <c r="M1325" i="2"/>
  <c r="L1325" i="2"/>
  <c r="H1325" i="2"/>
  <c r="G1325" i="2"/>
  <c r="D1325" i="2"/>
  <c r="O1324" i="2"/>
  <c r="N1324" i="2"/>
  <c r="M1324" i="2"/>
  <c r="L1324" i="2"/>
  <c r="H1324" i="2"/>
  <c r="G1324" i="2"/>
  <c r="D1324" i="2"/>
  <c r="O1323" i="2"/>
  <c r="N1323" i="2"/>
  <c r="M1323" i="2"/>
  <c r="L1323" i="2"/>
  <c r="H1323" i="2"/>
  <c r="G1323" i="2"/>
  <c r="D1323" i="2"/>
  <c r="O1322" i="2"/>
  <c r="N1322" i="2"/>
  <c r="M1322" i="2"/>
  <c r="L1322" i="2"/>
  <c r="H1322" i="2"/>
  <c r="G1322" i="2"/>
  <c r="D1322" i="2"/>
  <c r="O1321" i="2"/>
  <c r="N1321" i="2"/>
  <c r="M1321" i="2"/>
  <c r="L1321" i="2"/>
  <c r="H1321" i="2"/>
  <c r="G1321" i="2"/>
  <c r="D1321" i="2"/>
  <c r="O1320" i="2"/>
  <c r="N1320" i="2"/>
  <c r="M1320" i="2"/>
  <c r="L1320" i="2"/>
  <c r="H1320" i="2"/>
  <c r="G1320" i="2"/>
  <c r="D1320" i="2"/>
  <c r="O1319" i="2"/>
  <c r="N1319" i="2"/>
  <c r="M1319" i="2"/>
  <c r="L1319" i="2"/>
  <c r="H1319" i="2"/>
  <c r="G1319" i="2"/>
  <c r="D1319" i="2"/>
  <c r="O1318" i="2"/>
  <c r="N1318" i="2"/>
  <c r="M1318" i="2"/>
  <c r="L1318" i="2"/>
  <c r="H1318" i="2"/>
  <c r="G1318" i="2"/>
  <c r="D1318" i="2"/>
  <c r="O1317" i="2"/>
  <c r="N1317" i="2"/>
  <c r="M1317" i="2"/>
  <c r="L1317" i="2"/>
  <c r="H1317" i="2"/>
  <c r="G1317" i="2"/>
  <c r="D1317" i="2"/>
  <c r="O1316" i="2"/>
  <c r="N1316" i="2"/>
  <c r="M1316" i="2"/>
  <c r="L1316" i="2"/>
  <c r="H1316" i="2"/>
  <c r="G1316" i="2"/>
  <c r="D1316" i="2"/>
  <c r="O1315" i="2"/>
  <c r="N1315" i="2"/>
  <c r="M1315" i="2"/>
  <c r="L1315" i="2"/>
  <c r="H1315" i="2"/>
  <c r="G1315" i="2"/>
  <c r="D1315" i="2"/>
  <c r="O1314" i="2"/>
  <c r="N1314" i="2"/>
  <c r="M1314" i="2"/>
  <c r="L1314" i="2"/>
  <c r="H1314" i="2"/>
  <c r="G1314" i="2"/>
  <c r="D1314" i="2"/>
  <c r="O1313" i="2"/>
  <c r="N1313" i="2"/>
  <c r="M1313" i="2"/>
  <c r="L1313" i="2"/>
  <c r="H1313" i="2"/>
  <c r="G1313" i="2"/>
  <c r="D1313" i="2"/>
  <c r="O1312" i="2"/>
  <c r="N1312" i="2"/>
  <c r="M1312" i="2"/>
  <c r="L1312" i="2"/>
  <c r="H1312" i="2"/>
  <c r="G1312" i="2"/>
  <c r="D1312" i="2"/>
  <c r="O1311" i="2"/>
  <c r="N1311" i="2"/>
  <c r="M1311" i="2"/>
  <c r="L1311" i="2"/>
  <c r="H1311" i="2"/>
  <c r="G1311" i="2"/>
  <c r="D1311" i="2"/>
  <c r="O1310" i="2"/>
  <c r="N1310" i="2"/>
  <c r="M1310" i="2"/>
  <c r="L1310" i="2"/>
  <c r="H1310" i="2"/>
  <c r="G1310" i="2"/>
  <c r="D1310" i="2"/>
  <c r="O1309" i="2"/>
  <c r="N1309" i="2"/>
  <c r="M1309" i="2"/>
  <c r="L1309" i="2"/>
  <c r="H1309" i="2"/>
  <c r="G1309" i="2"/>
  <c r="D1309" i="2"/>
  <c r="O1308" i="2"/>
  <c r="N1308" i="2"/>
  <c r="M1308" i="2"/>
  <c r="L1308" i="2"/>
  <c r="H1308" i="2"/>
  <c r="G1308" i="2"/>
  <c r="D1308" i="2"/>
  <c r="O1307" i="2"/>
  <c r="N1307" i="2"/>
  <c r="M1307" i="2"/>
  <c r="L1307" i="2"/>
  <c r="H1307" i="2"/>
  <c r="G1307" i="2"/>
  <c r="D1307" i="2"/>
  <c r="O1306" i="2"/>
  <c r="N1306" i="2"/>
  <c r="M1306" i="2"/>
  <c r="L1306" i="2"/>
  <c r="H1306" i="2"/>
  <c r="G1306" i="2"/>
  <c r="D1306" i="2"/>
  <c r="O1305" i="2"/>
  <c r="N1305" i="2"/>
  <c r="M1305" i="2"/>
  <c r="L1305" i="2"/>
  <c r="H1305" i="2"/>
  <c r="G1305" i="2"/>
  <c r="D1305" i="2"/>
  <c r="O1304" i="2"/>
  <c r="N1304" i="2"/>
  <c r="M1304" i="2"/>
  <c r="L1304" i="2"/>
  <c r="H1304" i="2"/>
  <c r="G1304" i="2"/>
  <c r="D1304" i="2"/>
  <c r="O1303" i="2"/>
  <c r="N1303" i="2"/>
  <c r="M1303" i="2"/>
  <c r="L1303" i="2"/>
  <c r="H1303" i="2"/>
  <c r="G1303" i="2"/>
  <c r="D1303" i="2"/>
  <c r="O1302" i="2"/>
  <c r="N1302" i="2"/>
  <c r="M1302" i="2"/>
  <c r="L1302" i="2"/>
  <c r="H1302" i="2"/>
  <c r="G1302" i="2"/>
  <c r="D1302" i="2"/>
  <c r="O1301" i="2"/>
  <c r="N1301" i="2"/>
  <c r="M1301" i="2"/>
  <c r="L1301" i="2"/>
  <c r="H1301" i="2"/>
  <c r="G1301" i="2"/>
  <c r="D1301" i="2"/>
  <c r="O1300" i="2"/>
  <c r="N1300" i="2"/>
  <c r="M1300" i="2"/>
  <c r="L1300" i="2"/>
  <c r="H1300" i="2"/>
  <c r="G1300" i="2"/>
  <c r="D1300" i="2"/>
  <c r="O1299" i="2"/>
  <c r="N1299" i="2"/>
  <c r="M1299" i="2"/>
  <c r="L1299" i="2"/>
  <c r="H1299" i="2"/>
  <c r="G1299" i="2"/>
  <c r="D1299" i="2"/>
  <c r="O1298" i="2"/>
  <c r="N1298" i="2"/>
  <c r="M1298" i="2"/>
  <c r="L1298" i="2"/>
  <c r="H1298" i="2"/>
  <c r="G1298" i="2"/>
  <c r="D1298" i="2"/>
  <c r="O1297" i="2"/>
  <c r="N1297" i="2"/>
  <c r="M1297" i="2"/>
  <c r="L1297" i="2"/>
  <c r="H1297" i="2"/>
  <c r="G1297" i="2"/>
  <c r="D1297" i="2"/>
  <c r="O1296" i="2"/>
  <c r="N1296" i="2"/>
  <c r="M1296" i="2"/>
  <c r="L1296" i="2"/>
  <c r="H1296" i="2"/>
  <c r="G1296" i="2"/>
  <c r="D1296" i="2"/>
  <c r="O1295" i="2"/>
  <c r="N1295" i="2"/>
  <c r="M1295" i="2"/>
  <c r="L1295" i="2"/>
  <c r="H1295" i="2"/>
  <c r="G1295" i="2"/>
  <c r="D1295" i="2"/>
  <c r="O1294" i="2"/>
  <c r="N1294" i="2"/>
  <c r="M1294" i="2"/>
  <c r="L1294" i="2"/>
  <c r="H1294" i="2"/>
  <c r="G1294" i="2"/>
  <c r="D1294" i="2"/>
  <c r="O1293" i="2"/>
  <c r="N1293" i="2"/>
  <c r="M1293" i="2"/>
  <c r="L1293" i="2"/>
  <c r="H1293" i="2"/>
  <c r="G1293" i="2"/>
  <c r="D1293" i="2"/>
  <c r="O1292" i="2"/>
  <c r="N1292" i="2"/>
  <c r="M1292" i="2"/>
  <c r="L1292" i="2"/>
  <c r="H1292" i="2"/>
  <c r="G1292" i="2"/>
  <c r="D1292" i="2"/>
  <c r="O1291" i="2"/>
  <c r="N1291" i="2"/>
  <c r="M1291" i="2"/>
  <c r="L1291" i="2"/>
  <c r="H1291" i="2"/>
  <c r="G1291" i="2"/>
  <c r="D1291" i="2"/>
  <c r="O1290" i="2"/>
  <c r="N1290" i="2"/>
  <c r="M1290" i="2"/>
  <c r="L1290" i="2"/>
  <c r="H1290" i="2"/>
  <c r="G1290" i="2"/>
  <c r="D1290" i="2"/>
  <c r="O1289" i="2"/>
  <c r="N1289" i="2"/>
  <c r="M1289" i="2"/>
  <c r="L1289" i="2"/>
  <c r="H1289" i="2"/>
  <c r="G1289" i="2"/>
  <c r="D1289" i="2"/>
  <c r="O1288" i="2"/>
  <c r="N1288" i="2"/>
  <c r="M1288" i="2"/>
  <c r="L1288" i="2"/>
  <c r="H1288" i="2"/>
  <c r="G1288" i="2"/>
  <c r="D1288" i="2"/>
  <c r="O1287" i="2"/>
  <c r="N1287" i="2"/>
  <c r="M1287" i="2"/>
  <c r="L1287" i="2"/>
  <c r="H1287" i="2"/>
  <c r="G1287" i="2"/>
  <c r="D1287" i="2"/>
  <c r="O1286" i="2"/>
  <c r="N1286" i="2"/>
  <c r="M1286" i="2"/>
  <c r="L1286" i="2"/>
  <c r="H1286" i="2"/>
  <c r="G1286" i="2"/>
  <c r="D1286" i="2"/>
  <c r="O1285" i="2"/>
  <c r="N1285" i="2"/>
  <c r="M1285" i="2"/>
  <c r="L1285" i="2"/>
  <c r="H1285" i="2"/>
  <c r="G1285" i="2"/>
  <c r="D1285" i="2"/>
  <c r="O1284" i="2"/>
  <c r="N1284" i="2"/>
  <c r="M1284" i="2"/>
  <c r="L1284" i="2"/>
  <c r="H1284" i="2"/>
  <c r="G1284" i="2"/>
  <c r="D1284" i="2"/>
  <c r="O1283" i="2"/>
  <c r="N1283" i="2"/>
  <c r="M1283" i="2"/>
  <c r="L1283" i="2"/>
  <c r="H1283" i="2"/>
  <c r="G1283" i="2"/>
  <c r="D1283" i="2"/>
  <c r="O1282" i="2"/>
  <c r="N1282" i="2"/>
  <c r="M1282" i="2"/>
  <c r="L1282" i="2"/>
  <c r="H1282" i="2"/>
  <c r="G1282" i="2"/>
  <c r="D1282" i="2"/>
  <c r="O1281" i="2"/>
  <c r="N1281" i="2"/>
  <c r="M1281" i="2"/>
  <c r="L1281" i="2"/>
  <c r="H1281" i="2"/>
  <c r="G1281" i="2"/>
  <c r="D1281" i="2"/>
  <c r="O1280" i="2"/>
  <c r="N1280" i="2"/>
  <c r="M1280" i="2"/>
  <c r="L1280" i="2"/>
  <c r="H1280" i="2"/>
  <c r="G1280" i="2"/>
  <c r="D1280" i="2"/>
  <c r="O1279" i="2"/>
  <c r="N1279" i="2"/>
  <c r="M1279" i="2"/>
  <c r="L1279" i="2"/>
  <c r="H1279" i="2"/>
  <c r="G1279" i="2"/>
  <c r="D1279" i="2"/>
  <c r="O1278" i="2"/>
  <c r="N1278" i="2"/>
  <c r="M1278" i="2"/>
  <c r="L1278" i="2"/>
  <c r="H1278" i="2"/>
  <c r="G1278" i="2"/>
  <c r="D1278" i="2"/>
  <c r="O1277" i="2"/>
  <c r="N1277" i="2"/>
  <c r="M1277" i="2"/>
  <c r="L1277" i="2"/>
  <c r="H1277" i="2"/>
  <c r="G1277" i="2"/>
  <c r="D1277" i="2"/>
  <c r="O1276" i="2"/>
  <c r="N1276" i="2"/>
  <c r="M1276" i="2"/>
  <c r="L1276" i="2"/>
  <c r="H1276" i="2"/>
  <c r="G1276" i="2"/>
  <c r="D1276" i="2"/>
  <c r="O1275" i="2"/>
  <c r="N1275" i="2"/>
  <c r="M1275" i="2"/>
  <c r="L1275" i="2"/>
  <c r="H1275" i="2"/>
  <c r="G1275" i="2"/>
  <c r="D1275" i="2"/>
  <c r="O1274" i="2"/>
  <c r="N1274" i="2"/>
  <c r="M1274" i="2"/>
  <c r="L1274" i="2"/>
  <c r="H1274" i="2"/>
  <c r="G1274" i="2"/>
  <c r="D1274" i="2"/>
  <c r="O1273" i="2"/>
  <c r="N1273" i="2"/>
  <c r="M1273" i="2"/>
  <c r="L1273" i="2"/>
  <c r="H1273" i="2"/>
  <c r="G1273" i="2"/>
  <c r="D1273" i="2"/>
  <c r="O1272" i="2"/>
  <c r="N1272" i="2"/>
  <c r="M1272" i="2"/>
  <c r="L1272" i="2"/>
  <c r="H1272" i="2"/>
  <c r="G1272" i="2"/>
  <c r="D1272" i="2"/>
  <c r="O1271" i="2"/>
  <c r="N1271" i="2"/>
  <c r="M1271" i="2"/>
  <c r="L1271" i="2"/>
  <c r="H1271" i="2"/>
  <c r="G1271" i="2"/>
  <c r="D1271" i="2"/>
  <c r="O1270" i="2"/>
  <c r="N1270" i="2"/>
  <c r="M1270" i="2"/>
  <c r="L1270" i="2"/>
  <c r="H1270" i="2"/>
  <c r="G1270" i="2"/>
  <c r="D1270" i="2"/>
  <c r="O1269" i="2"/>
  <c r="N1269" i="2"/>
  <c r="M1269" i="2"/>
  <c r="L1269" i="2"/>
  <c r="H1269" i="2"/>
  <c r="G1269" i="2"/>
  <c r="D1269" i="2"/>
  <c r="O1268" i="2"/>
  <c r="N1268" i="2"/>
  <c r="M1268" i="2"/>
  <c r="L1268" i="2"/>
  <c r="H1268" i="2"/>
  <c r="G1268" i="2"/>
  <c r="D1268" i="2"/>
  <c r="O1267" i="2"/>
  <c r="N1267" i="2"/>
  <c r="M1267" i="2"/>
  <c r="L1267" i="2"/>
  <c r="H1267" i="2"/>
  <c r="G1267" i="2"/>
  <c r="D1267" i="2"/>
  <c r="O1266" i="2"/>
  <c r="N1266" i="2"/>
  <c r="M1266" i="2"/>
  <c r="L1266" i="2"/>
  <c r="H1266" i="2"/>
  <c r="G1266" i="2"/>
  <c r="D1266" i="2"/>
  <c r="O1265" i="2"/>
  <c r="N1265" i="2"/>
  <c r="M1265" i="2"/>
  <c r="L1265" i="2"/>
  <c r="H1265" i="2"/>
  <c r="G1265" i="2"/>
  <c r="D1265" i="2"/>
  <c r="O1264" i="2"/>
  <c r="N1264" i="2"/>
  <c r="M1264" i="2"/>
  <c r="L1264" i="2"/>
  <c r="H1264" i="2"/>
  <c r="G1264" i="2"/>
  <c r="D1264" i="2"/>
  <c r="O1263" i="2"/>
  <c r="N1263" i="2"/>
  <c r="M1263" i="2"/>
  <c r="L1263" i="2"/>
  <c r="H1263" i="2"/>
  <c r="G1263" i="2"/>
  <c r="D1263" i="2"/>
  <c r="O1262" i="2"/>
  <c r="N1262" i="2"/>
  <c r="M1262" i="2"/>
  <c r="L1262" i="2"/>
  <c r="H1262" i="2"/>
  <c r="G1262" i="2"/>
  <c r="D1262" i="2"/>
  <c r="O1261" i="2"/>
  <c r="N1261" i="2"/>
  <c r="M1261" i="2"/>
  <c r="L1261" i="2"/>
  <c r="H1261" i="2"/>
  <c r="G1261" i="2"/>
  <c r="D1261" i="2"/>
  <c r="O1260" i="2"/>
  <c r="N1260" i="2"/>
  <c r="M1260" i="2"/>
  <c r="L1260" i="2"/>
  <c r="H1260" i="2"/>
  <c r="G1260" i="2"/>
  <c r="D1260" i="2"/>
  <c r="O1259" i="2"/>
  <c r="N1259" i="2"/>
  <c r="M1259" i="2"/>
  <c r="L1259" i="2"/>
  <c r="H1259" i="2"/>
  <c r="G1259" i="2"/>
  <c r="D1259" i="2"/>
  <c r="O1258" i="2"/>
  <c r="N1258" i="2"/>
  <c r="M1258" i="2"/>
  <c r="L1258" i="2"/>
  <c r="H1258" i="2"/>
  <c r="G1258" i="2"/>
  <c r="D1258" i="2"/>
  <c r="O1257" i="2"/>
  <c r="N1257" i="2"/>
  <c r="M1257" i="2"/>
  <c r="L1257" i="2"/>
  <c r="H1257" i="2"/>
  <c r="G1257" i="2"/>
  <c r="D1257" i="2"/>
  <c r="O1256" i="2"/>
  <c r="N1256" i="2"/>
  <c r="M1256" i="2"/>
  <c r="L1256" i="2"/>
  <c r="H1256" i="2"/>
  <c r="G1256" i="2"/>
  <c r="D1256" i="2"/>
  <c r="O1255" i="2"/>
  <c r="N1255" i="2"/>
  <c r="M1255" i="2"/>
  <c r="L1255" i="2"/>
  <c r="H1255" i="2"/>
  <c r="G1255" i="2"/>
  <c r="D1255" i="2"/>
  <c r="O1254" i="2"/>
  <c r="N1254" i="2"/>
  <c r="M1254" i="2"/>
  <c r="L1254" i="2"/>
  <c r="H1254" i="2"/>
  <c r="G1254" i="2"/>
  <c r="D1254" i="2"/>
  <c r="O1253" i="2"/>
  <c r="N1253" i="2"/>
  <c r="M1253" i="2"/>
  <c r="L1253" i="2"/>
  <c r="H1253" i="2"/>
  <c r="G1253" i="2"/>
  <c r="D1253" i="2"/>
  <c r="O1252" i="2"/>
  <c r="N1252" i="2"/>
  <c r="M1252" i="2"/>
  <c r="L1252" i="2"/>
  <c r="H1252" i="2"/>
  <c r="G1252" i="2"/>
  <c r="D1252" i="2"/>
  <c r="O1251" i="2"/>
  <c r="N1251" i="2"/>
  <c r="M1251" i="2"/>
  <c r="L1251" i="2"/>
  <c r="H1251" i="2"/>
  <c r="G1251" i="2"/>
  <c r="D1251" i="2"/>
  <c r="O1250" i="2"/>
  <c r="N1250" i="2"/>
  <c r="M1250" i="2"/>
  <c r="L1250" i="2"/>
  <c r="H1250" i="2"/>
  <c r="G1250" i="2"/>
  <c r="D1250" i="2"/>
  <c r="O1249" i="2"/>
  <c r="N1249" i="2"/>
  <c r="M1249" i="2"/>
  <c r="L1249" i="2"/>
  <c r="H1249" i="2"/>
  <c r="G1249" i="2"/>
  <c r="D1249" i="2"/>
  <c r="O1248" i="2"/>
  <c r="N1248" i="2"/>
  <c r="M1248" i="2"/>
  <c r="L1248" i="2"/>
  <c r="H1248" i="2"/>
  <c r="G1248" i="2"/>
  <c r="D1248" i="2"/>
  <c r="O1247" i="2"/>
  <c r="N1247" i="2"/>
  <c r="M1247" i="2"/>
  <c r="L1247" i="2"/>
  <c r="H1247" i="2"/>
  <c r="G1247" i="2"/>
  <c r="D1247" i="2"/>
  <c r="O1246" i="2"/>
  <c r="N1246" i="2"/>
  <c r="M1246" i="2"/>
  <c r="L1246" i="2"/>
  <c r="H1246" i="2"/>
  <c r="G1246" i="2"/>
  <c r="D1246" i="2"/>
  <c r="O1245" i="2"/>
  <c r="N1245" i="2"/>
  <c r="M1245" i="2"/>
  <c r="L1245" i="2"/>
  <c r="H1245" i="2"/>
  <c r="G1245" i="2"/>
  <c r="D1245" i="2"/>
  <c r="O1244" i="2"/>
  <c r="N1244" i="2"/>
  <c r="M1244" i="2"/>
  <c r="L1244" i="2"/>
  <c r="H1244" i="2"/>
  <c r="G1244" i="2"/>
  <c r="D1244" i="2"/>
  <c r="O1243" i="2"/>
  <c r="N1243" i="2"/>
  <c r="M1243" i="2"/>
  <c r="L1243" i="2"/>
  <c r="H1243" i="2"/>
  <c r="G1243" i="2"/>
  <c r="D1243" i="2"/>
  <c r="O1242" i="2"/>
  <c r="N1242" i="2"/>
  <c r="M1242" i="2"/>
  <c r="L1242" i="2"/>
  <c r="H1242" i="2"/>
  <c r="G1242" i="2"/>
  <c r="D1242" i="2"/>
  <c r="O1241" i="2"/>
  <c r="N1241" i="2"/>
  <c r="M1241" i="2"/>
  <c r="L1241" i="2"/>
  <c r="H1241" i="2"/>
  <c r="G1241" i="2"/>
  <c r="D1241" i="2"/>
  <c r="O1240" i="2"/>
  <c r="N1240" i="2"/>
  <c r="M1240" i="2"/>
  <c r="L1240" i="2"/>
  <c r="H1240" i="2"/>
  <c r="G1240" i="2"/>
  <c r="D1240" i="2"/>
  <c r="O1239" i="2"/>
  <c r="N1239" i="2"/>
  <c r="M1239" i="2"/>
  <c r="L1239" i="2"/>
  <c r="H1239" i="2"/>
  <c r="G1239" i="2"/>
  <c r="D1239" i="2"/>
  <c r="O1238" i="2"/>
  <c r="N1238" i="2"/>
  <c r="M1238" i="2"/>
  <c r="L1238" i="2"/>
  <c r="H1238" i="2"/>
  <c r="G1238" i="2"/>
  <c r="D1238" i="2"/>
  <c r="O1237" i="2"/>
  <c r="N1237" i="2"/>
  <c r="M1237" i="2"/>
  <c r="L1237" i="2"/>
  <c r="H1237" i="2"/>
  <c r="G1237" i="2"/>
  <c r="D1237" i="2"/>
  <c r="O1236" i="2"/>
  <c r="N1236" i="2"/>
  <c r="M1236" i="2"/>
  <c r="L1236" i="2"/>
  <c r="H1236" i="2"/>
  <c r="G1236" i="2"/>
  <c r="D1236" i="2"/>
  <c r="O1235" i="2"/>
  <c r="N1235" i="2"/>
  <c r="M1235" i="2"/>
  <c r="L1235" i="2"/>
  <c r="H1235" i="2"/>
  <c r="G1235" i="2"/>
  <c r="D1235" i="2"/>
  <c r="O1234" i="2"/>
  <c r="N1234" i="2"/>
  <c r="M1234" i="2"/>
  <c r="L1234" i="2"/>
  <c r="H1234" i="2"/>
  <c r="G1234" i="2"/>
  <c r="D1234" i="2"/>
  <c r="O1233" i="2"/>
  <c r="N1233" i="2"/>
  <c r="M1233" i="2"/>
  <c r="L1233" i="2"/>
  <c r="H1233" i="2"/>
  <c r="G1233" i="2"/>
  <c r="D1233" i="2"/>
  <c r="O1232" i="2"/>
  <c r="N1232" i="2"/>
  <c r="M1232" i="2"/>
  <c r="L1232" i="2"/>
  <c r="H1232" i="2"/>
  <c r="G1232" i="2"/>
  <c r="D1232" i="2"/>
  <c r="O1231" i="2"/>
  <c r="N1231" i="2"/>
  <c r="M1231" i="2"/>
  <c r="L1231" i="2"/>
  <c r="H1231" i="2"/>
  <c r="G1231" i="2"/>
  <c r="D1231" i="2"/>
  <c r="O1230" i="2"/>
  <c r="N1230" i="2"/>
  <c r="M1230" i="2"/>
  <c r="L1230" i="2"/>
  <c r="H1230" i="2"/>
  <c r="G1230" i="2"/>
  <c r="D1230" i="2"/>
  <c r="O1229" i="2"/>
  <c r="N1229" i="2"/>
  <c r="M1229" i="2"/>
  <c r="L1229" i="2"/>
  <c r="H1229" i="2"/>
  <c r="G1229" i="2"/>
  <c r="D1229" i="2"/>
  <c r="O1228" i="2"/>
  <c r="N1228" i="2"/>
  <c r="M1228" i="2"/>
  <c r="L1228" i="2"/>
  <c r="H1228" i="2"/>
  <c r="G1228" i="2"/>
  <c r="D1228" i="2"/>
  <c r="O1227" i="2"/>
  <c r="N1227" i="2"/>
  <c r="M1227" i="2"/>
  <c r="L1227" i="2"/>
  <c r="H1227" i="2"/>
  <c r="G1227" i="2"/>
  <c r="D1227" i="2"/>
  <c r="O1226" i="2"/>
  <c r="N1226" i="2"/>
  <c r="M1226" i="2"/>
  <c r="L1226" i="2"/>
  <c r="H1226" i="2"/>
  <c r="G1226" i="2"/>
  <c r="D1226" i="2"/>
  <c r="O1225" i="2"/>
  <c r="N1225" i="2"/>
  <c r="M1225" i="2"/>
  <c r="L1225" i="2"/>
  <c r="H1225" i="2"/>
  <c r="G1225" i="2"/>
  <c r="D1225" i="2"/>
  <c r="O1224" i="2"/>
  <c r="N1224" i="2"/>
  <c r="M1224" i="2"/>
  <c r="L1224" i="2"/>
  <c r="H1224" i="2"/>
  <c r="G1224" i="2"/>
  <c r="D1224" i="2"/>
  <c r="O1223" i="2"/>
  <c r="N1223" i="2"/>
  <c r="M1223" i="2"/>
  <c r="L1223" i="2"/>
  <c r="H1223" i="2"/>
  <c r="G1223" i="2"/>
  <c r="D1223" i="2"/>
  <c r="O1222" i="2"/>
  <c r="N1222" i="2"/>
  <c r="M1222" i="2"/>
  <c r="L1222" i="2"/>
  <c r="H1222" i="2"/>
  <c r="G1222" i="2"/>
  <c r="D1222" i="2"/>
  <c r="O1221" i="2"/>
  <c r="N1221" i="2"/>
  <c r="M1221" i="2"/>
  <c r="L1221" i="2"/>
  <c r="H1221" i="2"/>
  <c r="G1221" i="2"/>
  <c r="D1221" i="2"/>
  <c r="O1220" i="2"/>
  <c r="N1220" i="2"/>
  <c r="M1220" i="2"/>
  <c r="L1220" i="2"/>
  <c r="H1220" i="2"/>
  <c r="G1220" i="2"/>
  <c r="D1220" i="2"/>
  <c r="O1219" i="2"/>
  <c r="N1219" i="2"/>
  <c r="M1219" i="2"/>
  <c r="L1219" i="2"/>
  <c r="H1219" i="2"/>
  <c r="G1219" i="2"/>
  <c r="D1219" i="2"/>
  <c r="O1218" i="2"/>
  <c r="N1218" i="2"/>
  <c r="M1218" i="2"/>
  <c r="L1218" i="2"/>
  <c r="H1218" i="2"/>
  <c r="G1218" i="2"/>
  <c r="D1218" i="2"/>
  <c r="O1217" i="2"/>
  <c r="N1217" i="2"/>
  <c r="M1217" i="2"/>
  <c r="L1217" i="2"/>
  <c r="H1217" i="2"/>
  <c r="G1217" i="2"/>
  <c r="D1217" i="2"/>
  <c r="O1216" i="2"/>
  <c r="N1216" i="2"/>
  <c r="M1216" i="2"/>
  <c r="L1216" i="2"/>
  <c r="H1216" i="2"/>
  <c r="G1216" i="2"/>
  <c r="D1216" i="2"/>
  <c r="O1215" i="2"/>
  <c r="N1215" i="2"/>
  <c r="M1215" i="2"/>
  <c r="L1215" i="2"/>
  <c r="H1215" i="2"/>
  <c r="G1215" i="2"/>
  <c r="D1215" i="2"/>
  <c r="O1214" i="2"/>
  <c r="N1214" i="2"/>
  <c r="M1214" i="2"/>
  <c r="L1214" i="2"/>
  <c r="H1214" i="2"/>
  <c r="G1214" i="2"/>
  <c r="D1214" i="2"/>
  <c r="O1213" i="2"/>
  <c r="N1213" i="2"/>
  <c r="M1213" i="2"/>
  <c r="L1213" i="2"/>
  <c r="H1213" i="2"/>
  <c r="G1213" i="2"/>
  <c r="D1213" i="2"/>
  <c r="O1212" i="2"/>
  <c r="N1212" i="2"/>
  <c r="M1212" i="2"/>
  <c r="L1212" i="2"/>
  <c r="H1212" i="2"/>
  <c r="G1212" i="2"/>
  <c r="D1212" i="2"/>
  <c r="O1211" i="2"/>
  <c r="N1211" i="2"/>
  <c r="M1211" i="2"/>
  <c r="L1211" i="2"/>
  <c r="H1211" i="2"/>
  <c r="G1211" i="2"/>
  <c r="D1211" i="2"/>
  <c r="O1210" i="2"/>
  <c r="N1210" i="2"/>
  <c r="M1210" i="2"/>
  <c r="L1210" i="2"/>
  <c r="H1210" i="2"/>
  <c r="G1210" i="2"/>
  <c r="D1210" i="2"/>
  <c r="O1209" i="2"/>
  <c r="N1209" i="2"/>
  <c r="M1209" i="2"/>
  <c r="L1209" i="2"/>
  <c r="H1209" i="2"/>
  <c r="G1209" i="2"/>
  <c r="D1209" i="2"/>
  <c r="O1208" i="2"/>
  <c r="N1208" i="2"/>
  <c r="M1208" i="2"/>
  <c r="L1208" i="2"/>
  <c r="H1208" i="2"/>
  <c r="G1208" i="2"/>
  <c r="D1208" i="2"/>
  <c r="O1207" i="2"/>
  <c r="N1207" i="2"/>
  <c r="M1207" i="2"/>
  <c r="L1207" i="2"/>
  <c r="H1207" i="2"/>
  <c r="G1207" i="2"/>
  <c r="D1207" i="2"/>
  <c r="O1206" i="2"/>
  <c r="N1206" i="2"/>
  <c r="M1206" i="2"/>
  <c r="L1206" i="2"/>
  <c r="H1206" i="2"/>
  <c r="G1206" i="2"/>
  <c r="D1206" i="2"/>
  <c r="O1205" i="2"/>
  <c r="N1205" i="2"/>
  <c r="M1205" i="2"/>
  <c r="L1205" i="2"/>
  <c r="H1205" i="2"/>
  <c r="G1205" i="2"/>
  <c r="D1205" i="2"/>
  <c r="O1204" i="2"/>
  <c r="N1204" i="2"/>
  <c r="M1204" i="2"/>
  <c r="L1204" i="2"/>
  <c r="H1204" i="2"/>
  <c r="G1204" i="2"/>
  <c r="D1204" i="2"/>
  <c r="O1203" i="2"/>
  <c r="N1203" i="2"/>
  <c r="M1203" i="2"/>
  <c r="L1203" i="2"/>
  <c r="H1203" i="2"/>
  <c r="G1203" i="2"/>
  <c r="D1203" i="2"/>
  <c r="O1202" i="2"/>
  <c r="N1202" i="2"/>
  <c r="M1202" i="2"/>
  <c r="L1202" i="2"/>
  <c r="H1202" i="2"/>
  <c r="G1202" i="2"/>
  <c r="D1202" i="2"/>
  <c r="O1201" i="2"/>
  <c r="N1201" i="2"/>
  <c r="M1201" i="2"/>
  <c r="L1201" i="2"/>
  <c r="H1201" i="2"/>
  <c r="G1201" i="2"/>
  <c r="D1201" i="2"/>
  <c r="O1200" i="2"/>
  <c r="N1200" i="2"/>
  <c r="M1200" i="2"/>
  <c r="L1200" i="2"/>
  <c r="H1200" i="2"/>
  <c r="G1200" i="2"/>
  <c r="D1200" i="2"/>
  <c r="O1199" i="2"/>
  <c r="N1199" i="2"/>
  <c r="M1199" i="2"/>
  <c r="L1199" i="2"/>
  <c r="H1199" i="2"/>
  <c r="G1199" i="2"/>
  <c r="D1199" i="2"/>
  <c r="O1198" i="2"/>
  <c r="N1198" i="2"/>
  <c r="M1198" i="2"/>
  <c r="L1198" i="2"/>
  <c r="H1198" i="2"/>
  <c r="G1198" i="2"/>
  <c r="D1198" i="2"/>
  <c r="O1197" i="2"/>
  <c r="N1197" i="2"/>
  <c r="M1197" i="2"/>
  <c r="L1197" i="2"/>
  <c r="H1197" i="2"/>
  <c r="G1197" i="2"/>
  <c r="D1197" i="2"/>
  <c r="O1196" i="2"/>
  <c r="N1196" i="2"/>
  <c r="M1196" i="2"/>
  <c r="L1196" i="2"/>
  <c r="H1196" i="2"/>
  <c r="G1196" i="2"/>
  <c r="D1196" i="2"/>
  <c r="O1195" i="2"/>
  <c r="N1195" i="2"/>
  <c r="M1195" i="2"/>
  <c r="L1195" i="2"/>
  <c r="H1195" i="2"/>
  <c r="G1195" i="2"/>
  <c r="D1195" i="2"/>
  <c r="O1194" i="2"/>
  <c r="N1194" i="2"/>
  <c r="M1194" i="2"/>
  <c r="L1194" i="2"/>
  <c r="H1194" i="2"/>
  <c r="G1194" i="2"/>
  <c r="D1194" i="2"/>
  <c r="O1193" i="2"/>
  <c r="N1193" i="2"/>
  <c r="M1193" i="2"/>
  <c r="L1193" i="2"/>
  <c r="H1193" i="2"/>
  <c r="G1193" i="2"/>
  <c r="D1193" i="2"/>
  <c r="O1192" i="2"/>
  <c r="N1192" i="2"/>
  <c r="M1192" i="2"/>
  <c r="L1192" i="2"/>
  <c r="H1192" i="2"/>
  <c r="G1192" i="2"/>
  <c r="D1192" i="2"/>
  <c r="O1191" i="2"/>
  <c r="N1191" i="2"/>
  <c r="M1191" i="2"/>
  <c r="L1191" i="2"/>
  <c r="H1191" i="2"/>
  <c r="G1191" i="2"/>
  <c r="D1191" i="2"/>
  <c r="O1190" i="2"/>
  <c r="N1190" i="2"/>
  <c r="M1190" i="2"/>
  <c r="L1190" i="2"/>
  <c r="H1190" i="2"/>
  <c r="G1190" i="2"/>
  <c r="D1190" i="2"/>
  <c r="O1189" i="2"/>
  <c r="N1189" i="2"/>
  <c r="M1189" i="2"/>
  <c r="L1189" i="2"/>
  <c r="H1189" i="2"/>
  <c r="G1189" i="2"/>
  <c r="D1189" i="2"/>
  <c r="O1188" i="2"/>
  <c r="N1188" i="2"/>
  <c r="M1188" i="2"/>
  <c r="L1188" i="2"/>
  <c r="H1188" i="2"/>
  <c r="G1188" i="2"/>
  <c r="D1188" i="2"/>
  <c r="O1187" i="2"/>
  <c r="N1187" i="2"/>
  <c r="M1187" i="2"/>
  <c r="L1187" i="2"/>
  <c r="H1187" i="2"/>
  <c r="G1187" i="2"/>
  <c r="D1187" i="2"/>
  <c r="O1186" i="2"/>
  <c r="N1186" i="2"/>
  <c r="M1186" i="2"/>
  <c r="L1186" i="2"/>
  <c r="H1186" i="2"/>
  <c r="G1186" i="2"/>
  <c r="D1186" i="2"/>
  <c r="O1185" i="2"/>
  <c r="N1185" i="2"/>
  <c r="M1185" i="2"/>
  <c r="L1185" i="2"/>
  <c r="H1185" i="2"/>
  <c r="G1185" i="2"/>
  <c r="D1185" i="2"/>
  <c r="O1184" i="2"/>
  <c r="N1184" i="2"/>
  <c r="M1184" i="2"/>
  <c r="L1184" i="2"/>
  <c r="H1184" i="2"/>
  <c r="G1184" i="2"/>
  <c r="D1184" i="2"/>
  <c r="O1183" i="2"/>
  <c r="N1183" i="2"/>
  <c r="M1183" i="2"/>
  <c r="L1183" i="2"/>
  <c r="H1183" i="2"/>
  <c r="G1183" i="2"/>
  <c r="D1183" i="2"/>
  <c r="O1182" i="2"/>
  <c r="N1182" i="2"/>
  <c r="M1182" i="2"/>
  <c r="L1182" i="2"/>
  <c r="H1182" i="2"/>
  <c r="G1182" i="2"/>
  <c r="D1182" i="2"/>
  <c r="O1181" i="2"/>
  <c r="N1181" i="2"/>
  <c r="M1181" i="2"/>
  <c r="L1181" i="2"/>
  <c r="H1181" i="2"/>
  <c r="G1181" i="2"/>
  <c r="D1181" i="2"/>
  <c r="O1180" i="2"/>
  <c r="N1180" i="2"/>
  <c r="M1180" i="2"/>
  <c r="L1180" i="2"/>
  <c r="H1180" i="2"/>
  <c r="G1180" i="2"/>
  <c r="D1180" i="2"/>
  <c r="O1179" i="2"/>
  <c r="N1179" i="2"/>
  <c r="M1179" i="2"/>
  <c r="L1179" i="2"/>
  <c r="H1179" i="2"/>
  <c r="G1179" i="2"/>
  <c r="D1179" i="2"/>
  <c r="O1178" i="2"/>
  <c r="N1178" i="2"/>
  <c r="M1178" i="2"/>
  <c r="L1178" i="2"/>
  <c r="H1178" i="2"/>
  <c r="G1178" i="2"/>
  <c r="D1178" i="2"/>
  <c r="O1177" i="2"/>
  <c r="N1177" i="2"/>
  <c r="M1177" i="2"/>
  <c r="L1177" i="2"/>
  <c r="H1177" i="2"/>
  <c r="G1177" i="2"/>
  <c r="D1177" i="2"/>
  <c r="O1176" i="2"/>
  <c r="N1176" i="2"/>
  <c r="M1176" i="2"/>
  <c r="L1176" i="2"/>
  <c r="H1176" i="2"/>
  <c r="G1176" i="2"/>
  <c r="D1176" i="2"/>
  <c r="O1175" i="2"/>
  <c r="N1175" i="2"/>
  <c r="M1175" i="2"/>
  <c r="L1175" i="2"/>
  <c r="H1175" i="2"/>
  <c r="G1175" i="2"/>
  <c r="D1175" i="2"/>
  <c r="O1174" i="2"/>
  <c r="N1174" i="2"/>
  <c r="M1174" i="2"/>
  <c r="L1174" i="2"/>
  <c r="H1174" i="2"/>
  <c r="G1174" i="2"/>
  <c r="D1174" i="2"/>
  <c r="O1173" i="2"/>
  <c r="N1173" i="2"/>
  <c r="M1173" i="2"/>
  <c r="L1173" i="2"/>
  <c r="H1173" i="2"/>
  <c r="G1173" i="2"/>
  <c r="D1173" i="2"/>
  <c r="O1172" i="2"/>
  <c r="N1172" i="2"/>
  <c r="M1172" i="2"/>
  <c r="L1172" i="2"/>
  <c r="H1172" i="2"/>
  <c r="G1172" i="2"/>
  <c r="D1172" i="2"/>
  <c r="O1171" i="2"/>
  <c r="N1171" i="2"/>
  <c r="M1171" i="2"/>
  <c r="L1171" i="2"/>
  <c r="H1171" i="2"/>
  <c r="G1171" i="2"/>
  <c r="D1171" i="2"/>
  <c r="O1170" i="2"/>
  <c r="N1170" i="2"/>
  <c r="M1170" i="2"/>
  <c r="L1170" i="2"/>
  <c r="H1170" i="2"/>
  <c r="G1170" i="2"/>
  <c r="D1170" i="2"/>
  <c r="O1169" i="2"/>
  <c r="N1169" i="2"/>
  <c r="M1169" i="2"/>
  <c r="L1169" i="2"/>
  <c r="H1169" i="2"/>
  <c r="G1169" i="2"/>
  <c r="D1169" i="2"/>
  <c r="O1168" i="2"/>
  <c r="N1168" i="2"/>
  <c r="M1168" i="2"/>
  <c r="L1168" i="2"/>
  <c r="H1168" i="2"/>
  <c r="G1168" i="2"/>
  <c r="D1168" i="2"/>
  <c r="O1167" i="2"/>
  <c r="N1167" i="2"/>
  <c r="M1167" i="2"/>
  <c r="L1167" i="2"/>
  <c r="H1167" i="2"/>
  <c r="G1167" i="2"/>
  <c r="D1167" i="2"/>
  <c r="O1166" i="2"/>
  <c r="N1166" i="2"/>
  <c r="M1166" i="2"/>
  <c r="L1166" i="2"/>
  <c r="H1166" i="2"/>
  <c r="G1166" i="2"/>
  <c r="D1166" i="2"/>
  <c r="O1165" i="2"/>
  <c r="N1165" i="2"/>
  <c r="M1165" i="2"/>
  <c r="L1165" i="2"/>
  <c r="H1165" i="2"/>
  <c r="G1165" i="2"/>
  <c r="D1165" i="2"/>
  <c r="O1164" i="2"/>
  <c r="N1164" i="2"/>
  <c r="M1164" i="2"/>
  <c r="L1164" i="2"/>
  <c r="H1164" i="2"/>
  <c r="G1164" i="2"/>
  <c r="D1164" i="2"/>
  <c r="O1163" i="2"/>
  <c r="N1163" i="2"/>
  <c r="M1163" i="2"/>
  <c r="L1163" i="2"/>
  <c r="H1163" i="2"/>
  <c r="G1163" i="2"/>
  <c r="D1163" i="2"/>
  <c r="O1162" i="2"/>
  <c r="N1162" i="2"/>
  <c r="M1162" i="2"/>
  <c r="L1162" i="2"/>
  <c r="H1162" i="2"/>
  <c r="G1162" i="2"/>
  <c r="D1162" i="2"/>
  <c r="O1161" i="2"/>
  <c r="N1161" i="2"/>
  <c r="M1161" i="2"/>
  <c r="L1161" i="2"/>
  <c r="H1161" i="2"/>
  <c r="G1161" i="2"/>
  <c r="D1161" i="2"/>
  <c r="O1160" i="2"/>
  <c r="N1160" i="2"/>
  <c r="M1160" i="2"/>
  <c r="L1160" i="2"/>
  <c r="H1160" i="2"/>
  <c r="G1160" i="2"/>
  <c r="D1160" i="2"/>
  <c r="O1159" i="2"/>
  <c r="N1159" i="2"/>
  <c r="M1159" i="2"/>
  <c r="L1159" i="2"/>
  <c r="H1159" i="2"/>
  <c r="G1159" i="2"/>
  <c r="D1159" i="2"/>
  <c r="O1158" i="2"/>
  <c r="N1158" i="2"/>
  <c r="M1158" i="2"/>
  <c r="L1158" i="2"/>
  <c r="H1158" i="2"/>
  <c r="G1158" i="2"/>
  <c r="D1158" i="2"/>
  <c r="O1157" i="2"/>
  <c r="N1157" i="2"/>
  <c r="M1157" i="2"/>
  <c r="L1157" i="2"/>
  <c r="H1157" i="2"/>
  <c r="G1157" i="2"/>
  <c r="D1157" i="2"/>
  <c r="O1156" i="2"/>
  <c r="N1156" i="2"/>
  <c r="M1156" i="2"/>
  <c r="L1156" i="2"/>
  <c r="H1156" i="2"/>
  <c r="G1156" i="2"/>
  <c r="D1156" i="2"/>
  <c r="O1155" i="2"/>
  <c r="N1155" i="2"/>
  <c r="M1155" i="2"/>
  <c r="L1155" i="2"/>
  <c r="H1155" i="2"/>
  <c r="G1155" i="2"/>
  <c r="D1155" i="2"/>
  <c r="O1154" i="2"/>
  <c r="N1154" i="2"/>
  <c r="M1154" i="2"/>
  <c r="L1154" i="2"/>
  <c r="H1154" i="2"/>
  <c r="G1154" i="2"/>
  <c r="D1154" i="2"/>
  <c r="O1153" i="2"/>
  <c r="N1153" i="2"/>
  <c r="M1153" i="2"/>
  <c r="L1153" i="2"/>
  <c r="H1153" i="2"/>
  <c r="G1153" i="2"/>
  <c r="D1153" i="2"/>
  <c r="O1152" i="2"/>
  <c r="N1152" i="2"/>
  <c r="M1152" i="2"/>
  <c r="L1152" i="2"/>
  <c r="H1152" i="2"/>
  <c r="G1152" i="2"/>
  <c r="D1152" i="2"/>
  <c r="O1151" i="2"/>
  <c r="N1151" i="2"/>
  <c r="M1151" i="2"/>
  <c r="L1151" i="2"/>
  <c r="H1151" i="2"/>
  <c r="G1151" i="2"/>
  <c r="D1151" i="2"/>
  <c r="O1150" i="2"/>
  <c r="N1150" i="2"/>
  <c r="M1150" i="2"/>
  <c r="L1150" i="2"/>
  <c r="H1150" i="2"/>
  <c r="G1150" i="2"/>
  <c r="D1150" i="2"/>
  <c r="O1149" i="2"/>
  <c r="N1149" i="2"/>
  <c r="M1149" i="2"/>
  <c r="L1149" i="2"/>
  <c r="H1149" i="2"/>
  <c r="G1149" i="2"/>
  <c r="D1149" i="2"/>
  <c r="O1148" i="2"/>
  <c r="N1148" i="2"/>
  <c r="M1148" i="2"/>
  <c r="L1148" i="2"/>
  <c r="H1148" i="2"/>
  <c r="G1148" i="2"/>
  <c r="D1148" i="2"/>
  <c r="O1147" i="2"/>
  <c r="N1147" i="2"/>
  <c r="M1147" i="2"/>
  <c r="L1147" i="2"/>
  <c r="H1147" i="2"/>
  <c r="G1147" i="2"/>
  <c r="D1147" i="2"/>
  <c r="O1146" i="2"/>
  <c r="N1146" i="2"/>
  <c r="M1146" i="2"/>
  <c r="L1146" i="2"/>
  <c r="H1146" i="2"/>
  <c r="G1146" i="2"/>
  <c r="D1146" i="2"/>
  <c r="O1145" i="2"/>
  <c r="N1145" i="2"/>
  <c r="M1145" i="2"/>
  <c r="L1145" i="2"/>
  <c r="H1145" i="2"/>
  <c r="G1145" i="2"/>
  <c r="D1145" i="2"/>
  <c r="O1144" i="2"/>
  <c r="N1144" i="2"/>
  <c r="M1144" i="2"/>
  <c r="L1144" i="2"/>
  <c r="H1144" i="2"/>
  <c r="G1144" i="2"/>
  <c r="D1144" i="2"/>
  <c r="O1143" i="2"/>
  <c r="N1143" i="2"/>
  <c r="M1143" i="2"/>
  <c r="L1143" i="2"/>
  <c r="H1143" i="2"/>
  <c r="G1143" i="2"/>
  <c r="D1143" i="2"/>
  <c r="O1142" i="2"/>
  <c r="N1142" i="2"/>
  <c r="M1142" i="2"/>
  <c r="L1142" i="2"/>
  <c r="H1142" i="2"/>
  <c r="G1142" i="2"/>
  <c r="D1142" i="2"/>
  <c r="O1141" i="2"/>
  <c r="N1141" i="2"/>
  <c r="M1141" i="2"/>
  <c r="L1141" i="2"/>
  <c r="H1141" i="2"/>
  <c r="G1141" i="2"/>
  <c r="D1141" i="2"/>
  <c r="O1140" i="2"/>
  <c r="N1140" i="2"/>
  <c r="M1140" i="2"/>
  <c r="L1140" i="2"/>
  <c r="H1140" i="2"/>
  <c r="G1140" i="2"/>
  <c r="D1140" i="2"/>
  <c r="O1139" i="2"/>
  <c r="N1139" i="2"/>
  <c r="M1139" i="2"/>
  <c r="L1139" i="2"/>
  <c r="H1139" i="2"/>
  <c r="G1139" i="2"/>
  <c r="D1139" i="2"/>
  <c r="O1138" i="2"/>
  <c r="N1138" i="2"/>
  <c r="M1138" i="2"/>
  <c r="L1138" i="2"/>
  <c r="H1138" i="2"/>
  <c r="G1138" i="2"/>
  <c r="D1138" i="2"/>
  <c r="O1137" i="2"/>
  <c r="N1137" i="2"/>
  <c r="M1137" i="2"/>
  <c r="L1137" i="2"/>
  <c r="H1137" i="2"/>
  <c r="G1137" i="2"/>
  <c r="D1137" i="2"/>
  <c r="O1136" i="2"/>
  <c r="N1136" i="2"/>
  <c r="M1136" i="2"/>
  <c r="L1136" i="2"/>
  <c r="H1136" i="2"/>
  <c r="G1136" i="2"/>
  <c r="D1136" i="2"/>
  <c r="O1135" i="2"/>
  <c r="N1135" i="2"/>
  <c r="M1135" i="2"/>
  <c r="L1135" i="2"/>
  <c r="H1135" i="2"/>
  <c r="G1135" i="2"/>
  <c r="D1135" i="2"/>
  <c r="O1134" i="2"/>
  <c r="N1134" i="2"/>
  <c r="M1134" i="2"/>
  <c r="L1134" i="2"/>
  <c r="H1134" i="2"/>
  <c r="G1134" i="2"/>
  <c r="D1134" i="2"/>
  <c r="O1133" i="2"/>
  <c r="N1133" i="2"/>
  <c r="M1133" i="2"/>
  <c r="L1133" i="2"/>
  <c r="H1133" i="2"/>
  <c r="G1133" i="2"/>
  <c r="D1133" i="2"/>
  <c r="O1132" i="2"/>
  <c r="N1132" i="2"/>
  <c r="M1132" i="2"/>
  <c r="L1132" i="2"/>
  <c r="H1132" i="2"/>
  <c r="G1132" i="2"/>
  <c r="D1132" i="2"/>
  <c r="O1131" i="2"/>
  <c r="N1131" i="2"/>
  <c r="M1131" i="2"/>
  <c r="L1131" i="2"/>
  <c r="H1131" i="2"/>
  <c r="G1131" i="2"/>
  <c r="D1131" i="2"/>
  <c r="O1130" i="2"/>
  <c r="N1130" i="2"/>
  <c r="M1130" i="2"/>
  <c r="L1130" i="2"/>
  <c r="H1130" i="2"/>
  <c r="G1130" i="2"/>
  <c r="D1130" i="2"/>
  <c r="O1129" i="2"/>
  <c r="N1129" i="2"/>
  <c r="M1129" i="2"/>
  <c r="L1129" i="2"/>
  <c r="H1129" i="2"/>
  <c r="G1129" i="2"/>
  <c r="D1129" i="2"/>
  <c r="O1128" i="2"/>
  <c r="N1128" i="2"/>
  <c r="M1128" i="2"/>
  <c r="L1128" i="2"/>
  <c r="H1128" i="2"/>
  <c r="G1128" i="2"/>
  <c r="D1128" i="2"/>
  <c r="O1127" i="2"/>
  <c r="N1127" i="2"/>
  <c r="M1127" i="2"/>
  <c r="L1127" i="2"/>
  <c r="H1127" i="2"/>
  <c r="G1127" i="2"/>
  <c r="D1127" i="2"/>
  <c r="O1126" i="2"/>
  <c r="N1126" i="2"/>
  <c r="M1126" i="2"/>
  <c r="L1126" i="2"/>
  <c r="H1126" i="2"/>
  <c r="G1126" i="2"/>
  <c r="D1126" i="2"/>
  <c r="O1125" i="2"/>
  <c r="N1125" i="2"/>
  <c r="M1125" i="2"/>
  <c r="L1125" i="2"/>
  <c r="H1125" i="2"/>
  <c r="G1125" i="2"/>
  <c r="D1125" i="2"/>
  <c r="O1124" i="2"/>
  <c r="N1124" i="2"/>
  <c r="M1124" i="2"/>
  <c r="L1124" i="2"/>
  <c r="H1124" i="2"/>
  <c r="G1124" i="2"/>
  <c r="D1124" i="2"/>
  <c r="O1123" i="2"/>
  <c r="N1123" i="2"/>
  <c r="M1123" i="2"/>
  <c r="L1123" i="2"/>
  <c r="H1123" i="2"/>
  <c r="G1123" i="2"/>
  <c r="D1123" i="2"/>
  <c r="O1122" i="2"/>
  <c r="N1122" i="2"/>
  <c r="M1122" i="2"/>
  <c r="L1122" i="2"/>
  <c r="H1122" i="2"/>
  <c r="G1122" i="2"/>
  <c r="D1122" i="2"/>
  <c r="O1121" i="2"/>
  <c r="N1121" i="2"/>
  <c r="M1121" i="2"/>
  <c r="L1121" i="2"/>
  <c r="H1121" i="2"/>
  <c r="G1121" i="2"/>
  <c r="D1121" i="2"/>
  <c r="O1120" i="2"/>
  <c r="N1120" i="2"/>
  <c r="M1120" i="2"/>
  <c r="L1120" i="2"/>
  <c r="H1120" i="2"/>
  <c r="G1120" i="2"/>
  <c r="D1120" i="2"/>
  <c r="O1119" i="2"/>
  <c r="N1119" i="2"/>
  <c r="M1119" i="2"/>
  <c r="L1119" i="2"/>
  <c r="H1119" i="2"/>
  <c r="G1119" i="2"/>
  <c r="D1119" i="2"/>
  <c r="O1118" i="2"/>
  <c r="N1118" i="2"/>
  <c r="M1118" i="2"/>
  <c r="L1118" i="2"/>
  <c r="H1118" i="2"/>
  <c r="G1118" i="2"/>
  <c r="D1118" i="2"/>
  <c r="O1117" i="2"/>
  <c r="N1117" i="2"/>
  <c r="M1117" i="2"/>
  <c r="L1117" i="2"/>
  <c r="H1117" i="2"/>
  <c r="G1117" i="2"/>
  <c r="D1117" i="2"/>
  <c r="O1116" i="2"/>
  <c r="N1116" i="2"/>
  <c r="M1116" i="2"/>
  <c r="L1116" i="2"/>
  <c r="H1116" i="2"/>
  <c r="G1116" i="2"/>
  <c r="D1116" i="2"/>
  <c r="O1115" i="2"/>
  <c r="N1115" i="2"/>
  <c r="M1115" i="2"/>
  <c r="L1115" i="2"/>
  <c r="H1115" i="2"/>
  <c r="G1115" i="2"/>
  <c r="D1115" i="2"/>
  <c r="O1114" i="2"/>
  <c r="N1114" i="2"/>
  <c r="M1114" i="2"/>
  <c r="L1114" i="2"/>
  <c r="H1114" i="2"/>
  <c r="G1114" i="2"/>
  <c r="D1114" i="2"/>
  <c r="O1113" i="2"/>
  <c r="N1113" i="2"/>
  <c r="M1113" i="2"/>
  <c r="L1113" i="2"/>
  <c r="H1113" i="2"/>
  <c r="G1113" i="2"/>
  <c r="D1113" i="2"/>
  <c r="O1112" i="2"/>
  <c r="N1112" i="2"/>
  <c r="M1112" i="2"/>
  <c r="L1112" i="2"/>
  <c r="H1112" i="2"/>
  <c r="G1112" i="2"/>
  <c r="D1112" i="2"/>
  <c r="O1111" i="2"/>
  <c r="N1111" i="2"/>
  <c r="M1111" i="2"/>
  <c r="L1111" i="2"/>
  <c r="H1111" i="2"/>
  <c r="G1111" i="2"/>
  <c r="D1111" i="2"/>
  <c r="O1110" i="2"/>
  <c r="N1110" i="2"/>
  <c r="M1110" i="2"/>
  <c r="L1110" i="2"/>
  <c r="H1110" i="2"/>
  <c r="G1110" i="2"/>
  <c r="D1110" i="2"/>
  <c r="O1109" i="2"/>
  <c r="N1109" i="2"/>
  <c r="M1109" i="2"/>
  <c r="L1109" i="2"/>
  <c r="H1109" i="2"/>
  <c r="G1109" i="2"/>
  <c r="D1109" i="2"/>
  <c r="O1108" i="2"/>
  <c r="N1108" i="2"/>
  <c r="M1108" i="2"/>
  <c r="L1108" i="2"/>
  <c r="H1108" i="2"/>
  <c r="G1108" i="2"/>
  <c r="D1108" i="2"/>
  <c r="O1107" i="2"/>
  <c r="N1107" i="2"/>
  <c r="M1107" i="2"/>
  <c r="L1107" i="2"/>
  <c r="H1107" i="2"/>
  <c r="G1107" i="2"/>
  <c r="D1107" i="2"/>
  <c r="O1106" i="2"/>
  <c r="N1106" i="2"/>
  <c r="M1106" i="2"/>
  <c r="L1106" i="2"/>
  <c r="H1106" i="2"/>
  <c r="G1106" i="2"/>
  <c r="D1106" i="2"/>
  <c r="O1105" i="2"/>
  <c r="N1105" i="2"/>
  <c r="M1105" i="2"/>
  <c r="L1105" i="2"/>
  <c r="H1105" i="2"/>
  <c r="G1105" i="2"/>
  <c r="D1105" i="2"/>
  <c r="O1104" i="2"/>
  <c r="N1104" i="2"/>
  <c r="M1104" i="2"/>
  <c r="L1104" i="2"/>
  <c r="H1104" i="2"/>
  <c r="G1104" i="2"/>
  <c r="D1104" i="2"/>
  <c r="O1103" i="2"/>
  <c r="N1103" i="2"/>
  <c r="M1103" i="2"/>
  <c r="L1103" i="2"/>
  <c r="H1103" i="2"/>
  <c r="G1103" i="2"/>
  <c r="D1103" i="2"/>
  <c r="O1102" i="2"/>
  <c r="N1102" i="2"/>
  <c r="M1102" i="2"/>
  <c r="L1102" i="2"/>
  <c r="H1102" i="2"/>
  <c r="G1102" i="2"/>
  <c r="D1102" i="2"/>
  <c r="O1101" i="2"/>
  <c r="N1101" i="2"/>
  <c r="M1101" i="2"/>
  <c r="L1101" i="2"/>
  <c r="H1101" i="2"/>
  <c r="G1101" i="2"/>
  <c r="D1101" i="2"/>
  <c r="O1100" i="2"/>
  <c r="N1100" i="2"/>
  <c r="M1100" i="2"/>
  <c r="L1100" i="2"/>
  <c r="H1100" i="2"/>
  <c r="G1100" i="2"/>
  <c r="D1100" i="2"/>
  <c r="O1099" i="2"/>
  <c r="N1099" i="2"/>
  <c r="M1099" i="2"/>
  <c r="L1099" i="2"/>
  <c r="H1099" i="2"/>
  <c r="G1099" i="2"/>
  <c r="D1099" i="2"/>
  <c r="O1098" i="2"/>
  <c r="N1098" i="2"/>
  <c r="M1098" i="2"/>
  <c r="L1098" i="2"/>
  <c r="H1098" i="2"/>
  <c r="G1098" i="2"/>
  <c r="D1098" i="2"/>
  <c r="O1097" i="2"/>
  <c r="N1097" i="2"/>
  <c r="M1097" i="2"/>
  <c r="L1097" i="2"/>
  <c r="H1097" i="2"/>
  <c r="G1097" i="2"/>
  <c r="D1097" i="2"/>
  <c r="O1096" i="2"/>
  <c r="N1096" i="2"/>
  <c r="M1096" i="2"/>
  <c r="L1096" i="2"/>
  <c r="H1096" i="2"/>
  <c r="G1096" i="2"/>
  <c r="D1096" i="2"/>
  <c r="O1095" i="2"/>
  <c r="N1095" i="2"/>
  <c r="M1095" i="2"/>
  <c r="L1095" i="2"/>
  <c r="H1095" i="2"/>
  <c r="G1095" i="2"/>
  <c r="D1095" i="2"/>
  <c r="O1094" i="2"/>
  <c r="N1094" i="2"/>
  <c r="M1094" i="2"/>
  <c r="L1094" i="2"/>
  <c r="H1094" i="2"/>
  <c r="G1094" i="2"/>
  <c r="D1094" i="2"/>
  <c r="O1093" i="2"/>
  <c r="N1093" i="2"/>
  <c r="M1093" i="2"/>
  <c r="L1093" i="2"/>
  <c r="H1093" i="2"/>
  <c r="G1093" i="2"/>
  <c r="D1093" i="2"/>
  <c r="O1092" i="2"/>
  <c r="N1092" i="2"/>
  <c r="M1092" i="2"/>
  <c r="L1092" i="2"/>
  <c r="H1092" i="2"/>
  <c r="G1092" i="2"/>
  <c r="D1092" i="2"/>
  <c r="O1091" i="2"/>
  <c r="N1091" i="2"/>
  <c r="M1091" i="2"/>
  <c r="L1091" i="2"/>
  <c r="H1091" i="2"/>
  <c r="G1091" i="2"/>
  <c r="D1091" i="2"/>
  <c r="O1090" i="2"/>
  <c r="N1090" i="2"/>
  <c r="M1090" i="2"/>
  <c r="L1090" i="2"/>
  <c r="H1090" i="2"/>
  <c r="G1090" i="2"/>
  <c r="D1090" i="2"/>
  <c r="O1089" i="2"/>
  <c r="N1089" i="2"/>
  <c r="M1089" i="2"/>
  <c r="L1089" i="2"/>
  <c r="H1089" i="2"/>
  <c r="G1089" i="2"/>
  <c r="D1089" i="2"/>
  <c r="O1088" i="2"/>
  <c r="N1088" i="2"/>
  <c r="M1088" i="2"/>
  <c r="L1088" i="2"/>
  <c r="H1088" i="2"/>
  <c r="G1088" i="2"/>
  <c r="D1088" i="2"/>
  <c r="O1087" i="2"/>
  <c r="N1087" i="2"/>
  <c r="M1087" i="2"/>
  <c r="L1087" i="2"/>
  <c r="H1087" i="2"/>
  <c r="G1087" i="2"/>
  <c r="D1087" i="2"/>
  <c r="O1086" i="2"/>
  <c r="N1086" i="2"/>
  <c r="M1086" i="2"/>
  <c r="L1086" i="2"/>
  <c r="H1086" i="2"/>
  <c r="G1086" i="2"/>
  <c r="D1086" i="2"/>
  <c r="O1085" i="2"/>
  <c r="N1085" i="2"/>
  <c r="M1085" i="2"/>
  <c r="L1085" i="2"/>
  <c r="H1085" i="2"/>
  <c r="G1085" i="2"/>
  <c r="D1085" i="2"/>
  <c r="O1084" i="2"/>
  <c r="N1084" i="2"/>
  <c r="M1084" i="2"/>
  <c r="L1084" i="2"/>
  <c r="H1084" i="2"/>
  <c r="G1084" i="2"/>
  <c r="D1084" i="2"/>
  <c r="O1083" i="2"/>
  <c r="N1083" i="2"/>
  <c r="M1083" i="2"/>
  <c r="L1083" i="2"/>
  <c r="H1083" i="2"/>
  <c r="G1083" i="2"/>
  <c r="D1083" i="2"/>
  <c r="O1082" i="2"/>
  <c r="N1082" i="2"/>
  <c r="M1082" i="2"/>
  <c r="L1082" i="2"/>
  <c r="H1082" i="2"/>
  <c r="G1082" i="2"/>
  <c r="D1082" i="2"/>
  <c r="O1081" i="2"/>
  <c r="N1081" i="2"/>
  <c r="M1081" i="2"/>
  <c r="L1081" i="2"/>
  <c r="H1081" i="2"/>
  <c r="G1081" i="2"/>
  <c r="D1081" i="2"/>
  <c r="O1080" i="2"/>
  <c r="N1080" i="2"/>
  <c r="M1080" i="2"/>
  <c r="L1080" i="2"/>
  <c r="H1080" i="2"/>
  <c r="G1080" i="2"/>
  <c r="D1080" i="2"/>
  <c r="O1079" i="2"/>
  <c r="N1079" i="2"/>
  <c r="M1079" i="2"/>
  <c r="L1079" i="2"/>
  <c r="H1079" i="2"/>
  <c r="G1079" i="2"/>
  <c r="D1079" i="2"/>
  <c r="O1078" i="2"/>
  <c r="N1078" i="2"/>
  <c r="M1078" i="2"/>
  <c r="L1078" i="2"/>
  <c r="H1078" i="2"/>
  <c r="G1078" i="2"/>
  <c r="D1078" i="2"/>
  <c r="O1077" i="2"/>
  <c r="N1077" i="2"/>
  <c r="M1077" i="2"/>
  <c r="L1077" i="2"/>
  <c r="H1077" i="2"/>
  <c r="G1077" i="2"/>
  <c r="D1077" i="2"/>
  <c r="O1076" i="2"/>
  <c r="N1076" i="2"/>
  <c r="M1076" i="2"/>
  <c r="L1076" i="2"/>
  <c r="H1076" i="2"/>
  <c r="G1076" i="2"/>
  <c r="D1076" i="2"/>
  <c r="O1075" i="2"/>
  <c r="N1075" i="2"/>
  <c r="M1075" i="2"/>
  <c r="L1075" i="2"/>
  <c r="H1075" i="2"/>
  <c r="G1075" i="2"/>
  <c r="D1075" i="2"/>
  <c r="O1074" i="2"/>
  <c r="N1074" i="2"/>
  <c r="M1074" i="2"/>
  <c r="L1074" i="2"/>
  <c r="H1074" i="2"/>
  <c r="G1074" i="2"/>
  <c r="D1074" i="2"/>
  <c r="O1073" i="2"/>
  <c r="N1073" i="2"/>
  <c r="M1073" i="2"/>
  <c r="L1073" i="2"/>
  <c r="H1073" i="2"/>
  <c r="G1073" i="2"/>
  <c r="D1073" i="2"/>
  <c r="O1072" i="2"/>
  <c r="N1072" i="2"/>
  <c r="M1072" i="2"/>
  <c r="L1072" i="2"/>
  <c r="H1072" i="2"/>
  <c r="G1072" i="2"/>
  <c r="D1072" i="2"/>
  <c r="O1071" i="2"/>
  <c r="N1071" i="2"/>
  <c r="M1071" i="2"/>
  <c r="L1071" i="2"/>
  <c r="H1071" i="2"/>
  <c r="G1071" i="2"/>
  <c r="D1071" i="2"/>
  <c r="O1070" i="2"/>
  <c r="N1070" i="2"/>
  <c r="M1070" i="2"/>
  <c r="L1070" i="2"/>
  <c r="H1070" i="2"/>
  <c r="G1070" i="2"/>
  <c r="D1070" i="2"/>
  <c r="O1069" i="2"/>
  <c r="N1069" i="2"/>
  <c r="M1069" i="2"/>
  <c r="L1069" i="2"/>
  <c r="H1069" i="2"/>
  <c r="G1069" i="2"/>
  <c r="D1069" i="2"/>
  <c r="O1068" i="2"/>
  <c r="N1068" i="2"/>
  <c r="M1068" i="2"/>
  <c r="L1068" i="2"/>
  <c r="H1068" i="2"/>
  <c r="G1068" i="2"/>
  <c r="D1068" i="2"/>
  <c r="O1067" i="2"/>
  <c r="N1067" i="2"/>
  <c r="M1067" i="2"/>
  <c r="L1067" i="2"/>
  <c r="H1067" i="2"/>
  <c r="G1067" i="2"/>
  <c r="D1067" i="2"/>
  <c r="O1066" i="2"/>
  <c r="N1066" i="2"/>
  <c r="M1066" i="2"/>
  <c r="L1066" i="2"/>
  <c r="H1066" i="2"/>
  <c r="G1066" i="2"/>
  <c r="D1066" i="2"/>
  <c r="O1065" i="2"/>
  <c r="N1065" i="2"/>
  <c r="M1065" i="2"/>
  <c r="L1065" i="2"/>
  <c r="H1065" i="2"/>
  <c r="G1065" i="2"/>
  <c r="D1065" i="2"/>
  <c r="O1064" i="2"/>
  <c r="N1064" i="2"/>
  <c r="M1064" i="2"/>
  <c r="L1064" i="2"/>
  <c r="H1064" i="2"/>
  <c r="G1064" i="2"/>
  <c r="D1064" i="2"/>
  <c r="O1063" i="2"/>
  <c r="N1063" i="2"/>
  <c r="M1063" i="2"/>
  <c r="L1063" i="2"/>
  <c r="H1063" i="2"/>
  <c r="G1063" i="2"/>
  <c r="D1063" i="2"/>
  <c r="O1062" i="2"/>
  <c r="N1062" i="2"/>
  <c r="M1062" i="2"/>
  <c r="L1062" i="2"/>
  <c r="H1062" i="2"/>
  <c r="G1062" i="2"/>
  <c r="D1062" i="2"/>
  <c r="O1061" i="2"/>
  <c r="N1061" i="2"/>
  <c r="M1061" i="2"/>
  <c r="L1061" i="2"/>
  <c r="H1061" i="2"/>
  <c r="G1061" i="2"/>
  <c r="D1061" i="2"/>
  <c r="O1060" i="2"/>
  <c r="N1060" i="2"/>
  <c r="M1060" i="2"/>
  <c r="L1060" i="2"/>
  <c r="H1060" i="2"/>
  <c r="G1060" i="2"/>
  <c r="D1060" i="2"/>
  <c r="O1059" i="2"/>
  <c r="N1059" i="2"/>
  <c r="M1059" i="2"/>
  <c r="L1059" i="2"/>
  <c r="H1059" i="2"/>
  <c r="G1059" i="2"/>
  <c r="D1059" i="2"/>
  <c r="O1058" i="2"/>
  <c r="N1058" i="2"/>
  <c r="M1058" i="2"/>
  <c r="L1058" i="2"/>
  <c r="H1058" i="2"/>
  <c r="G1058" i="2"/>
  <c r="D1058" i="2"/>
  <c r="O1057" i="2"/>
  <c r="N1057" i="2"/>
  <c r="M1057" i="2"/>
  <c r="L1057" i="2"/>
  <c r="H1057" i="2"/>
  <c r="G1057" i="2"/>
  <c r="D1057" i="2"/>
  <c r="O1056" i="2"/>
  <c r="N1056" i="2"/>
  <c r="M1056" i="2"/>
  <c r="L1056" i="2"/>
  <c r="H1056" i="2"/>
  <c r="G1056" i="2"/>
  <c r="D1056" i="2"/>
  <c r="O1055" i="2"/>
  <c r="N1055" i="2"/>
  <c r="M1055" i="2"/>
  <c r="L1055" i="2"/>
  <c r="H1055" i="2"/>
  <c r="G1055" i="2"/>
  <c r="D1055" i="2"/>
  <c r="O1054" i="2"/>
  <c r="N1054" i="2"/>
  <c r="M1054" i="2"/>
  <c r="L1054" i="2"/>
  <c r="H1054" i="2"/>
  <c r="G1054" i="2"/>
  <c r="D1054" i="2"/>
  <c r="O1053" i="2"/>
  <c r="N1053" i="2"/>
  <c r="M1053" i="2"/>
  <c r="L1053" i="2"/>
  <c r="H1053" i="2"/>
  <c r="G1053" i="2"/>
  <c r="D1053" i="2"/>
  <c r="O1052" i="2"/>
  <c r="N1052" i="2"/>
  <c r="M1052" i="2"/>
  <c r="L1052" i="2"/>
  <c r="H1052" i="2"/>
  <c r="G1052" i="2"/>
  <c r="D1052" i="2"/>
  <c r="O1051" i="2"/>
  <c r="N1051" i="2"/>
  <c r="M1051" i="2"/>
  <c r="L1051" i="2"/>
  <c r="H1051" i="2"/>
  <c r="G1051" i="2"/>
  <c r="D1051" i="2"/>
  <c r="O1050" i="2"/>
  <c r="N1050" i="2"/>
  <c r="M1050" i="2"/>
  <c r="L1050" i="2"/>
  <c r="H1050" i="2"/>
  <c r="G1050" i="2"/>
  <c r="D1050" i="2"/>
  <c r="O1049" i="2"/>
  <c r="N1049" i="2"/>
  <c r="M1049" i="2"/>
  <c r="L1049" i="2"/>
  <c r="H1049" i="2"/>
  <c r="G1049" i="2"/>
  <c r="D1049" i="2"/>
  <c r="O1048" i="2"/>
  <c r="N1048" i="2"/>
  <c r="M1048" i="2"/>
  <c r="L1048" i="2"/>
  <c r="H1048" i="2"/>
  <c r="G1048" i="2"/>
  <c r="D1048" i="2"/>
  <c r="O1047" i="2"/>
  <c r="N1047" i="2"/>
  <c r="M1047" i="2"/>
  <c r="L1047" i="2"/>
  <c r="H1047" i="2"/>
  <c r="G1047" i="2"/>
  <c r="D1047" i="2"/>
  <c r="O1046" i="2"/>
  <c r="N1046" i="2"/>
  <c r="M1046" i="2"/>
  <c r="L1046" i="2"/>
  <c r="H1046" i="2"/>
  <c r="G1046" i="2"/>
  <c r="D1046" i="2"/>
  <c r="O1045" i="2"/>
  <c r="N1045" i="2"/>
  <c r="M1045" i="2"/>
  <c r="L1045" i="2"/>
  <c r="H1045" i="2"/>
  <c r="G1045" i="2"/>
  <c r="D1045" i="2"/>
  <c r="O1044" i="2"/>
  <c r="N1044" i="2"/>
  <c r="M1044" i="2"/>
  <c r="L1044" i="2"/>
  <c r="H1044" i="2"/>
  <c r="G1044" i="2"/>
  <c r="D1044" i="2"/>
  <c r="O1043" i="2"/>
  <c r="N1043" i="2"/>
  <c r="M1043" i="2"/>
  <c r="L1043" i="2"/>
  <c r="H1043" i="2"/>
  <c r="G1043" i="2"/>
  <c r="D1043" i="2"/>
  <c r="O1042" i="2"/>
  <c r="N1042" i="2"/>
  <c r="M1042" i="2"/>
  <c r="L1042" i="2"/>
  <c r="H1042" i="2"/>
  <c r="G1042" i="2"/>
  <c r="D1042" i="2"/>
  <c r="O1041" i="2"/>
  <c r="N1041" i="2"/>
  <c r="M1041" i="2"/>
  <c r="L1041" i="2"/>
  <c r="H1041" i="2"/>
  <c r="G1041" i="2"/>
  <c r="D1041" i="2"/>
  <c r="O1040" i="2"/>
  <c r="N1040" i="2"/>
  <c r="M1040" i="2"/>
  <c r="L1040" i="2"/>
  <c r="H1040" i="2"/>
  <c r="G1040" i="2"/>
  <c r="D1040" i="2"/>
  <c r="O1039" i="2"/>
  <c r="N1039" i="2"/>
  <c r="M1039" i="2"/>
  <c r="L1039" i="2"/>
  <c r="H1039" i="2"/>
  <c r="G1039" i="2"/>
  <c r="D1039" i="2"/>
  <c r="O1038" i="2"/>
  <c r="N1038" i="2"/>
  <c r="M1038" i="2"/>
  <c r="L1038" i="2"/>
  <c r="H1038" i="2"/>
  <c r="G1038" i="2"/>
  <c r="D1038" i="2"/>
  <c r="O1037" i="2"/>
  <c r="N1037" i="2"/>
  <c r="M1037" i="2"/>
  <c r="L1037" i="2"/>
  <c r="H1037" i="2"/>
  <c r="G1037" i="2"/>
  <c r="D1037" i="2"/>
  <c r="O1036" i="2"/>
  <c r="N1036" i="2"/>
  <c r="M1036" i="2"/>
  <c r="L1036" i="2"/>
  <c r="H1036" i="2"/>
  <c r="G1036" i="2"/>
  <c r="D1036" i="2"/>
  <c r="O1035" i="2"/>
  <c r="N1035" i="2"/>
  <c r="M1035" i="2"/>
  <c r="L1035" i="2"/>
  <c r="H1035" i="2"/>
  <c r="G1035" i="2"/>
  <c r="D1035" i="2"/>
  <c r="O1034" i="2"/>
  <c r="N1034" i="2"/>
  <c r="M1034" i="2"/>
  <c r="L1034" i="2"/>
  <c r="H1034" i="2"/>
  <c r="G1034" i="2"/>
  <c r="D1034" i="2"/>
  <c r="O1033" i="2"/>
  <c r="N1033" i="2"/>
  <c r="M1033" i="2"/>
  <c r="L1033" i="2"/>
  <c r="H1033" i="2"/>
  <c r="G1033" i="2"/>
  <c r="D1033" i="2"/>
  <c r="O1032" i="2"/>
  <c r="N1032" i="2"/>
  <c r="M1032" i="2"/>
  <c r="L1032" i="2"/>
  <c r="H1032" i="2"/>
  <c r="G1032" i="2"/>
  <c r="D1032" i="2"/>
  <c r="O1031" i="2"/>
  <c r="N1031" i="2"/>
  <c r="M1031" i="2"/>
  <c r="L1031" i="2"/>
  <c r="H1031" i="2"/>
  <c r="G1031" i="2"/>
  <c r="D1031" i="2"/>
  <c r="O1030" i="2"/>
  <c r="N1030" i="2"/>
  <c r="M1030" i="2"/>
  <c r="L1030" i="2"/>
  <c r="H1030" i="2"/>
  <c r="G1030" i="2"/>
  <c r="D1030" i="2"/>
  <c r="O1029" i="2"/>
  <c r="N1029" i="2"/>
  <c r="M1029" i="2"/>
  <c r="L1029" i="2"/>
  <c r="H1029" i="2"/>
  <c r="G1029" i="2"/>
  <c r="D1029" i="2"/>
  <c r="O1028" i="2"/>
  <c r="N1028" i="2"/>
  <c r="M1028" i="2"/>
  <c r="L1028" i="2"/>
  <c r="H1028" i="2"/>
  <c r="G1028" i="2"/>
  <c r="D1028" i="2"/>
  <c r="O1027" i="2"/>
  <c r="N1027" i="2"/>
  <c r="M1027" i="2"/>
  <c r="L1027" i="2"/>
  <c r="H1027" i="2"/>
  <c r="G1027" i="2"/>
  <c r="D1027" i="2"/>
  <c r="O1026" i="2"/>
  <c r="N1026" i="2"/>
  <c r="M1026" i="2"/>
  <c r="L1026" i="2"/>
  <c r="H1026" i="2"/>
  <c r="G1026" i="2"/>
  <c r="D1026" i="2"/>
  <c r="O1025" i="2"/>
  <c r="N1025" i="2"/>
  <c r="M1025" i="2"/>
  <c r="L1025" i="2"/>
  <c r="H1025" i="2"/>
  <c r="G1025" i="2"/>
  <c r="D1025" i="2"/>
  <c r="O1024" i="2"/>
  <c r="N1024" i="2"/>
  <c r="M1024" i="2"/>
  <c r="L1024" i="2"/>
  <c r="H1024" i="2"/>
  <c r="G1024" i="2"/>
  <c r="D1024" i="2"/>
  <c r="O1023" i="2"/>
  <c r="N1023" i="2"/>
  <c r="M1023" i="2"/>
  <c r="L1023" i="2"/>
  <c r="H1023" i="2"/>
  <c r="G1023" i="2"/>
  <c r="D1023" i="2"/>
  <c r="O1022" i="2"/>
  <c r="N1022" i="2"/>
  <c r="M1022" i="2"/>
  <c r="L1022" i="2"/>
  <c r="H1022" i="2"/>
  <c r="G1022" i="2"/>
  <c r="D1022" i="2"/>
  <c r="O1021" i="2"/>
  <c r="N1021" i="2"/>
  <c r="M1021" i="2"/>
  <c r="L1021" i="2"/>
  <c r="H1021" i="2"/>
  <c r="G1021" i="2"/>
  <c r="D1021" i="2"/>
  <c r="O1020" i="2"/>
  <c r="N1020" i="2"/>
  <c r="M1020" i="2"/>
  <c r="L1020" i="2"/>
  <c r="H1020" i="2"/>
  <c r="G1020" i="2"/>
  <c r="D1020" i="2"/>
  <c r="O1019" i="2"/>
  <c r="N1019" i="2"/>
  <c r="M1019" i="2"/>
  <c r="L1019" i="2"/>
  <c r="H1019" i="2"/>
  <c r="G1019" i="2"/>
  <c r="D1019" i="2"/>
  <c r="O1018" i="2"/>
  <c r="N1018" i="2"/>
  <c r="M1018" i="2"/>
  <c r="L1018" i="2"/>
  <c r="H1018" i="2"/>
  <c r="G1018" i="2"/>
  <c r="D1018" i="2"/>
  <c r="O1017" i="2"/>
  <c r="N1017" i="2"/>
  <c r="M1017" i="2"/>
  <c r="L1017" i="2"/>
  <c r="H1017" i="2"/>
  <c r="G1017" i="2"/>
  <c r="D1017" i="2"/>
  <c r="O1016" i="2"/>
  <c r="N1016" i="2"/>
  <c r="M1016" i="2"/>
  <c r="L1016" i="2"/>
  <c r="H1016" i="2"/>
  <c r="G1016" i="2"/>
  <c r="D1016" i="2"/>
  <c r="O1015" i="2"/>
  <c r="N1015" i="2"/>
  <c r="M1015" i="2"/>
  <c r="L1015" i="2"/>
  <c r="H1015" i="2"/>
  <c r="G1015" i="2"/>
  <c r="D1015" i="2"/>
  <c r="O1014" i="2"/>
  <c r="N1014" i="2"/>
  <c r="M1014" i="2"/>
  <c r="L1014" i="2"/>
  <c r="H1014" i="2"/>
  <c r="G1014" i="2"/>
  <c r="D1014" i="2"/>
  <c r="O1013" i="2"/>
  <c r="N1013" i="2"/>
  <c r="M1013" i="2"/>
  <c r="L1013" i="2"/>
  <c r="H1013" i="2"/>
  <c r="G1013" i="2"/>
  <c r="D1013" i="2"/>
  <c r="O1012" i="2"/>
  <c r="N1012" i="2"/>
  <c r="M1012" i="2"/>
  <c r="L1012" i="2"/>
  <c r="H1012" i="2"/>
  <c r="G1012" i="2"/>
  <c r="D1012" i="2"/>
  <c r="O1011" i="2"/>
  <c r="N1011" i="2"/>
  <c r="M1011" i="2"/>
  <c r="L1011" i="2"/>
  <c r="H1011" i="2"/>
  <c r="G1011" i="2"/>
  <c r="D1011" i="2"/>
  <c r="O1010" i="2"/>
  <c r="N1010" i="2"/>
  <c r="M1010" i="2"/>
  <c r="L1010" i="2"/>
  <c r="H1010" i="2"/>
  <c r="G1010" i="2"/>
  <c r="D1010" i="2"/>
  <c r="O1009" i="2"/>
  <c r="N1009" i="2"/>
  <c r="M1009" i="2"/>
  <c r="L1009" i="2"/>
  <c r="H1009" i="2"/>
  <c r="G1009" i="2"/>
  <c r="D1009" i="2"/>
  <c r="O1008" i="2"/>
  <c r="N1008" i="2"/>
  <c r="M1008" i="2"/>
  <c r="L1008" i="2"/>
  <c r="H1008" i="2"/>
  <c r="G1008" i="2"/>
  <c r="D1008" i="2"/>
  <c r="O1007" i="2"/>
  <c r="N1007" i="2"/>
  <c r="M1007" i="2"/>
  <c r="L1007" i="2"/>
  <c r="H1007" i="2"/>
  <c r="G1007" i="2"/>
  <c r="D1007" i="2"/>
  <c r="O1006" i="2"/>
  <c r="N1006" i="2"/>
  <c r="M1006" i="2"/>
  <c r="L1006" i="2"/>
  <c r="H1006" i="2"/>
  <c r="G1006" i="2"/>
  <c r="D1006" i="2"/>
  <c r="O1005" i="2"/>
  <c r="N1005" i="2"/>
  <c r="M1005" i="2"/>
  <c r="L1005" i="2"/>
  <c r="H1005" i="2"/>
  <c r="G1005" i="2"/>
  <c r="D1005" i="2"/>
  <c r="O1004" i="2"/>
  <c r="N1004" i="2"/>
  <c r="M1004" i="2"/>
  <c r="L1004" i="2"/>
  <c r="H1004" i="2"/>
  <c r="G1004" i="2"/>
  <c r="D1004" i="2"/>
  <c r="O1003" i="2"/>
  <c r="N1003" i="2"/>
  <c r="M1003" i="2"/>
  <c r="L1003" i="2"/>
  <c r="H1003" i="2"/>
  <c r="G1003" i="2"/>
  <c r="D1003" i="2"/>
  <c r="O1002" i="2"/>
  <c r="N1002" i="2"/>
  <c r="M1002" i="2"/>
  <c r="L1002" i="2"/>
  <c r="H1002" i="2"/>
  <c r="G1002" i="2"/>
  <c r="D1002" i="2"/>
  <c r="O1001" i="2"/>
  <c r="N1001" i="2"/>
  <c r="M1001" i="2"/>
  <c r="L1001" i="2"/>
  <c r="H1001" i="2"/>
  <c r="G1001" i="2"/>
  <c r="D1001" i="2"/>
  <c r="O1000" i="2"/>
  <c r="N1000" i="2"/>
  <c r="M1000" i="2"/>
  <c r="L1000" i="2"/>
  <c r="H1000" i="2"/>
  <c r="G1000" i="2"/>
  <c r="D1000" i="2"/>
  <c r="O999" i="2"/>
  <c r="N999" i="2"/>
  <c r="M999" i="2"/>
  <c r="L999" i="2"/>
  <c r="H999" i="2"/>
  <c r="G999" i="2"/>
  <c r="D999" i="2"/>
  <c r="O998" i="2"/>
  <c r="N998" i="2"/>
  <c r="M998" i="2"/>
  <c r="L998" i="2"/>
  <c r="H998" i="2"/>
  <c r="G998" i="2"/>
  <c r="D998" i="2"/>
  <c r="O997" i="2"/>
  <c r="N997" i="2"/>
  <c r="M997" i="2"/>
  <c r="L997" i="2"/>
  <c r="H997" i="2"/>
  <c r="G997" i="2"/>
  <c r="D997" i="2"/>
  <c r="O996" i="2"/>
  <c r="N996" i="2"/>
  <c r="M996" i="2"/>
  <c r="L996" i="2"/>
  <c r="H996" i="2"/>
  <c r="G996" i="2"/>
  <c r="D996" i="2"/>
  <c r="O995" i="2"/>
  <c r="N995" i="2"/>
  <c r="M995" i="2"/>
  <c r="L995" i="2"/>
  <c r="H995" i="2"/>
  <c r="G995" i="2"/>
  <c r="D995" i="2"/>
  <c r="O994" i="2"/>
  <c r="N994" i="2"/>
  <c r="M994" i="2"/>
  <c r="L994" i="2"/>
  <c r="H994" i="2"/>
  <c r="G994" i="2"/>
  <c r="D994" i="2"/>
  <c r="O993" i="2"/>
  <c r="N993" i="2"/>
  <c r="M993" i="2"/>
  <c r="L993" i="2"/>
  <c r="H993" i="2"/>
  <c r="G993" i="2"/>
  <c r="D993" i="2"/>
  <c r="O992" i="2"/>
  <c r="N992" i="2"/>
  <c r="M992" i="2"/>
  <c r="L992" i="2"/>
  <c r="H992" i="2"/>
  <c r="G992" i="2"/>
  <c r="D992" i="2"/>
  <c r="O991" i="2"/>
  <c r="N991" i="2"/>
  <c r="M991" i="2"/>
  <c r="L991" i="2"/>
  <c r="H991" i="2"/>
  <c r="G991" i="2"/>
  <c r="D991" i="2"/>
  <c r="O990" i="2"/>
  <c r="N990" i="2"/>
  <c r="M990" i="2"/>
  <c r="L990" i="2"/>
  <c r="H990" i="2"/>
  <c r="G990" i="2"/>
  <c r="D990" i="2"/>
  <c r="O989" i="2"/>
  <c r="N989" i="2"/>
  <c r="M989" i="2"/>
  <c r="L989" i="2"/>
  <c r="H989" i="2"/>
  <c r="G989" i="2"/>
  <c r="D989" i="2"/>
  <c r="O988" i="2"/>
  <c r="N988" i="2"/>
  <c r="M988" i="2"/>
  <c r="L988" i="2"/>
  <c r="H988" i="2"/>
  <c r="G988" i="2"/>
  <c r="D988" i="2"/>
  <c r="O987" i="2"/>
  <c r="N987" i="2"/>
  <c r="M987" i="2"/>
  <c r="L987" i="2"/>
  <c r="H987" i="2"/>
  <c r="G987" i="2"/>
  <c r="D987" i="2"/>
  <c r="O986" i="2"/>
  <c r="N986" i="2"/>
  <c r="M986" i="2"/>
  <c r="L986" i="2"/>
  <c r="H986" i="2"/>
  <c r="G986" i="2"/>
  <c r="D986" i="2"/>
  <c r="O985" i="2"/>
  <c r="N985" i="2"/>
  <c r="M985" i="2"/>
  <c r="L985" i="2"/>
  <c r="H985" i="2"/>
  <c r="G985" i="2"/>
  <c r="D985" i="2"/>
  <c r="O984" i="2"/>
  <c r="N984" i="2"/>
  <c r="M984" i="2"/>
  <c r="L984" i="2"/>
  <c r="H984" i="2"/>
  <c r="G984" i="2"/>
  <c r="D984" i="2"/>
  <c r="O983" i="2"/>
  <c r="N983" i="2"/>
  <c r="M983" i="2"/>
  <c r="L983" i="2"/>
  <c r="H983" i="2"/>
  <c r="G983" i="2"/>
  <c r="D983" i="2"/>
  <c r="O982" i="2"/>
  <c r="N982" i="2"/>
  <c r="M982" i="2"/>
  <c r="L982" i="2"/>
  <c r="H982" i="2"/>
  <c r="G982" i="2"/>
  <c r="D982" i="2"/>
  <c r="O981" i="2"/>
  <c r="N981" i="2"/>
  <c r="M981" i="2"/>
  <c r="L981" i="2"/>
  <c r="H981" i="2"/>
  <c r="G981" i="2"/>
  <c r="D981" i="2"/>
  <c r="O980" i="2"/>
  <c r="N980" i="2"/>
  <c r="M980" i="2"/>
  <c r="L980" i="2"/>
  <c r="H980" i="2"/>
  <c r="G980" i="2"/>
  <c r="D980" i="2"/>
  <c r="O979" i="2"/>
  <c r="N979" i="2"/>
  <c r="M979" i="2"/>
  <c r="L979" i="2"/>
  <c r="H979" i="2"/>
  <c r="G979" i="2"/>
  <c r="D979" i="2"/>
  <c r="O978" i="2"/>
  <c r="N978" i="2"/>
  <c r="M978" i="2"/>
  <c r="L978" i="2"/>
  <c r="H978" i="2"/>
  <c r="G978" i="2"/>
  <c r="D978" i="2"/>
  <c r="O977" i="2"/>
  <c r="N977" i="2"/>
  <c r="M977" i="2"/>
  <c r="L977" i="2"/>
  <c r="H977" i="2"/>
  <c r="G977" i="2"/>
  <c r="D977" i="2"/>
  <c r="O976" i="2"/>
  <c r="N976" i="2"/>
  <c r="M976" i="2"/>
  <c r="L976" i="2"/>
  <c r="H976" i="2"/>
  <c r="G976" i="2"/>
  <c r="D976" i="2"/>
  <c r="O975" i="2"/>
  <c r="N975" i="2"/>
  <c r="M975" i="2"/>
  <c r="L975" i="2"/>
  <c r="H975" i="2"/>
  <c r="G975" i="2"/>
  <c r="D975" i="2"/>
  <c r="O974" i="2"/>
  <c r="N974" i="2"/>
  <c r="M974" i="2"/>
  <c r="L974" i="2"/>
  <c r="H974" i="2"/>
  <c r="G974" i="2"/>
  <c r="D974" i="2"/>
  <c r="O973" i="2"/>
  <c r="N973" i="2"/>
  <c r="M973" i="2"/>
  <c r="L973" i="2"/>
  <c r="H973" i="2"/>
  <c r="G973" i="2"/>
  <c r="D973" i="2"/>
  <c r="O972" i="2"/>
  <c r="N972" i="2"/>
  <c r="M972" i="2"/>
  <c r="L972" i="2"/>
  <c r="H972" i="2"/>
  <c r="G972" i="2"/>
  <c r="D972" i="2"/>
  <c r="O971" i="2"/>
  <c r="N971" i="2"/>
  <c r="M971" i="2"/>
  <c r="L971" i="2"/>
  <c r="H971" i="2"/>
  <c r="G971" i="2"/>
  <c r="D971" i="2"/>
  <c r="O970" i="2"/>
  <c r="N970" i="2"/>
  <c r="M970" i="2"/>
  <c r="L970" i="2"/>
  <c r="H970" i="2"/>
  <c r="G970" i="2"/>
  <c r="D970" i="2"/>
  <c r="O969" i="2"/>
  <c r="N969" i="2"/>
  <c r="M969" i="2"/>
  <c r="L969" i="2"/>
  <c r="H969" i="2"/>
  <c r="G969" i="2"/>
  <c r="D969" i="2"/>
  <c r="O968" i="2"/>
  <c r="N968" i="2"/>
  <c r="M968" i="2"/>
  <c r="L968" i="2"/>
  <c r="H968" i="2"/>
  <c r="G968" i="2"/>
  <c r="D968" i="2"/>
  <c r="O967" i="2"/>
  <c r="N967" i="2"/>
  <c r="M967" i="2"/>
  <c r="L967" i="2"/>
  <c r="H967" i="2"/>
  <c r="G967" i="2"/>
  <c r="D967" i="2"/>
  <c r="O966" i="2"/>
  <c r="N966" i="2"/>
  <c r="M966" i="2"/>
  <c r="L966" i="2"/>
  <c r="H966" i="2"/>
  <c r="G966" i="2"/>
  <c r="D966" i="2"/>
  <c r="O965" i="2"/>
  <c r="N965" i="2"/>
  <c r="M965" i="2"/>
  <c r="L965" i="2"/>
  <c r="H965" i="2"/>
  <c r="G965" i="2"/>
  <c r="D965" i="2"/>
  <c r="O964" i="2"/>
  <c r="N964" i="2"/>
  <c r="M964" i="2"/>
  <c r="L964" i="2"/>
  <c r="H964" i="2"/>
  <c r="G964" i="2"/>
  <c r="D964" i="2"/>
  <c r="O963" i="2"/>
  <c r="N963" i="2"/>
  <c r="M963" i="2"/>
  <c r="L963" i="2"/>
  <c r="H963" i="2"/>
  <c r="G963" i="2"/>
  <c r="D963" i="2"/>
  <c r="O962" i="2"/>
  <c r="N962" i="2"/>
  <c r="M962" i="2"/>
  <c r="L962" i="2"/>
  <c r="H962" i="2"/>
  <c r="G962" i="2"/>
  <c r="D962" i="2"/>
  <c r="O961" i="2"/>
  <c r="N961" i="2"/>
  <c r="M961" i="2"/>
  <c r="L961" i="2"/>
  <c r="H961" i="2"/>
  <c r="G961" i="2"/>
  <c r="D961" i="2"/>
  <c r="O960" i="2"/>
  <c r="N960" i="2"/>
  <c r="M960" i="2"/>
  <c r="L960" i="2"/>
  <c r="H960" i="2"/>
  <c r="G960" i="2"/>
  <c r="D960" i="2"/>
  <c r="O959" i="2"/>
  <c r="N959" i="2"/>
  <c r="M959" i="2"/>
  <c r="L959" i="2"/>
  <c r="H959" i="2"/>
  <c r="G959" i="2"/>
  <c r="D959" i="2"/>
  <c r="O958" i="2"/>
  <c r="N958" i="2"/>
  <c r="M958" i="2"/>
  <c r="L958" i="2"/>
  <c r="H958" i="2"/>
  <c r="G958" i="2"/>
  <c r="D958" i="2"/>
  <c r="O957" i="2"/>
  <c r="N957" i="2"/>
  <c r="M957" i="2"/>
  <c r="L957" i="2"/>
  <c r="H957" i="2"/>
  <c r="G957" i="2"/>
  <c r="D957" i="2"/>
  <c r="O956" i="2"/>
  <c r="N956" i="2"/>
  <c r="M956" i="2"/>
  <c r="L956" i="2"/>
  <c r="H956" i="2"/>
  <c r="G956" i="2"/>
  <c r="D956" i="2"/>
  <c r="O955" i="2"/>
  <c r="N955" i="2"/>
  <c r="M955" i="2"/>
  <c r="L955" i="2"/>
  <c r="H955" i="2"/>
  <c r="G955" i="2"/>
  <c r="D955" i="2"/>
  <c r="O954" i="2"/>
  <c r="N954" i="2"/>
  <c r="M954" i="2"/>
  <c r="L954" i="2"/>
  <c r="H954" i="2"/>
  <c r="G954" i="2"/>
  <c r="D954" i="2"/>
  <c r="O953" i="2"/>
  <c r="N953" i="2"/>
  <c r="M953" i="2"/>
  <c r="L953" i="2"/>
  <c r="H953" i="2"/>
  <c r="G953" i="2"/>
  <c r="D953" i="2"/>
  <c r="O952" i="2"/>
  <c r="N952" i="2"/>
  <c r="M952" i="2"/>
  <c r="L952" i="2"/>
  <c r="H952" i="2"/>
  <c r="G952" i="2"/>
  <c r="D952" i="2"/>
  <c r="O951" i="2"/>
  <c r="N951" i="2"/>
  <c r="M951" i="2"/>
  <c r="L951" i="2"/>
  <c r="H951" i="2"/>
  <c r="G951" i="2"/>
  <c r="D951" i="2"/>
  <c r="O950" i="2"/>
  <c r="N950" i="2"/>
  <c r="M950" i="2"/>
  <c r="L950" i="2"/>
  <c r="H950" i="2"/>
  <c r="G950" i="2"/>
  <c r="D950" i="2"/>
  <c r="O949" i="2"/>
  <c r="N949" i="2"/>
  <c r="M949" i="2"/>
  <c r="L949" i="2"/>
  <c r="H949" i="2"/>
  <c r="G949" i="2"/>
  <c r="D949" i="2"/>
  <c r="O948" i="2"/>
  <c r="N948" i="2"/>
  <c r="M948" i="2"/>
  <c r="L948" i="2"/>
  <c r="H948" i="2"/>
  <c r="G948" i="2"/>
  <c r="D948" i="2"/>
  <c r="O947" i="2"/>
  <c r="N947" i="2"/>
  <c r="M947" i="2"/>
  <c r="L947" i="2"/>
  <c r="H947" i="2"/>
  <c r="G947" i="2"/>
  <c r="D947" i="2"/>
  <c r="O946" i="2"/>
  <c r="N946" i="2"/>
  <c r="M946" i="2"/>
  <c r="L946" i="2"/>
  <c r="H946" i="2"/>
  <c r="G946" i="2"/>
  <c r="D946" i="2"/>
  <c r="O945" i="2"/>
  <c r="N945" i="2"/>
  <c r="M945" i="2"/>
  <c r="L945" i="2"/>
  <c r="H945" i="2"/>
  <c r="G945" i="2"/>
  <c r="D945" i="2"/>
  <c r="O944" i="2"/>
  <c r="N944" i="2"/>
  <c r="M944" i="2"/>
  <c r="L944" i="2"/>
  <c r="H944" i="2"/>
  <c r="G944" i="2"/>
  <c r="D944" i="2"/>
  <c r="O943" i="2"/>
  <c r="N943" i="2"/>
  <c r="M943" i="2"/>
  <c r="L943" i="2"/>
  <c r="H943" i="2"/>
  <c r="G943" i="2"/>
  <c r="D943" i="2"/>
  <c r="O942" i="2"/>
  <c r="N942" i="2"/>
  <c r="M942" i="2"/>
  <c r="L942" i="2"/>
  <c r="H942" i="2"/>
  <c r="G942" i="2"/>
  <c r="D942" i="2"/>
  <c r="O941" i="2"/>
  <c r="N941" i="2"/>
  <c r="M941" i="2"/>
  <c r="L941" i="2"/>
  <c r="H941" i="2"/>
  <c r="G941" i="2"/>
  <c r="D941" i="2"/>
  <c r="O940" i="2"/>
  <c r="N940" i="2"/>
  <c r="M940" i="2"/>
  <c r="L940" i="2"/>
  <c r="H940" i="2"/>
  <c r="G940" i="2"/>
  <c r="D940" i="2"/>
  <c r="O939" i="2"/>
  <c r="N939" i="2"/>
  <c r="M939" i="2"/>
  <c r="L939" i="2"/>
  <c r="H939" i="2"/>
  <c r="G939" i="2"/>
  <c r="D939" i="2"/>
  <c r="O938" i="2"/>
  <c r="N938" i="2"/>
  <c r="M938" i="2"/>
  <c r="L938" i="2"/>
  <c r="H938" i="2"/>
  <c r="G938" i="2"/>
  <c r="D938" i="2"/>
  <c r="O937" i="2"/>
  <c r="N937" i="2"/>
  <c r="M937" i="2"/>
  <c r="L937" i="2"/>
  <c r="H937" i="2"/>
  <c r="G937" i="2"/>
  <c r="D937" i="2"/>
  <c r="O936" i="2"/>
  <c r="N936" i="2"/>
  <c r="M936" i="2"/>
  <c r="L936" i="2"/>
  <c r="H936" i="2"/>
  <c r="G936" i="2"/>
  <c r="D936" i="2"/>
  <c r="O935" i="2"/>
  <c r="N935" i="2"/>
  <c r="M935" i="2"/>
  <c r="L935" i="2"/>
  <c r="H935" i="2"/>
  <c r="G935" i="2"/>
  <c r="D935" i="2"/>
  <c r="O934" i="2"/>
  <c r="N934" i="2"/>
  <c r="M934" i="2"/>
  <c r="L934" i="2"/>
  <c r="H934" i="2"/>
  <c r="G934" i="2"/>
  <c r="D934" i="2"/>
  <c r="O933" i="2"/>
  <c r="N933" i="2"/>
  <c r="M933" i="2"/>
  <c r="L933" i="2"/>
  <c r="H933" i="2"/>
  <c r="G933" i="2"/>
  <c r="D933" i="2"/>
  <c r="O932" i="2"/>
  <c r="N932" i="2"/>
  <c r="M932" i="2"/>
  <c r="L932" i="2"/>
  <c r="H932" i="2"/>
  <c r="G932" i="2"/>
  <c r="D932" i="2"/>
  <c r="O931" i="2"/>
  <c r="N931" i="2"/>
  <c r="M931" i="2"/>
  <c r="L931" i="2"/>
  <c r="H931" i="2"/>
  <c r="G931" i="2"/>
  <c r="D931" i="2"/>
  <c r="O930" i="2"/>
  <c r="N930" i="2"/>
  <c r="M930" i="2"/>
  <c r="L930" i="2"/>
  <c r="H930" i="2"/>
  <c r="G930" i="2"/>
  <c r="D930" i="2"/>
  <c r="O929" i="2"/>
  <c r="N929" i="2"/>
  <c r="M929" i="2"/>
  <c r="L929" i="2"/>
  <c r="H929" i="2"/>
  <c r="G929" i="2"/>
  <c r="D929" i="2"/>
  <c r="O928" i="2"/>
  <c r="N928" i="2"/>
  <c r="M928" i="2"/>
  <c r="L928" i="2"/>
  <c r="H928" i="2"/>
  <c r="G928" i="2"/>
  <c r="D928" i="2"/>
  <c r="O927" i="2"/>
  <c r="N927" i="2"/>
  <c r="M927" i="2"/>
  <c r="L927" i="2"/>
  <c r="H927" i="2"/>
  <c r="G927" i="2"/>
  <c r="D927" i="2"/>
  <c r="O926" i="2"/>
  <c r="N926" i="2"/>
  <c r="M926" i="2"/>
  <c r="L926" i="2"/>
  <c r="H926" i="2"/>
  <c r="G926" i="2"/>
  <c r="D926" i="2"/>
  <c r="O925" i="2"/>
  <c r="N925" i="2"/>
  <c r="M925" i="2"/>
  <c r="L925" i="2"/>
  <c r="H925" i="2"/>
  <c r="G925" i="2"/>
  <c r="D925" i="2"/>
  <c r="O924" i="2"/>
  <c r="N924" i="2"/>
  <c r="M924" i="2"/>
  <c r="L924" i="2"/>
  <c r="H924" i="2"/>
  <c r="G924" i="2"/>
  <c r="D924" i="2"/>
  <c r="O923" i="2"/>
  <c r="N923" i="2"/>
  <c r="M923" i="2"/>
  <c r="L923" i="2"/>
  <c r="H923" i="2"/>
  <c r="G923" i="2"/>
  <c r="D923" i="2"/>
  <c r="O922" i="2"/>
  <c r="N922" i="2"/>
  <c r="M922" i="2"/>
  <c r="L922" i="2"/>
  <c r="H922" i="2"/>
  <c r="G922" i="2"/>
  <c r="D922" i="2"/>
  <c r="O921" i="2"/>
  <c r="N921" i="2"/>
  <c r="M921" i="2"/>
  <c r="L921" i="2"/>
  <c r="H921" i="2"/>
  <c r="G921" i="2"/>
  <c r="D921" i="2"/>
  <c r="O920" i="2"/>
  <c r="N920" i="2"/>
  <c r="M920" i="2"/>
  <c r="L920" i="2"/>
  <c r="H920" i="2"/>
  <c r="G920" i="2"/>
  <c r="D920" i="2"/>
  <c r="O919" i="2"/>
  <c r="N919" i="2"/>
  <c r="M919" i="2"/>
  <c r="L919" i="2"/>
  <c r="H919" i="2"/>
  <c r="G919" i="2"/>
  <c r="D919" i="2"/>
  <c r="O918" i="2"/>
  <c r="N918" i="2"/>
  <c r="M918" i="2"/>
  <c r="L918" i="2"/>
  <c r="H918" i="2"/>
  <c r="G918" i="2"/>
  <c r="D918" i="2"/>
  <c r="O917" i="2"/>
  <c r="N917" i="2"/>
  <c r="M917" i="2"/>
  <c r="L917" i="2"/>
  <c r="H917" i="2"/>
  <c r="G917" i="2"/>
  <c r="D917" i="2"/>
  <c r="O916" i="2"/>
  <c r="N916" i="2"/>
  <c r="M916" i="2"/>
  <c r="L916" i="2"/>
  <c r="H916" i="2"/>
  <c r="G916" i="2"/>
  <c r="D916" i="2"/>
  <c r="O915" i="2"/>
  <c r="N915" i="2"/>
  <c r="M915" i="2"/>
  <c r="L915" i="2"/>
  <c r="H915" i="2"/>
  <c r="G915" i="2"/>
  <c r="D915" i="2"/>
  <c r="O914" i="2"/>
  <c r="N914" i="2"/>
  <c r="M914" i="2"/>
  <c r="L914" i="2"/>
  <c r="H914" i="2"/>
  <c r="G914" i="2"/>
  <c r="D914" i="2"/>
  <c r="O913" i="2"/>
  <c r="N913" i="2"/>
  <c r="M913" i="2"/>
  <c r="L913" i="2"/>
  <c r="H913" i="2"/>
  <c r="G913" i="2"/>
  <c r="D913" i="2"/>
  <c r="O912" i="2"/>
  <c r="N912" i="2"/>
  <c r="M912" i="2"/>
  <c r="L912" i="2"/>
  <c r="H912" i="2"/>
  <c r="G912" i="2"/>
  <c r="D912" i="2"/>
  <c r="O911" i="2"/>
  <c r="N911" i="2"/>
  <c r="M911" i="2"/>
  <c r="L911" i="2"/>
  <c r="H911" i="2"/>
  <c r="G911" i="2"/>
  <c r="D911" i="2"/>
  <c r="O910" i="2"/>
  <c r="N910" i="2"/>
  <c r="M910" i="2"/>
  <c r="L910" i="2"/>
  <c r="H910" i="2"/>
  <c r="G910" i="2"/>
  <c r="D910" i="2"/>
  <c r="O909" i="2"/>
  <c r="N909" i="2"/>
  <c r="M909" i="2"/>
  <c r="L909" i="2"/>
  <c r="H909" i="2"/>
  <c r="G909" i="2"/>
  <c r="D909" i="2"/>
  <c r="O908" i="2"/>
  <c r="N908" i="2"/>
  <c r="M908" i="2"/>
  <c r="L908" i="2"/>
  <c r="H908" i="2"/>
  <c r="G908" i="2"/>
  <c r="D908" i="2"/>
  <c r="O907" i="2"/>
  <c r="N907" i="2"/>
  <c r="M907" i="2"/>
  <c r="L907" i="2"/>
  <c r="H907" i="2"/>
  <c r="G907" i="2"/>
  <c r="D907" i="2"/>
  <c r="O906" i="2"/>
  <c r="N906" i="2"/>
  <c r="M906" i="2"/>
  <c r="L906" i="2"/>
  <c r="H906" i="2"/>
  <c r="G906" i="2"/>
  <c r="D906" i="2"/>
  <c r="O905" i="2"/>
  <c r="N905" i="2"/>
  <c r="M905" i="2"/>
  <c r="L905" i="2"/>
  <c r="H905" i="2"/>
  <c r="G905" i="2"/>
  <c r="D905" i="2"/>
  <c r="O904" i="2"/>
  <c r="N904" i="2"/>
  <c r="M904" i="2"/>
  <c r="L904" i="2"/>
  <c r="H904" i="2"/>
  <c r="G904" i="2"/>
  <c r="D904" i="2"/>
  <c r="O903" i="2"/>
  <c r="N903" i="2"/>
  <c r="M903" i="2"/>
  <c r="L903" i="2"/>
  <c r="H903" i="2"/>
  <c r="G903" i="2"/>
  <c r="D903" i="2"/>
  <c r="O902" i="2"/>
  <c r="N902" i="2"/>
  <c r="M902" i="2"/>
  <c r="L902" i="2"/>
  <c r="H902" i="2"/>
  <c r="G902" i="2"/>
  <c r="D902" i="2"/>
  <c r="O901" i="2"/>
  <c r="N901" i="2"/>
  <c r="M901" i="2"/>
  <c r="L901" i="2"/>
  <c r="H901" i="2"/>
  <c r="G901" i="2"/>
  <c r="D901" i="2"/>
  <c r="O900" i="2"/>
  <c r="N900" i="2"/>
  <c r="M900" i="2"/>
  <c r="L900" i="2"/>
  <c r="H900" i="2"/>
  <c r="G900" i="2"/>
  <c r="D900" i="2"/>
  <c r="O899" i="2"/>
  <c r="N899" i="2"/>
  <c r="M899" i="2"/>
  <c r="L899" i="2"/>
  <c r="H899" i="2"/>
  <c r="G899" i="2"/>
  <c r="D899" i="2"/>
  <c r="O898" i="2"/>
  <c r="N898" i="2"/>
  <c r="M898" i="2"/>
  <c r="L898" i="2"/>
  <c r="H898" i="2"/>
  <c r="G898" i="2"/>
  <c r="D898" i="2"/>
  <c r="O897" i="2"/>
  <c r="N897" i="2"/>
  <c r="M897" i="2"/>
  <c r="L897" i="2"/>
  <c r="H897" i="2"/>
  <c r="G897" i="2"/>
  <c r="D897" i="2"/>
  <c r="O896" i="2"/>
  <c r="N896" i="2"/>
  <c r="M896" i="2"/>
  <c r="L896" i="2"/>
  <c r="H896" i="2"/>
  <c r="G896" i="2"/>
  <c r="D896" i="2"/>
  <c r="O895" i="2"/>
  <c r="N895" i="2"/>
  <c r="M895" i="2"/>
  <c r="L895" i="2"/>
  <c r="H895" i="2"/>
  <c r="G895" i="2"/>
  <c r="D895" i="2"/>
  <c r="O894" i="2"/>
  <c r="N894" i="2"/>
  <c r="M894" i="2"/>
  <c r="L894" i="2"/>
  <c r="H894" i="2"/>
  <c r="G894" i="2"/>
  <c r="D894" i="2"/>
  <c r="O893" i="2"/>
  <c r="N893" i="2"/>
  <c r="M893" i="2"/>
  <c r="L893" i="2"/>
  <c r="H893" i="2"/>
  <c r="G893" i="2"/>
  <c r="D893" i="2"/>
  <c r="O892" i="2"/>
  <c r="N892" i="2"/>
  <c r="M892" i="2"/>
  <c r="L892" i="2"/>
  <c r="H892" i="2"/>
  <c r="G892" i="2"/>
  <c r="D892" i="2"/>
  <c r="O891" i="2"/>
  <c r="N891" i="2"/>
  <c r="M891" i="2"/>
  <c r="L891" i="2"/>
  <c r="H891" i="2"/>
  <c r="G891" i="2"/>
  <c r="D891" i="2"/>
  <c r="O890" i="2"/>
  <c r="N890" i="2"/>
  <c r="M890" i="2"/>
  <c r="L890" i="2"/>
  <c r="H890" i="2"/>
  <c r="G890" i="2"/>
  <c r="D890" i="2"/>
  <c r="O889" i="2"/>
  <c r="N889" i="2"/>
  <c r="M889" i="2"/>
  <c r="L889" i="2"/>
  <c r="H889" i="2"/>
  <c r="G889" i="2"/>
  <c r="D889" i="2"/>
  <c r="O888" i="2"/>
  <c r="N888" i="2"/>
  <c r="M888" i="2"/>
  <c r="L888" i="2"/>
  <c r="H888" i="2"/>
  <c r="G888" i="2"/>
  <c r="D888" i="2"/>
  <c r="O887" i="2"/>
  <c r="N887" i="2"/>
  <c r="M887" i="2"/>
  <c r="L887" i="2"/>
  <c r="H887" i="2"/>
  <c r="G887" i="2"/>
  <c r="D887" i="2"/>
  <c r="O886" i="2"/>
  <c r="N886" i="2"/>
  <c r="M886" i="2"/>
  <c r="L886" i="2"/>
  <c r="H886" i="2"/>
  <c r="G886" i="2"/>
  <c r="D886" i="2"/>
  <c r="O885" i="2"/>
  <c r="N885" i="2"/>
  <c r="M885" i="2"/>
  <c r="L885" i="2"/>
  <c r="H885" i="2"/>
  <c r="G885" i="2"/>
  <c r="D885" i="2"/>
  <c r="O884" i="2"/>
  <c r="N884" i="2"/>
  <c r="M884" i="2"/>
  <c r="L884" i="2"/>
  <c r="H884" i="2"/>
  <c r="G884" i="2"/>
  <c r="D884" i="2"/>
  <c r="O883" i="2"/>
  <c r="N883" i="2"/>
  <c r="M883" i="2"/>
  <c r="L883" i="2"/>
  <c r="H883" i="2"/>
  <c r="G883" i="2"/>
  <c r="D883" i="2"/>
  <c r="O882" i="2"/>
  <c r="N882" i="2"/>
  <c r="M882" i="2"/>
  <c r="L882" i="2"/>
  <c r="H882" i="2"/>
  <c r="G882" i="2"/>
  <c r="D882" i="2"/>
  <c r="O881" i="2"/>
  <c r="N881" i="2"/>
  <c r="M881" i="2"/>
  <c r="L881" i="2"/>
  <c r="H881" i="2"/>
  <c r="G881" i="2"/>
  <c r="D881" i="2"/>
  <c r="O880" i="2"/>
  <c r="N880" i="2"/>
  <c r="M880" i="2"/>
  <c r="L880" i="2"/>
  <c r="H880" i="2"/>
  <c r="G880" i="2"/>
  <c r="D880" i="2"/>
  <c r="O879" i="2"/>
  <c r="N879" i="2"/>
  <c r="M879" i="2"/>
  <c r="L879" i="2"/>
  <c r="H879" i="2"/>
  <c r="G879" i="2"/>
  <c r="D879" i="2"/>
  <c r="O878" i="2"/>
  <c r="N878" i="2"/>
  <c r="M878" i="2"/>
  <c r="L878" i="2"/>
  <c r="H878" i="2"/>
  <c r="G878" i="2"/>
  <c r="D878" i="2"/>
  <c r="O877" i="2"/>
  <c r="N877" i="2"/>
  <c r="M877" i="2"/>
  <c r="L877" i="2"/>
  <c r="H877" i="2"/>
  <c r="G877" i="2"/>
  <c r="D877" i="2"/>
  <c r="O876" i="2"/>
  <c r="N876" i="2"/>
  <c r="M876" i="2"/>
  <c r="L876" i="2"/>
  <c r="H876" i="2"/>
  <c r="G876" i="2"/>
  <c r="D876" i="2"/>
  <c r="O875" i="2"/>
  <c r="N875" i="2"/>
  <c r="M875" i="2"/>
  <c r="L875" i="2"/>
  <c r="H875" i="2"/>
  <c r="G875" i="2"/>
  <c r="D875" i="2"/>
  <c r="O874" i="2"/>
  <c r="N874" i="2"/>
  <c r="M874" i="2"/>
  <c r="L874" i="2"/>
  <c r="H874" i="2"/>
  <c r="G874" i="2"/>
  <c r="D874" i="2"/>
  <c r="O873" i="2"/>
  <c r="N873" i="2"/>
  <c r="M873" i="2"/>
  <c r="L873" i="2"/>
  <c r="H873" i="2"/>
  <c r="G873" i="2"/>
  <c r="D873" i="2"/>
  <c r="O872" i="2"/>
  <c r="N872" i="2"/>
  <c r="M872" i="2"/>
  <c r="L872" i="2"/>
  <c r="H872" i="2"/>
  <c r="G872" i="2"/>
  <c r="D872" i="2"/>
  <c r="O871" i="2"/>
  <c r="N871" i="2"/>
  <c r="M871" i="2"/>
  <c r="L871" i="2"/>
  <c r="H871" i="2"/>
  <c r="G871" i="2"/>
  <c r="D871" i="2"/>
  <c r="O870" i="2"/>
  <c r="N870" i="2"/>
  <c r="M870" i="2"/>
  <c r="L870" i="2"/>
  <c r="H870" i="2"/>
  <c r="G870" i="2"/>
  <c r="D870" i="2"/>
  <c r="O869" i="2"/>
  <c r="N869" i="2"/>
  <c r="M869" i="2"/>
  <c r="L869" i="2"/>
  <c r="H869" i="2"/>
  <c r="G869" i="2"/>
  <c r="D869" i="2"/>
  <c r="O868" i="2"/>
  <c r="N868" i="2"/>
  <c r="M868" i="2"/>
  <c r="L868" i="2"/>
  <c r="H868" i="2"/>
  <c r="G868" i="2"/>
  <c r="D868" i="2"/>
  <c r="O867" i="2"/>
  <c r="N867" i="2"/>
  <c r="M867" i="2"/>
  <c r="L867" i="2"/>
  <c r="H867" i="2"/>
  <c r="G867" i="2"/>
  <c r="D867" i="2"/>
  <c r="O866" i="2"/>
  <c r="N866" i="2"/>
  <c r="M866" i="2"/>
  <c r="L866" i="2"/>
  <c r="H866" i="2"/>
  <c r="G866" i="2"/>
  <c r="D866" i="2"/>
  <c r="O865" i="2"/>
  <c r="N865" i="2"/>
  <c r="M865" i="2"/>
  <c r="L865" i="2"/>
  <c r="H865" i="2"/>
  <c r="G865" i="2"/>
  <c r="D865" i="2"/>
  <c r="O864" i="2"/>
  <c r="N864" i="2"/>
  <c r="M864" i="2"/>
  <c r="L864" i="2"/>
  <c r="H864" i="2"/>
  <c r="G864" i="2"/>
  <c r="D864" i="2"/>
  <c r="O863" i="2"/>
  <c r="N863" i="2"/>
  <c r="M863" i="2"/>
  <c r="L863" i="2"/>
  <c r="H863" i="2"/>
  <c r="G863" i="2"/>
  <c r="D863" i="2"/>
  <c r="O862" i="2"/>
  <c r="N862" i="2"/>
  <c r="M862" i="2"/>
  <c r="L862" i="2"/>
  <c r="H862" i="2"/>
  <c r="G862" i="2"/>
  <c r="D862" i="2"/>
  <c r="O861" i="2"/>
  <c r="N861" i="2"/>
  <c r="M861" i="2"/>
  <c r="L861" i="2"/>
  <c r="H861" i="2"/>
  <c r="G861" i="2"/>
  <c r="D861" i="2"/>
  <c r="O860" i="2"/>
  <c r="N860" i="2"/>
  <c r="M860" i="2"/>
  <c r="L860" i="2"/>
  <c r="H860" i="2"/>
  <c r="G860" i="2"/>
  <c r="D860" i="2"/>
  <c r="O859" i="2"/>
  <c r="N859" i="2"/>
  <c r="M859" i="2"/>
  <c r="L859" i="2"/>
  <c r="H859" i="2"/>
  <c r="G859" i="2"/>
  <c r="D859" i="2"/>
  <c r="O858" i="2"/>
  <c r="N858" i="2"/>
  <c r="M858" i="2"/>
  <c r="L858" i="2"/>
  <c r="H858" i="2"/>
  <c r="G858" i="2"/>
  <c r="D858" i="2"/>
  <c r="O857" i="2"/>
  <c r="N857" i="2"/>
  <c r="M857" i="2"/>
  <c r="L857" i="2"/>
  <c r="H857" i="2"/>
  <c r="G857" i="2"/>
  <c r="D857" i="2"/>
  <c r="O856" i="2"/>
  <c r="N856" i="2"/>
  <c r="M856" i="2"/>
  <c r="L856" i="2"/>
  <c r="H856" i="2"/>
  <c r="G856" i="2"/>
  <c r="D856" i="2"/>
  <c r="O855" i="2"/>
  <c r="N855" i="2"/>
  <c r="M855" i="2"/>
  <c r="L855" i="2"/>
  <c r="H855" i="2"/>
  <c r="G855" i="2"/>
  <c r="D855" i="2"/>
  <c r="O854" i="2"/>
  <c r="N854" i="2"/>
  <c r="M854" i="2"/>
  <c r="L854" i="2"/>
  <c r="H854" i="2"/>
  <c r="G854" i="2"/>
  <c r="D854" i="2"/>
  <c r="O853" i="2"/>
  <c r="N853" i="2"/>
  <c r="M853" i="2"/>
  <c r="L853" i="2"/>
  <c r="H853" i="2"/>
  <c r="G853" i="2"/>
  <c r="D853" i="2"/>
  <c r="O852" i="2"/>
  <c r="N852" i="2"/>
  <c r="M852" i="2"/>
  <c r="L852" i="2"/>
  <c r="H852" i="2"/>
  <c r="G852" i="2"/>
  <c r="D852" i="2"/>
  <c r="O851" i="2"/>
  <c r="N851" i="2"/>
  <c r="M851" i="2"/>
  <c r="L851" i="2"/>
  <c r="H851" i="2"/>
  <c r="G851" i="2"/>
  <c r="D851" i="2"/>
  <c r="O850" i="2"/>
  <c r="N850" i="2"/>
  <c r="M850" i="2"/>
  <c r="L850" i="2"/>
  <c r="H850" i="2"/>
  <c r="G850" i="2"/>
  <c r="D850" i="2"/>
  <c r="O849" i="2"/>
  <c r="N849" i="2"/>
  <c r="M849" i="2"/>
  <c r="L849" i="2"/>
  <c r="H849" i="2"/>
  <c r="G849" i="2"/>
  <c r="D849" i="2"/>
  <c r="O848" i="2"/>
  <c r="N848" i="2"/>
  <c r="M848" i="2"/>
  <c r="L848" i="2"/>
  <c r="H848" i="2"/>
  <c r="G848" i="2"/>
  <c r="D848" i="2"/>
  <c r="O847" i="2"/>
  <c r="N847" i="2"/>
  <c r="M847" i="2"/>
  <c r="L847" i="2"/>
  <c r="H847" i="2"/>
  <c r="G847" i="2"/>
  <c r="D847" i="2"/>
  <c r="O846" i="2"/>
  <c r="N846" i="2"/>
  <c r="M846" i="2"/>
  <c r="L846" i="2"/>
  <c r="H846" i="2"/>
  <c r="G846" i="2"/>
  <c r="D846" i="2"/>
  <c r="O845" i="2"/>
  <c r="N845" i="2"/>
  <c r="M845" i="2"/>
  <c r="L845" i="2"/>
  <c r="H845" i="2"/>
  <c r="G845" i="2"/>
  <c r="D845" i="2"/>
  <c r="O844" i="2"/>
  <c r="N844" i="2"/>
  <c r="M844" i="2"/>
  <c r="L844" i="2"/>
  <c r="H844" i="2"/>
  <c r="G844" i="2"/>
  <c r="D844" i="2"/>
  <c r="O843" i="2"/>
  <c r="N843" i="2"/>
  <c r="M843" i="2"/>
  <c r="L843" i="2"/>
  <c r="H843" i="2"/>
  <c r="G843" i="2"/>
  <c r="D843" i="2"/>
  <c r="O842" i="2"/>
  <c r="N842" i="2"/>
  <c r="M842" i="2"/>
  <c r="L842" i="2"/>
  <c r="H842" i="2"/>
  <c r="G842" i="2"/>
  <c r="D842" i="2"/>
  <c r="O841" i="2"/>
  <c r="N841" i="2"/>
  <c r="M841" i="2"/>
  <c r="L841" i="2"/>
  <c r="H841" i="2"/>
  <c r="G841" i="2"/>
  <c r="D841" i="2"/>
  <c r="O840" i="2"/>
  <c r="N840" i="2"/>
  <c r="M840" i="2"/>
  <c r="L840" i="2"/>
  <c r="H840" i="2"/>
  <c r="G840" i="2"/>
  <c r="D840" i="2"/>
  <c r="O839" i="2"/>
  <c r="N839" i="2"/>
  <c r="M839" i="2"/>
  <c r="L839" i="2"/>
  <c r="H839" i="2"/>
  <c r="G839" i="2"/>
  <c r="D839" i="2"/>
  <c r="O838" i="2"/>
  <c r="N838" i="2"/>
  <c r="M838" i="2"/>
  <c r="L838" i="2"/>
  <c r="H838" i="2"/>
  <c r="G838" i="2"/>
  <c r="D838" i="2"/>
  <c r="O837" i="2"/>
  <c r="N837" i="2"/>
  <c r="M837" i="2"/>
  <c r="L837" i="2"/>
  <c r="H837" i="2"/>
  <c r="G837" i="2"/>
  <c r="D837" i="2"/>
  <c r="O836" i="2"/>
  <c r="N836" i="2"/>
  <c r="M836" i="2"/>
  <c r="L836" i="2"/>
  <c r="H836" i="2"/>
  <c r="G836" i="2"/>
  <c r="D836" i="2"/>
  <c r="O835" i="2"/>
  <c r="N835" i="2"/>
  <c r="M835" i="2"/>
  <c r="L835" i="2"/>
  <c r="H835" i="2"/>
  <c r="G835" i="2"/>
  <c r="D835" i="2"/>
  <c r="O834" i="2"/>
  <c r="N834" i="2"/>
  <c r="M834" i="2"/>
  <c r="L834" i="2"/>
  <c r="H834" i="2"/>
  <c r="G834" i="2"/>
  <c r="D834" i="2"/>
  <c r="O833" i="2"/>
  <c r="N833" i="2"/>
  <c r="M833" i="2"/>
  <c r="L833" i="2"/>
  <c r="H833" i="2"/>
  <c r="G833" i="2"/>
  <c r="D833" i="2"/>
  <c r="O832" i="2"/>
  <c r="N832" i="2"/>
  <c r="M832" i="2"/>
  <c r="L832" i="2"/>
  <c r="H832" i="2"/>
  <c r="G832" i="2"/>
  <c r="D832" i="2"/>
  <c r="O831" i="2"/>
  <c r="N831" i="2"/>
  <c r="M831" i="2"/>
  <c r="L831" i="2"/>
  <c r="H831" i="2"/>
  <c r="G831" i="2"/>
  <c r="D831" i="2"/>
  <c r="O830" i="2"/>
  <c r="N830" i="2"/>
  <c r="M830" i="2"/>
  <c r="L830" i="2"/>
  <c r="H830" i="2"/>
  <c r="G830" i="2"/>
  <c r="D830" i="2"/>
  <c r="O829" i="2"/>
  <c r="N829" i="2"/>
  <c r="M829" i="2"/>
  <c r="L829" i="2"/>
  <c r="H829" i="2"/>
  <c r="G829" i="2"/>
  <c r="D829" i="2"/>
  <c r="O828" i="2"/>
  <c r="N828" i="2"/>
  <c r="M828" i="2"/>
  <c r="L828" i="2"/>
  <c r="H828" i="2"/>
  <c r="G828" i="2"/>
  <c r="D828" i="2"/>
  <c r="O827" i="2"/>
  <c r="N827" i="2"/>
  <c r="M827" i="2"/>
  <c r="L827" i="2"/>
  <c r="H827" i="2"/>
  <c r="G827" i="2"/>
  <c r="D827" i="2"/>
  <c r="O826" i="2"/>
  <c r="N826" i="2"/>
  <c r="M826" i="2"/>
  <c r="L826" i="2"/>
  <c r="H826" i="2"/>
  <c r="G826" i="2"/>
  <c r="D826" i="2"/>
  <c r="O825" i="2"/>
  <c r="N825" i="2"/>
  <c r="M825" i="2"/>
  <c r="L825" i="2"/>
  <c r="H825" i="2"/>
  <c r="G825" i="2"/>
  <c r="D825" i="2"/>
  <c r="O824" i="2"/>
  <c r="N824" i="2"/>
  <c r="M824" i="2"/>
  <c r="L824" i="2"/>
  <c r="H824" i="2"/>
  <c r="G824" i="2"/>
  <c r="D824" i="2"/>
  <c r="O823" i="2"/>
  <c r="N823" i="2"/>
  <c r="M823" i="2"/>
  <c r="L823" i="2"/>
  <c r="H823" i="2"/>
  <c r="G823" i="2"/>
  <c r="D823" i="2"/>
  <c r="O822" i="2"/>
  <c r="N822" i="2"/>
  <c r="M822" i="2"/>
  <c r="L822" i="2"/>
  <c r="H822" i="2"/>
  <c r="G822" i="2"/>
  <c r="D822" i="2"/>
  <c r="O821" i="2"/>
  <c r="N821" i="2"/>
  <c r="M821" i="2"/>
  <c r="L821" i="2"/>
  <c r="H821" i="2"/>
  <c r="G821" i="2"/>
  <c r="D821" i="2"/>
  <c r="O820" i="2"/>
  <c r="N820" i="2"/>
  <c r="M820" i="2"/>
  <c r="L820" i="2"/>
  <c r="H820" i="2"/>
  <c r="G820" i="2"/>
  <c r="D820" i="2"/>
  <c r="O819" i="2"/>
  <c r="N819" i="2"/>
  <c r="M819" i="2"/>
  <c r="L819" i="2"/>
  <c r="H819" i="2"/>
  <c r="G819" i="2"/>
  <c r="D819" i="2"/>
  <c r="O818" i="2"/>
  <c r="N818" i="2"/>
  <c r="M818" i="2"/>
  <c r="L818" i="2"/>
  <c r="H818" i="2"/>
  <c r="G818" i="2"/>
  <c r="D818" i="2"/>
  <c r="O817" i="2"/>
  <c r="N817" i="2"/>
  <c r="M817" i="2"/>
  <c r="L817" i="2"/>
  <c r="H817" i="2"/>
  <c r="G817" i="2"/>
  <c r="D817" i="2"/>
  <c r="O816" i="2"/>
  <c r="N816" i="2"/>
  <c r="M816" i="2"/>
  <c r="L816" i="2"/>
  <c r="H816" i="2"/>
  <c r="G816" i="2"/>
  <c r="D816" i="2"/>
  <c r="O815" i="2"/>
  <c r="N815" i="2"/>
  <c r="M815" i="2"/>
  <c r="L815" i="2"/>
  <c r="H815" i="2"/>
  <c r="G815" i="2"/>
  <c r="D815" i="2"/>
  <c r="O814" i="2"/>
  <c r="N814" i="2"/>
  <c r="M814" i="2"/>
  <c r="L814" i="2"/>
  <c r="H814" i="2"/>
  <c r="G814" i="2"/>
  <c r="D814" i="2"/>
  <c r="O813" i="2"/>
  <c r="N813" i="2"/>
  <c r="M813" i="2"/>
  <c r="L813" i="2"/>
  <c r="H813" i="2"/>
  <c r="G813" i="2"/>
  <c r="D813" i="2"/>
  <c r="O812" i="2"/>
  <c r="N812" i="2"/>
  <c r="M812" i="2"/>
  <c r="L812" i="2"/>
  <c r="H812" i="2"/>
  <c r="G812" i="2"/>
  <c r="D812" i="2"/>
  <c r="O811" i="2"/>
  <c r="N811" i="2"/>
  <c r="M811" i="2"/>
  <c r="L811" i="2"/>
  <c r="H811" i="2"/>
  <c r="G811" i="2"/>
  <c r="D811" i="2"/>
  <c r="O810" i="2"/>
  <c r="N810" i="2"/>
  <c r="M810" i="2"/>
  <c r="L810" i="2"/>
  <c r="H810" i="2"/>
  <c r="G810" i="2"/>
  <c r="D810" i="2"/>
  <c r="O809" i="2"/>
  <c r="N809" i="2"/>
  <c r="M809" i="2"/>
  <c r="L809" i="2"/>
  <c r="H809" i="2"/>
  <c r="G809" i="2"/>
  <c r="D809" i="2"/>
  <c r="O808" i="2"/>
  <c r="N808" i="2"/>
  <c r="M808" i="2"/>
  <c r="L808" i="2"/>
  <c r="H808" i="2"/>
  <c r="G808" i="2"/>
  <c r="D808" i="2"/>
  <c r="O807" i="2"/>
  <c r="N807" i="2"/>
  <c r="M807" i="2"/>
  <c r="L807" i="2"/>
  <c r="H807" i="2"/>
  <c r="G807" i="2"/>
  <c r="D807" i="2"/>
  <c r="O806" i="2"/>
  <c r="N806" i="2"/>
  <c r="M806" i="2"/>
  <c r="L806" i="2"/>
  <c r="H806" i="2"/>
  <c r="G806" i="2"/>
  <c r="D806" i="2"/>
  <c r="O805" i="2"/>
  <c r="N805" i="2"/>
  <c r="M805" i="2"/>
  <c r="L805" i="2"/>
  <c r="H805" i="2"/>
  <c r="G805" i="2"/>
  <c r="D805" i="2"/>
  <c r="O804" i="2"/>
  <c r="N804" i="2"/>
  <c r="M804" i="2"/>
  <c r="L804" i="2"/>
  <c r="H804" i="2"/>
  <c r="G804" i="2"/>
  <c r="D804" i="2"/>
  <c r="O803" i="2"/>
  <c r="N803" i="2"/>
  <c r="M803" i="2"/>
  <c r="L803" i="2"/>
  <c r="H803" i="2"/>
  <c r="G803" i="2"/>
  <c r="D803" i="2"/>
  <c r="O802" i="2"/>
  <c r="N802" i="2"/>
  <c r="M802" i="2"/>
  <c r="L802" i="2"/>
  <c r="H802" i="2"/>
  <c r="G802" i="2"/>
  <c r="D802" i="2"/>
  <c r="O801" i="2"/>
  <c r="N801" i="2"/>
  <c r="M801" i="2"/>
  <c r="L801" i="2"/>
  <c r="H801" i="2"/>
  <c r="G801" i="2"/>
  <c r="D801" i="2"/>
  <c r="O800" i="2"/>
  <c r="N800" i="2"/>
  <c r="M800" i="2"/>
  <c r="L800" i="2"/>
  <c r="H800" i="2"/>
  <c r="G800" i="2"/>
  <c r="D800" i="2"/>
  <c r="O799" i="2"/>
  <c r="N799" i="2"/>
  <c r="M799" i="2"/>
  <c r="L799" i="2"/>
  <c r="H799" i="2"/>
  <c r="G799" i="2"/>
  <c r="D799" i="2"/>
  <c r="O798" i="2"/>
  <c r="N798" i="2"/>
  <c r="M798" i="2"/>
  <c r="L798" i="2"/>
  <c r="H798" i="2"/>
  <c r="G798" i="2"/>
  <c r="D798" i="2"/>
  <c r="O797" i="2"/>
  <c r="N797" i="2"/>
  <c r="M797" i="2"/>
  <c r="L797" i="2"/>
  <c r="H797" i="2"/>
  <c r="G797" i="2"/>
  <c r="D797" i="2"/>
  <c r="O796" i="2"/>
  <c r="N796" i="2"/>
  <c r="M796" i="2"/>
  <c r="L796" i="2"/>
  <c r="H796" i="2"/>
  <c r="G796" i="2"/>
  <c r="D796" i="2"/>
  <c r="O795" i="2"/>
  <c r="N795" i="2"/>
  <c r="M795" i="2"/>
  <c r="L795" i="2"/>
  <c r="H795" i="2"/>
  <c r="G795" i="2"/>
  <c r="D795" i="2"/>
  <c r="O794" i="2"/>
  <c r="N794" i="2"/>
  <c r="M794" i="2"/>
  <c r="L794" i="2"/>
  <c r="H794" i="2"/>
  <c r="G794" i="2"/>
  <c r="D794" i="2"/>
  <c r="O793" i="2"/>
  <c r="N793" i="2"/>
  <c r="M793" i="2"/>
  <c r="L793" i="2"/>
  <c r="H793" i="2"/>
  <c r="G793" i="2"/>
  <c r="D793" i="2"/>
  <c r="O792" i="2"/>
  <c r="N792" i="2"/>
  <c r="M792" i="2"/>
  <c r="L792" i="2"/>
  <c r="H792" i="2"/>
  <c r="G792" i="2"/>
  <c r="D792" i="2"/>
  <c r="O791" i="2"/>
  <c r="N791" i="2"/>
  <c r="M791" i="2"/>
  <c r="L791" i="2"/>
  <c r="H791" i="2"/>
  <c r="G791" i="2"/>
  <c r="D791" i="2"/>
  <c r="O790" i="2"/>
  <c r="N790" i="2"/>
  <c r="M790" i="2"/>
  <c r="L790" i="2"/>
  <c r="H790" i="2"/>
  <c r="G790" i="2"/>
  <c r="D790" i="2"/>
  <c r="O789" i="2"/>
  <c r="N789" i="2"/>
  <c r="M789" i="2"/>
  <c r="L789" i="2"/>
  <c r="H789" i="2"/>
  <c r="G789" i="2"/>
  <c r="D789" i="2"/>
  <c r="O788" i="2"/>
  <c r="N788" i="2"/>
  <c r="M788" i="2"/>
  <c r="L788" i="2"/>
  <c r="H788" i="2"/>
  <c r="G788" i="2"/>
  <c r="D788" i="2"/>
  <c r="O787" i="2"/>
  <c r="N787" i="2"/>
  <c r="M787" i="2"/>
  <c r="L787" i="2"/>
  <c r="H787" i="2"/>
  <c r="G787" i="2"/>
  <c r="D787" i="2"/>
  <c r="O786" i="2"/>
  <c r="N786" i="2"/>
  <c r="M786" i="2"/>
  <c r="L786" i="2"/>
  <c r="H786" i="2"/>
  <c r="G786" i="2"/>
  <c r="D786" i="2"/>
  <c r="O785" i="2"/>
  <c r="N785" i="2"/>
  <c r="M785" i="2"/>
  <c r="L785" i="2"/>
  <c r="H785" i="2"/>
  <c r="G785" i="2"/>
  <c r="D785" i="2"/>
  <c r="O784" i="2"/>
  <c r="N784" i="2"/>
  <c r="M784" i="2"/>
  <c r="L784" i="2"/>
  <c r="H784" i="2"/>
  <c r="G784" i="2"/>
  <c r="D784" i="2"/>
  <c r="O783" i="2"/>
  <c r="N783" i="2"/>
  <c r="M783" i="2"/>
  <c r="L783" i="2"/>
  <c r="H783" i="2"/>
  <c r="G783" i="2"/>
  <c r="D783" i="2"/>
  <c r="O782" i="2"/>
  <c r="N782" i="2"/>
  <c r="M782" i="2"/>
  <c r="L782" i="2"/>
  <c r="H782" i="2"/>
  <c r="G782" i="2"/>
  <c r="D782" i="2"/>
  <c r="O781" i="2"/>
  <c r="N781" i="2"/>
  <c r="M781" i="2"/>
  <c r="L781" i="2"/>
  <c r="H781" i="2"/>
  <c r="G781" i="2"/>
  <c r="D781" i="2"/>
  <c r="O780" i="2"/>
  <c r="N780" i="2"/>
  <c r="M780" i="2"/>
  <c r="L780" i="2"/>
  <c r="H780" i="2"/>
  <c r="G780" i="2"/>
  <c r="D780" i="2"/>
  <c r="O779" i="2"/>
  <c r="N779" i="2"/>
  <c r="M779" i="2"/>
  <c r="L779" i="2"/>
  <c r="H779" i="2"/>
  <c r="G779" i="2"/>
  <c r="D779" i="2"/>
  <c r="O778" i="2"/>
  <c r="N778" i="2"/>
  <c r="M778" i="2"/>
  <c r="L778" i="2"/>
  <c r="H778" i="2"/>
  <c r="G778" i="2"/>
  <c r="D778" i="2"/>
  <c r="O777" i="2"/>
  <c r="N777" i="2"/>
  <c r="M777" i="2"/>
  <c r="L777" i="2"/>
  <c r="H777" i="2"/>
  <c r="G777" i="2"/>
  <c r="D777" i="2"/>
  <c r="O776" i="2"/>
  <c r="N776" i="2"/>
  <c r="M776" i="2"/>
  <c r="L776" i="2"/>
  <c r="H776" i="2"/>
  <c r="G776" i="2"/>
  <c r="D776" i="2"/>
  <c r="O775" i="2"/>
  <c r="N775" i="2"/>
  <c r="M775" i="2"/>
  <c r="L775" i="2"/>
  <c r="H775" i="2"/>
  <c r="G775" i="2"/>
  <c r="D775" i="2"/>
  <c r="O774" i="2"/>
  <c r="N774" i="2"/>
  <c r="M774" i="2"/>
  <c r="L774" i="2"/>
  <c r="H774" i="2"/>
  <c r="G774" i="2"/>
  <c r="D774" i="2"/>
  <c r="O773" i="2"/>
  <c r="N773" i="2"/>
  <c r="M773" i="2"/>
  <c r="L773" i="2"/>
  <c r="H773" i="2"/>
  <c r="G773" i="2"/>
  <c r="D773" i="2"/>
  <c r="O772" i="2"/>
  <c r="N772" i="2"/>
  <c r="M772" i="2"/>
  <c r="L772" i="2"/>
  <c r="H772" i="2"/>
  <c r="G772" i="2"/>
  <c r="D772" i="2"/>
  <c r="O771" i="2"/>
  <c r="N771" i="2"/>
  <c r="M771" i="2"/>
  <c r="L771" i="2"/>
  <c r="H771" i="2"/>
  <c r="G771" i="2"/>
  <c r="D771" i="2"/>
  <c r="O770" i="2"/>
  <c r="N770" i="2"/>
  <c r="M770" i="2"/>
  <c r="L770" i="2"/>
  <c r="H770" i="2"/>
  <c r="G770" i="2"/>
  <c r="D770" i="2"/>
  <c r="O769" i="2"/>
  <c r="N769" i="2"/>
  <c r="M769" i="2"/>
  <c r="L769" i="2"/>
  <c r="H769" i="2"/>
  <c r="G769" i="2"/>
  <c r="D769" i="2"/>
  <c r="O768" i="2"/>
  <c r="N768" i="2"/>
  <c r="M768" i="2"/>
  <c r="L768" i="2"/>
  <c r="H768" i="2"/>
  <c r="G768" i="2"/>
  <c r="D768" i="2"/>
  <c r="O767" i="2"/>
  <c r="N767" i="2"/>
  <c r="M767" i="2"/>
  <c r="L767" i="2"/>
  <c r="H767" i="2"/>
  <c r="G767" i="2"/>
  <c r="D767" i="2"/>
  <c r="O766" i="2"/>
  <c r="N766" i="2"/>
  <c r="M766" i="2"/>
  <c r="L766" i="2"/>
  <c r="H766" i="2"/>
  <c r="G766" i="2"/>
  <c r="D766" i="2"/>
  <c r="O765" i="2"/>
  <c r="N765" i="2"/>
  <c r="M765" i="2"/>
  <c r="L765" i="2"/>
  <c r="H765" i="2"/>
  <c r="G765" i="2"/>
  <c r="D765" i="2"/>
  <c r="O764" i="2"/>
  <c r="N764" i="2"/>
  <c r="M764" i="2"/>
  <c r="L764" i="2"/>
  <c r="H764" i="2"/>
  <c r="G764" i="2"/>
  <c r="D764" i="2"/>
  <c r="O763" i="2"/>
  <c r="N763" i="2"/>
  <c r="M763" i="2"/>
  <c r="L763" i="2"/>
  <c r="H763" i="2"/>
  <c r="G763" i="2"/>
  <c r="D763" i="2"/>
  <c r="O762" i="2"/>
  <c r="N762" i="2"/>
  <c r="M762" i="2"/>
  <c r="L762" i="2"/>
  <c r="H762" i="2"/>
  <c r="G762" i="2"/>
  <c r="D762" i="2"/>
  <c r="O761" i="2"/>
  <c r="N761" i="2"/>
  <c r="M761" i="2"/>
  <c r="L761" i="2"/>
  <c r="H761" i="2"/>
  <c r="G761" i="2"/>
  <c r="D761" i="2"/>
  <c r="O760" i="2"/>
  <c r="N760" i="2"/>
  <c r="M760" i="2"/>
  <c r="L760" i="2"/>
  <c r="H760" i="2"/>
  <c r="G760" i="2"/>
  <c r="D760" i="2"/>
  <c r="O759" i="2"/>
  <c r="N759" i="2"/>
  <c r="M759" i="2"/>
  <c r="L759" i="2"/>
  <c r="H759" i="2"/>
  <c r="G759" i="2"/>
  <c r="D759" i="2"/>
  <c r="O758" i="2"/>
  <c r="N758" i="2"/>
  <c r="M758" i="2"/>
  <c r="L758" i="2"/>
  <c r="H758" i="2"/>
  <c r="G758" i="2"/>
  <c r="D758" i="2"/>
  <c r="O757" i="2"/>
  <c r="N757" i="2"/>
  <c r="M757" i="2"/>
  <c r="L757" i="2"/>
  <c r="H757" i="2"/>
  <c r="G757" i="2"/>
  <c r="D757" i="2"/>
  <c r="O756" i="2"/>
  <c r="N756" i="2"/>
  <c r="M756" i="2"/>
  <c r="L756" i="2"/>
  <c r="H756" i="2"/>
  <c r="G756" i="2"/>
  <c r="D756" i="2"/>
  <c r="O755" i="2"/>
  <c r="N755" i="2"/>
  <c r="M755" i="2"/>
  <c r="L755" i="2"/>
  <c r="H755" i="2"/>
  <c r="G755" i="2"/>
  <c r="D755" i="2"/>
  <c r="O754" i="2"/>
  <c r="N754" i="2"/>
  <c r="M754" i="2"/>
  <c r="L754" i="2"/>
  <c r="H754" i="2"/>
  <c r="G754" i="2"/>
  <c r="D754" i="2"/>
  <c r="O753" i="2"/>
  <c r="N753" i="2"/>
  <c r="M753" i="2"/>
  <c r="L753" i="2"/>
  <c r="H753" i="2"/>
  <c r="G753" i="2"/>
  <c r="D753" i="2"/>
  <c r="O752" i="2"/>
  <c r="N752" i="2"/>
  <c r="M752" i="2"/>
  <c r="L752" i="2"/>
  <c r="H752" i="2"/>
  <c r="G752" i="2"/>
  <c r="D752" i="2"/>
  <c r="O751" i="2"/>
  <c r="N751" i="2"/>
  <c r="M751" i="2"/>
  <c r="L751" i="2"/>
  <c r="H751" i="2"/>
  <c r="G751" i="2"/>
  <c r="D751" i="2"/>
  <c r="O750" i="2"/>
  <c r="N750" i="2"/>
  <c r="M750" i="2"/>
  <c r="L750" i="2"/>
  <c r="H750" i="2"/>
  <c r="G750" i="2"/>
  <c r="D750" i="2"/>
  <c r="O749" i="2"/>
  <c r="N749" i="2"/>
  <c r="M749" i="2"/>
  <c r="L749" i="2"/>
  <c r="H749" i="2"/>
  <c r="G749" i="2"/>
  <c r="D749" i="2"/>
  <c r="O748" i="2"/>
  <c r="N748" i="2"/>
  <c r="M748" i="2"/>
  <c r="L748" i="2"/>
  <c r="H748" i="2"/>
  <c r="G748" i="2"/>
  <c r="D748" i="2"/>
  <c r="O747" i="2"/>
  <c r="N747" i="2"/>
  <c r="M747" i="2"/>
  <c r="L747" i="2"/>
  <c r="H747" i="2"/>
  <c r="G747" i="2"/>
  <c r="D747" i="2"/>
  <c r="O746" i="2"/>
  <c r="N746" i="2"/>
  <c r="M746" i="2"/>
  <c r="L746" i="2"/>
  <c r="H746" i="2"/>
  <c r="G746" i="2"/>
  <c r="D746" i="2"/>
  <c r="O745" i="2"/>
  <c r="N745" i="2"/>
  <c r="M745" i="2"/>
  <c r="L745" i="2"/>
  <c r="H745" i="2"/>
  <c r="G745" i="2"/>
  <c r="D745" i="2"/>
  <c r="O744" i="2"/>
  <c r="N744" i="2"/>
  <c r="M744" i="2"/>
  <c r="L744" i="2"/>
  <c r="H744" i="2"/>
  <c r="G744" i="2"/>
  <c r="D744" i="2"/>
  <c r="O743" i="2"/>
  <c r="N743" i="2"/>
  <c r="M743" i="2"/>
  <c r="L743" i="2"/>
  <c r="H743" i="2"/>
  <c r="G743" i="2"/>
  <c r="D743" i="2"/>
  <c r="O742" i="2"/>
  <c r="N742" i="2"/>
  <c r="M742" i="2"/>
  <c r="L742" i="2"/>
  <c r="H742" i="2"/>
  <c r="G742" i="2"/>
  <c r="D742" i="2"/>
  <c r="O741" i="2"/>
  <c r="N741" i="2"/>
  <c r="M741" i="2"/>
  <c r="L741" i="2"/>
  <c r="H741" i="2"/>
  <c r="G741" i="2"/>
  <c r="D741" i="2"/>
  <c r="O740" i="2"/>
  <c r="N740" i="2"/>
  <c r="M740" i="2"/>
  <c r="L740" i="2"/>
  <c r="H740" i="2"/>
  <c r="G740" i="2"/>
  <c r="D740" i="2"/>
  <c r="O739" i="2"/>
  <c r="N739" i="2"/>
  <c r="M739" i="2"/>
  <c r="L739" i="2"/>
  <c r="H739" i="2"/>
  <c r="G739" i="2"/>
  <c r="D739" i="2"/>
  <c r="O738" i="2"/>
  <c r="N738" i="2"/>
  <c r="M738" i="2"/>
  <c r="L738" i="2"/>
  <c r="H738" i="2"/>
  <c r="G738" i="2"/>
  <c r="D738" i="2"/>
  <c r="O737" i="2"/>
  <c r="N737" i="2"/>
  <c r="M737" i="2"/>
  <c r="L737" i="2"/>
  <c r="H737" i="2"/>
  <c r="G737" i="2"/>
  <c r="D737" i="2"/>
  <c r="O736" i="2"/>
  <c r="N736" i="2"/>
  <c r="M736" i="2"/>
  <c r="L736" i="2"/>
  <c r="H736" i="2"/>
  <c r="G736" i="2"/>
  <c r="D736" i="2"/>
  <c r="O735" i="2"/>
  <c r="N735" i="2"/>
  <c r="M735" i="2"/>
  <c r="L735" i="2"/>
  <c r="H735" i="2"/>
  <c r="G735" i="2"/>
  <c r="D735" i="2"/>
  <c r="O734" i="2"/>
  <c r="N734" i="2"/>
  <c r="M734" i="2"/>
  <c r="L734" i="2"/>
  <c r="H734" i="2"/>
  <c r="G734" i="2"/>
  <c r="D734" i="2"/>
  <c r="O733" i="2"/>
  <c r="N733" i="2"/>
  <c r="M733" i="2"/>
  <c r="L733" i="2"/>
  <c r="H733" i="2"/>
  <c r="G733" i="2"/>
  <c r="D733" i="2"/>
  <c r="O732" i="2"/>
  <c r="N732" i="2"/>
  <c r="M732" i="2"/>
  <c r="L732" i="2"/>
  <c r="H732" i="2"/>
  <c r="G732" i="2"/>
  <c r="D732" i="2"/>
  <c r="O731" i="2"/>
  <c r="N731" i="2"/>
  <c r="M731" i="2"/>
  <c r="L731" i="2"/>
  <c r="H731" i="2"/>
  <c r="G731" i="2"/>
  <c r="D731" i="2"/>
  <c r="O730" i="2"/>
  <c r="N730" i="2"/>
  <c r="M730" i="2"/>
  <c r="L730" i="2"/>
  <c r="H730" i="2"/>
  <c r="G730" i="2"/>
  <c r="D730" i="2"/>
  <c r="O729" i="2"/>
  <c r="N729" i="2"/>
  <c r="M729" i="2"/>
  <c r="L729" i="2"/>
  <c r="H729" i="2"/>
  <c r="G729" i="2"/>
  <c r="D729" i="2"/>
  <c r="O728" i="2"/>
  <c r="N728" i="2"/>
  <c r="M728" i="2"/>
  <c r="L728" i="2"/>
  <c r="H728" i="2"/>
  <c r="G728" i="2"/>
  <c r="D728" i="2"/>
  <c r="O727" i="2"/>
  <c r="N727" i="2"/>
  <c r="M727" i="2"/>
  <c r="L727" i="2"/>
  <c r="H727" i="2"/>
  <c r="G727" i="2"/>
  <c r="D727" i="2"/>
  <c r="O726" i="2"/>
  <c r="N726" i="2"/>
  <c r="M726" i="2"/>
  <c r="L726" i="2"/>
  <c r="H726" i="2"/>
  <c r="G726" i="2"/>
  <c r="D726" i="2"/>
  <c r="O725" i="2"/>
  <c r="N725" i="2"/>
  <c r="M725" i="2"/>
  <c r="L725" i="2"/>
  <c r="H725" i="2"/>
  <c r="G725" i="2"/>
  <c r="D725" i="2"/>
  <c r="O724" i="2"/>
  <c r="N724" i="2"/>
  <c r="M724" i="2"/>
  <c r="L724" i="2"/>
  <c r="H724" i="2"/>
  <c r="G724" i="2"/>
  <c r="D724" i="2"/>
  <c r="O723" i="2"/>
  <c r="N723" i="2"/>
  <c r="M723" i="2"/>
  <c r="L723" i="2"/>
  <c r="H723" i="2"/>
  <c r="G723" i="2"/>
  <c r="D723" i="2"/>
  <c r="O722" i="2"/>
  <c r="N722" i="2"/>
  <c r="M722" i="2"/>
  <c r="L722" i="2"/>
  <c r="H722" i="2"/>
  <c r="G722" i="2"/>
  <c r="D722" i="2"/>
  <c r="O721" i="2"/>
  <c r="N721" i="2"/>
  <c r="M721" i="2"/>
  <c r="L721" i="2"/>
  <c r="H721" i="2"/>
  <c r="G721" i="2"/>
  <c r="D721" i="2"/>
  <c r="O720" i="2"/>
  <c r="N720" i="2"/>
  <c r="M720" i="2"/>
  <c r="L720" i="2"/>
  <c r="H720" i="2"/>
  <c r="G720" i="2"/>
  <c r="D720" i="2"/>
  <c r="O719" i="2"/>
  <c r="N719" i="2"/>
  <c r="M719" i="2"/>
  <c r="L719" i="2"/>
  <c r="H719" i="2"/>
  <c r="G719" i="2"/>
  <c r="D719" i="2"/>
  <c r="O718" i="2"/>
  <c r="N718" i="2"/>
  <c r="M718" i="2"/>
  <c r="L718" i="2"/>
  <c r="H718" i="2"/>
  <c r="G718" i="2"/>
  <c r="D718" i="2"/>
  <c r="O717" i="2"/>
  <c r="N717" i="2"/>
  <c r="M717" i="2"/>
  <c r="L717" i="2"/>
  <c r="H717" i="2"/>
  <c r="G717" i="2"/>
  <c r="D717" i="2"/>
  <c r="O716" i="2"/>
  <c r="N716" i="2"/>
  <c r="M716" i="2"/>
  <c r="L716" i="2"/>
  <c r="H716" i="2"/>
  <c r="G716" i="2"/>
  <c r="D716" i="2"/>
  <c r="O715" i="2"/>
  <c r="N715" i="2"/>
  <c r="M715" i="2"/>
  <c r="L715" i="2"/>
  <c r="H715" i="2"/>
  <c r="G715" i="2"/>
  <c r="D715" i="2"/>
  <c r="O714" i="2"/>
  <c r="N714" i="2"/>
  <c r="M714" i="2"/>
  <c r="L714" i="2"/>
  <c r="H714" i="2"/>
  <c r="G714" i="2"/>
  <c r="D714" i="2"/>
  <c r="O713" i="2"/>
  <c r="N713" i="2"/>
  <c r="M713" i="2"/>
  <c r="L713" i="2"/>
  <c r="H713" i="2"/>
  <c r="G713" i="2"/>
  <c r="D713" i="2"/>
  <c r="O712" i="2"/>
  <c r="N712" i="2"/>
  <c r="M712" i="2"/>
  <c r="L712" i="2"/>
  <c r="H712" i="2"/>
  <c r="G712" i="2"/>
  <c r="D712" i="2"/>
  <c r="O711" i="2"/>
  <c r="N711" i="2"/>
  <c r="M711" i="2"/>
  <c r="L711" i="2"/>
  <c r="H711" i="2"/>
  <c r="G711" i="2"/>
  <c r="D711" i="2"/>
  <c r="O710" i="2"/>
  <c r="N710" i="2"/>
  <c r="M710" i="2"/>
  <c r="L710" i="2"/>
  <c r="H710" i="2"/>
  <c r="G710" i="2"/>
  <c r="D710" i="2"/>
  <c r="O709" i="2"/>
  <c r="N709" i="2"/>
  <c r="M709" i="2"/>
  <c r="L709" i="2"/>
  <c r="H709" i="2"/>
  <c r="G709" i="2"/>
  <c r="D709" i="2"/>
  <c r="O708" i="2"/>
  <c r="N708" i="2"/>
  <c r="M708" i="2"/>
  <c r="L708" i="2"/>
  <c r="H708" i="2"/>
  <c r="G708" i="2"/>
  <c r="D708" i="2"/>
  <c r="O707" i="2"/>
  <c r="N707" i="2"/>
  <c r="M707" i="2"/>
  <c r="L707" i="2"/>
  <c r="H707" i="2"/>
  <c r="G707" i="2"/>
  <c r="D707" i="2"/>
  <c r="O706" i="2"/>
  <c r="N706" i="2"/>
  <c r="M706" i="2"/>
  <c r="L706" i="2"/>
  <c r="H706" i="2"/>
  <c r="G706" i="2"/>
  <c r="D706" i="2"/>
  <c r="O705" i="2"/>
  <c r="N705" i="2"/>
  <c r="M705" i="2"/>
  <c r="L705" i="2"/>
  <c r="H705" i="2"/>
  <c r="G705" i="2"/>
  <c r="D705" i="2"/>
  <c r="O704" i="2"/>
  <c r="N704" i="2"/>
  <c r="M704" i="2"/>
  <c r="L704" i="2"/>
  <c r="H704" i="2"/>
  <c r="G704" i="2"/>
  <c r="D704" i="2"/>
  <c r="O703" i="2"/>
  <c r="N703" i="2"/>
  <c r="M703" i="2"/>
  <c r="L703" i="2"/>
  <c r="H703" i="2"/>
  <c r="G703" i="2"/>
  <c r="D703" i="2"/>
  <c r="O702" i="2"/>
  <c r="N702" i="2"/>
  <c r="M702" i="2"/>
  <c r="L702" i="2"/>
  <c r="H702" i="2"/>
  <c r="G702" i="2"/>
  <c r="D702" i="2"/>
  <c r="O701" i="2"/>
  <c r="N701" i="2"/>
  <c r="M701" i="2"/>
  <c r="L701" i="2"/>
  <c r="H701" i="2"/>
  <c r="G701" i="2"/>
  <c r="D701" i="2"/>
  <c r="O700" i="2"/>
  <c r="N700" i="2"/>
  <c r="M700" i="2"/>
  <c r="L700" i="2"/>
  <c r="H700" i="2"/>
  <c r="G700" i="2"/>
  <c r="D700" i="2"/>
  <c r="O699" i="2"/>
  <c r="N699" i="2"/>
  <c r="M699" i="2"/>
  <c r="L699" i="2"/>
  <c r="H699" i="2"/>
  <c r="G699" i="2"/>
  <c r="D699" i="2"/>
  <c r="O698" i="2"/>
  <c r="N698" i="2"/>
  <c r="M698" i="2"/>
  <c r="L698" i="2"/>
  <c r="H698" i="2"/>
  <c r="G698" i="2"/>
  <c r="D698" i="2"/>
  <c r="O697" i="2"/>
  <c r="N697" i="2"/>
  <c r="M697" i="2"/>
  <c r="L697" i="2"/>
  <c r="H697" i="2"/>
  <c r="G697" i="2"/>
  <c r="D697" i="2"/>
  <c r="O696" i="2"/>
  <c r="N696" i="2"/>
  <c r="M696" i="2"/>
  <c r="L696" i="2"/>
  <c r="H696" i="2"/>
  <c r="G696" i="2"/>
  <c r="D696" i="2"/>
  <c r="O695" i="2"/>
  <c r="N695" i="2"/>
  <c r="M695" i="2"/>
  <c r="L695" i="2"/>
  <c r="H695" i="2"/>
  <c r="G695" i="2"/>
  <c r="D695" i="2"/>
  <c r="O694" i="2"/>
  <c r="N694" i="2"/>
  <c r="M694" i="2"/>
  <c r="L694" i="2"/>
  <c r="H694" i="2"/>
  <c r="G694" i="2"/>
  <c r="D694" i="2"/>
  <c r="O693" i="2"/>
  <c r="N693" i="2"/>
  <c r="M693" i="2"/>
  <c r="L693" i="2"/>
  <c r="H693" i="2"/>
  <c r="G693" i="2"/>
  <c r="D693" i="2"/>
  <c r="O692" i="2"/>
  <c r="N692" i="2"/>
  <c r="M692" i="2"/>
  <c r="L692" i="2"/>
  <c r="H692" i="2"/>
  <c r="G692" i="2"/>
  <c r="D692" i="2"/>
  <c r="O691" i="2"/>
  <c r="N691" i="2"/>
  <c r="M691" i="2"/>
  <c r="L691" i="2"/>
  <c r="H691" i="2"/>
  <c r="G691" i="2"/>
  <c r="D691" i="2"/>
  <c r="O690" i="2"/>
  <c r="N690" i="2"/>
  <c r="M690" i="2"/>
  <c r="L690" i="2"/>
  <c r="H690" i="2"/>
  <c r="G690" i="2"/>
  <c r="D690" i="2"/>
  <c r="O689" i="2"/>
  <c r="N689" i="2"/>
  <c r="M689" i="2"/>
  <c r="L689" i="2"/>
  <c r="H689" i="2"/>
  <c r="G689" i="2"/>
  <c r="D689" i="2"/>
  <c r="O688" i="2"/>
  <c r="N688" i="2"/>
  <c r="M688" i="2"/>
  <c r="L688" i="2"/>
  <c r="H688" i="2"/>
  <c r="G688" i="2"/>
  <c r="D688" i="2"/>
  <c r="O687" i="2"/>
  <c r="N687" i="2"/>
  <c r="M687" i="2"/>
  <c r="L687" i="2"/>
  <c r="H687" i="2"/>
  <c r="G687" i="2"/>
  <c r="D687" i="2"/>
  <c r="O686" i="2"/>
  <c r="N686" i="2"/>
  <c r="M686" i="2"/>
  <c r="L686" i="2"/>
  <c r="H686" i="2"/>
  <c r="G686" i="2"/>
  <c r="D686" i="2"/>
  <c r="O685" i="2"/>
  <c r="N685" i="2"/>
  <c r="M685" i="2"/>
  <c r="L685" i="2"/>
  <c r="H685" i="2"/>
  <c r="G685" i="2"/>
  <c r="D685" i="2"/>
  <c r="O684" i="2"/>
  <c r="N684" i="2"/>
  <c r="M684" i="2"/>
  <c r="L684" i="2"/>
  <c r="H684" i="2"/>
  <c r="G684" i="2"/>
  <c r="D684" i="2"/>
  <c r="O683" i="2"/>
  <c r="N683" i="2"/>
  <c r="M683" i="2"/>
  <c r="L683" i="2"/>
  <c r="H683" i="2"/>
  <c r="G683" i="2"/>
  <c r="D683" i="2"/>
  <c r="O682" i="2"/>
  <c r="N682" i="2"/>
  <c r="M682" i="2"/>
  <c r="L682" i="2"/>
  <c r="H682" i="2"/>
  <c r="G682" i="2"/>
  <c r="D682" i="2"/>
  <c r="O681" i="2"/>
  <c r="N681" i="2"/>
  <c r="M681" i="2"/>
  <c r="L681" i="2"/>
  <c r="H681" i="2"/>
  <c r="G681" i="2"/>
  <c r="D681" i="2"/>
  <c r="O680" i="2"/>
  <c r="N680" i="2"/>
  <c r="M680" i="2"/>
  <c r="L680" i="2"/>
  <c r="H680" i="2"/>
  <c r="G680" i="2"/>
  <c r="D680" i="2"/>
  <c r="O679" i="2"/>
  <c r="N679" i="2"/>
  <c r="M679" i="2"/>
  <c r="L679" i="2"/>
  <c r="H679" i="2"/>
  <c r="G679" i="2"/>
  <c r="D679" i="2"/>
  <c r="O678" i="2"/>
  <c r="N678" i="2"/>
  <c r="M678" i="2"/>
  <c r="L678" i="2"/>
  <c r="H678" i="2"/>
  <c r="G678" i="2"/>
  <c r="D678" i="2"/>
  <c r="O677" i="2"/>
  <c r="N677" i="2"/>
  <c r="M677" i="2"/>
  <c r="L677" i="2"/>
  <c r="H677" i="2"/>
  <c r="G677" i="2"/>
  <c r="D677" i="2"/>
  <c r="O676" i="2"/>
  <c r="N676" i="2"/>
  <c r="M676" i="2"/>
  <c r="L676" i="2"/>
  <c r="H676" i="2"/>
  <c r="G676" i="2"/>
  <c r="D676" i="2"/>
  <c r="O675" i="2"/>
  <c r="N675" i="2"/>
  <c r="M675" i="2"/>
  <c r="L675" i="2"/>
  <c r="H675" i="2"/>
  <c r="G675" i="2"/>
  <c r="D675" i="2"/>
  <c r="O674" i="2"/>
  <c r="N674" i="2"/>
  <c r="M674" i="2"/>
  <c r="L674" i="2"/>
  <c r="H674" i="2"/>
  <c r="G674" i="2"/>
  <c r="D674" i="2"/>
  <c r="O673" i="2"/>
  <c r="N673" i="2"/>
  <c r="M673" i="2"/>
  <c r="L673" i="2"/>
  <c r="H673" i="2"/>
  <c r="G673" i="2"/>
  <c r="D673" i="2"/>
  <c r="O672" i="2"/>
  <c r="N672" i="2"/>
  <c r="M672" i="2"/>
  <c r="L672" i="2"/>
  <c r="H672" i="2"/>
  <c r="G672" i="2"/>
  <c r="D672" i="2"/>
  <c r="O671" i="2"/>
  <c r="N671" i="2"/>
  <c r="M671" i="2"/>
  <c r="L671" i="2"/>
  <c r="H671" i="2"/>
  <c r="G671" i="2"/>
  <c r="D671" i="2"/>
  <c r="O670" i="2"/>
  <c r="N670" i="2"/>
  <c r="M670" i="2"/>
  <c r="L670" i="2"/>
  <c r="H670" i="2"/>
  <c r="G670" i="2"/>
  <c r="D670" i="2"/>
  <c r="O669" i="2"/>
  <c r="N669" i="2"/>
  <c r="M669" i="2"/>
  <c r="L669" i="2"/>
  <c r="H669" i="2"/>
  <c r="G669" i="2"/>
  <c r="D669" i="2"/>
  <c r="O668" i="2"/>
  <c r="N668" i="2"/>
  <c r="M668" i="2"/>
  <c r="L668" i="2"/>
  <c r="H668" i="2"/>
  <c r="G668" i="2"/>
  <c r="D668" i="2"/>
  <c r="O667" i="2"/>
  <c r="N667" i="2"/>
  <c r="M667" i="2"/>
  <c r="L667" i="2"/>
  <c r="H667" i="2"/>
  <c r="G667" i="2"/>
  <c r="D667" i="2"/>
  <c r="O666" i="2"/>
  <c r="N666" i="2"/>
  <c r="M666" i="2"/>
  <c r="L666" i="2"/>
  <c r="H666" i="2"/>
  <c r="G666" i="2"/>
  <c r="D666" i="2"/>
  <c r="O665" i="2"/>
  <c r="N665" i="2"/>
  <c r="M665" i="2"/>
  <c r="L665" i="2"/>
  <c r="H665" i="2"/>
  <c r="G665" i="2"/>
  <c r="D665" i="2"/>
  <c r="O664" i="2"/>
  <c r="N664" i="2"/>
  <c r="M664" i="2"/>
  <c r="L664" i="2"/>
  <c r="H664" i="2"/>
  <c r="G664" i="2"/>
  <c r="D664" i="2"/>
  <c r="O663" i="2"/>
  <c r="N663" i="2"/>
  <c r="M663" i="2"/>
  <c r="L663" i="2"/>
  <c r="H663" i="2"/>
  <c r="G663" i="2"/>
  <c r="D663" i="2"/>
  <c r="O662" i="2"/>
  <c r="N662" i="2"/>
  <c r="M662" i="2"/>
  <c r="L662" i="2"/>
  <c r="H662" i="2"/>
  <c r="G662" i="2"/>
  <c r="D662" i="2"/>
  <c r="O661" i="2"/>
  <c r="N661" i="2"/>
  <c r="M661" i="2"/>
  <c r="L661" i="2"/>
  <c r="H661" i="2"/>
  <c r="G661" i="2"/>
  <c r="D661" i="2"/>
  <c r="O660" i="2"/>
  <c r="N660" i="2"/>
  <c r="M660" i="2"/>
  <c r="L660" i="2"/>
  <c r="H660" i="2"/>
  <c r="G660" i="2"/>
  <c r="D660" i="2"/>
  <c r="O659" i="2"/>
  <c r="N659" i="2"/>
  <c r="M659" i="2"/>
  <c r="L659" i="2"/>
  <c r="H659" i="2"/>
  <c r="G659" i="2"/>
  <c r="D659" i="2"/>
  <c r="O658" i="2"/>
  <c r="N658" i="2"/>
  <c r="M658" i="2"/>
  <c r="L658" i="2"/>
  <c r="H658" i="2"/>
  <c r="G658" i="2"/>
  <c r="D658" i="2"/>
  <c r="O657" i="2"/>
  <c r="N657" i="2"/>
  <c r="M657" i="2"/>
  <c r="L657" i="2"/>
  <c r="H657" i="2"/>
  <c r="G657" i="2"/>
  <c r="D657" i="2"/>
  <c r="O656" i="2"/>
  <c r="N656" i="2"/>
  <c r="M656" i="2"/>
  <c r="L656" i="2"/>
  <c r="H656" i="2"/>
  <c r="G656" i="2"/>
  <c r="D656" i="2"/>
  <c r="O655" i="2"/>
  <c r="N655" i="2"/>
  <c r="M655" i="2"/>
  <c r="L655" i="2"/>
  <c r="H655" i="2"/>
  <c r="G655" i="2"/>
  <c r="D655" i="2"/>
  <c r="O654" i="2"/>
  <c r="N654" i="2"/>
  <c r="M654" i="2"/>
  <c r="L654" i="2"/>
  <c r="H654" i="2"/>
  <c r="G654" i="2"/>
  <c r="D654" i="2"/>
  <c r="O653" i="2"/>
  <c r="N653" i="2"/>
  <c r="M653" i="2"/>
  <c r="L653" i="2"/>
  <c r="H653" i="2"/>
  <c r="G653" i="2"/>
  <c r="D653" i="2"/>
  <c r="O652" i="2"/>
  <c r="N652" i="2"/>
  <c r="M652" i="2"/>
  <c r="L652" i="2"/>
  <c r="H652" i="2"/>
  <c r="G652" i="2"/>
  <c r="D652" i="2"/>
  <c r="O651" i="2"/>
  <c r="N651" i="2"/>
  <c r="M651" i="2"/>
  <c r="L651" i="2"/>
  <c r="H651" i="2"/>
  <c r="G651" i="2"/>
  <c r="D651" i="2"/>
  <c r="O650" i="2"/>
  <c r="N650" i="2"/>
  <c r="M650" i="2"/>
  <c r="L650" i="2"/>
  <c r="H650" i="2"/>
  <c r="G650" i="2"/>
  <c r="D650" i="2"/>
  <c r="O649" i="2"/>
  <c r="N649" i="2"/>
  <c r="M649" i="2"/>
  <c r="L649" i="2"/>
  <c r="H649" i="2"/>
  <c r="G649" i="2"/>
  <c r="D649" i="2"/>
  <c r="O648" i="2"/>
  <c r="N648" i="2"/>
  <c r="M648" i="2"/>
  <c r="L648" i="2"/>
  <c r="H648" i="2"/>
  <c r="G648" i="2"/>
  <c r="D648" i="2"/>
  <c r="O647" i="2"/>
  <c r="N647" i="2"/>
  <c r="M647" i="2"/>
  <c r="L647" i="2"/>
  <c r="H647" i="2"/>
  <c r="G647" i="2"/>
  <c r="D647" i="2"/>
  <c r="O646" i="2"/>
  <c r="N646" i="2"/>
  <c r="M646" i="2"/>
  <c r="L646" i="2"/>
  <c r="H646" i="2"/>
  <c r="G646" i="2"/>
  <c r="D646" i="2"/>
  <c r="O645" i="2"/>
  <c r="N645" i="2"/>
  <c r="M645" i="2"/>
  <c r="L645" i="2"/>
  <c r="H645" i="2"/>
  <c r="G645" i="2"/>
  <c r="D645" i="2"/>
  <c r="O644" i="2"/>
  <c r="N644" i="2"/>
  <c r="M644" i="2"/>
  <c r="L644" i="2"/>
  <c r="H644" i="2"/>
  <c r="G644" i="2"/>
  <c r="D644" i="2"/>
  <c r="O643" i="2"/>
  <c r="N643" i="2"/>
  <c r="M643" i="2"/>
  <c r="L643" i="2"/>
  <c r="H643" i="2"/>
  <c r="G643" i="2"/>
  <c r="D643" i="2"/>
  <c r="O642" i="2"/>
  <c r="N642" i="2"/>
  <c r="M642" i="2"/>
  <c r="L642" i="2"/>
  <c r="H642" i="2"/>
  <c r="G642" i="2"/>
  <c r="D642" i="2"/>
  <c r="O641" i="2"/>
  <c r="N641" i="2"/>
  <c r="M641" i="2"/>
  <c r="L641" i="2"/>
  <c r="H641" i="2"/>
  <c r="G641" i="2"/>
  <c r="D641" i="2"/>
  <c r="O640" i="2"/>
  <c r="N640" i="2"/>
  <c r="M640" i="2"/>
  <c r="L640" i="2"/>
  <c r="H640" i="2"/>
  <c r="G640" i="2"/>
  <c r="D640" i="2"/>
  <c r="O639" i="2"/>
  <c r="N639" i="2"/>
  <c r="M639" i="2"/>
  <c r="L639" i="2"/>
  <c r="H639" i="2"/>
  <c r="G639" i="2"/>
  <c r="D639" i="2"/>
  <c r="O638" i="2"/>
  <c r="N638" i="2"/>
  <c r="M638" i="2"/>
  <c r="L638" i="2"/>
  <c r="H638" i="2"/>
  <c r="G638" i="2"/>
  <c r="D638" i="2"/>
  <c r="O637" i="2"/>
  <c r="N637" i="2"/>
  <c r="M637" i="2"/>
  <c r="L637" i="2"/>
  <c r="H637" i="2"/>
  <c r="G637" i="2"/>
  <c r="D637" i="2"/>
  <c r="O636" i="2"/>
  <c r="N636" i="2"/>
  <c r="M636" i="2"/>
  <c r="L636" i="2"/>
  <c r="H636" i="2"/>
  <c r="G636" i="2"/>
  <c r="D636" i="2"/>
  <c r="O635" i="2"/>
  <c r="N635" i="2"/>
  <c r="M635" i="2"/>
  <c r="L635" i="2"/>
  <c r="H635" i="2"/>
  <c r="G635" i="2"/>
  <c r="D635" i="2"/>
  <c r="O634" i="2"/>
  <c r="N634" i="2"/>
  <c r="M634" i="2"/>
  <c r="L634" i="2"/>
  <c r="H634" i="2"/>
  <c r="G634" i="2"/>
  <c r="D634" i="2"/>
  <c r="O633" i="2"/>
  <c r="N633" i="2"/>
  <c r="M633" i="2"/>
  <c r="L633" i="2"/>
  <c r="H633" i="2"/>
  <c r="G633" i="2"/>
  <c r="D633" i="2"/>
  <c r="O632" i="2"/>
  <c r="N632" i="2"/>
  <c r="M632" i="2"/>
  <c r="L632" i="2"/>
  <c r="H632" i="2"/>
  <c r="G632" i="2"/>
  <c r="D632" i="2"/>
  <c r="O631" i="2"/>
  <c r="N631" i="2"/>
  <c r="M631" i="2"/>
  <c r="L631" i="2"/>
  <c r="H631" i="2"/>
  <c r="G631" i="2"/>
  <c r="D631" i="2"/>
  <c r="O630" i="2"/>
  <c r="N630" i="2"/>
  <c r="M630" i="2"/>
  <c r="L630" i="2"/>
  <c r="H630" i="2"/>
  <c r="G630" i="2"/>
  <c r="D630" i="2"/>
  <c r="O629" i="2"/>
  <c r="N629" i="2"/>
  <c r="M629" i="2"/>
  <c r="L629" i="2"/>
  <c r="H629" i="2"/>
  <c r="G629" i="2"/>
  <c r="D629" i="2"/>
  <c r="O628" i="2"/>
  <c r="N628" i="2"/>
  <c r="M628" i="2"/>
  <c r="L628" i="2"/>
  <c r="H628" i="2"/>
  <c r="G628" i="2"/>
  <c r="D628" i="2"/>
  <c r="O627" i="2"/>
  <c r="N627" i="2"/>
  <c r="M627" i="2"/>
  <c r="L627" i="2"/>
  <c r="H627" i="2"/>
  <c r="G627" i="2"/>
  <c r="D627" i="2"/>
  <c r="O626" i="2"/>
  <c r="N626" i="2"/>
  <c r="M626" i="2"/>
  <c r="L626" i="2"/>
  <c r="H626" i="2"/>
  <c r="G626" i="2"/>
  <c r="D626" i="2"/>
  <c r="O625" i="2"/>
  <c r="N625" i="2"/>
  <c r="M625" i="2"/>
  <c r="L625" i="2"/>
  <c r="H625" i="2"/>
  <c r="G625" i="2"/>
  <c r="D625" i="2"/>
  <c r="O624" i="2"/>
  <c r="N624" i="2"/>
  <c r="M624" i="2"/>
  <c r="L624" i="2"/>
  <c r="H624" i="2"/>
  <c r="G624" i="2"/>
  <c r="D624" i="2"/>
  <c r="O623" i="2"/>
  <c r="N623" i="2"/>
  <c r="M623" i="2"/>
  <c r="L623" i="2"/>
  <c r="H623" i="2"/>
  <c r="G623" i="2"/>
  <c r="D623" i="2"/>
  <c r="O622" i="2"/>
  <c r="N622" i="2"/>
  <c r="M622" i="2"/>
  <c r="L622" i="2"/>
  <c r="H622" i="2"/>
  <c r="G622" i="2"/>
  <c r="D622" i="2"/>
  <c r="O621" i="2"/>
  <c r="N621" i="2"/>
  <c r="M621" i="2"/>
  <c r="L621" i="2"/>
  <c r="H621" i="2"/>
  <c r="G621" i="2"/>
  <c r="D621" i="2"/>
  <c r="O620" i="2"/>
  <c r="N620" i="2"/>
  <c r="M620" i="2"/>
  <c r="L620" i="2"/>
  <c r="H620" i="2"/>
  <c r="G620" i="2"/>
  <c r="D620" i="2"/>
  <c r="O619" i="2"/>
  <c r="N619" i="2"/>
  <c r="M619" i="2"/>
  <c r="L619" i="2"/>
  <c r="H619" i="2"/>
  <c r="G619" i="2"/>
  <c r="D619" i="2"/>
  <c r="O618" i="2"/>
  <c r="N618" i="2"/>
  <c r="M618" i="2"/>
  <c r="L618" i="2"/>
  <c r="H618" i="2"/>
  <c r="G618" i="2"/>
  <c r="D618" i="2"/>
  <c r="O617" i="2"/>
  <c r="N617" i="2"/>
  <c r="M617" i="2"/>
  <c r="L617" i="2"/>
  <c r="H617" i="2"/>
  <c r="G617" i="2"/>
  <c r="D617" i="2"/>
  <c r="O616" i="2"/>
  <c r="N616" i="2"/>
  <c r="M616" i="2"/>
  <c r="L616" i="2"/>
  <c r="H616" i="2"/>
  <c r="G616" i="2"/>
  <c r="D616" i="2"/>
  <c r="O615" i="2"/>
  <c r="N615" i="2"/>
  <c r="M615" i="2"/>
  <c r="L615" i="2"/>
  <c r="H615" i="2"/>
  <c r="G615" i="2"/>
  <c r="D615" i="2"/>
  <c r="O614" i="2"/>
  <c r="N614" i="2"/>
  <c r="M614" i="2"/>
  <c r="L614" i="2"/>
  <c r="H614" i="2"/>
  <c r="G614" i="2"/>
  <c r="D614" i="2"/>
  <c r="O613" i="2"/>
  <c r="N613" i="2"/>
  <c r="M613" i="2"/>
  <c r="L613" i="2"/>
  <c r="H613" i="2"/>
  <c r="G613" i="2"/>
  <c r="D613" i="2"/>
  <c r="O612" i="2"/>
  <c r="N612" i="2"/>
  <c r="M612" i="2"/>
  <c r="L612" i="2"/>
  <c r="H612" i="2"/>
  <c r="G612" i="2"/>
  <c r="D612" i="2"/>
  <c r="O611" i="2"/>
  <c r="N611" i="2"/>
  <c r="M611" i="2"/>
  <c r="L611" i="2"/>
  <c r="H611" i="2"/>
  <c r="G611" i="2"/>
  <c r="D611" i="2"/>
  <c r="O610" i="2"/>
  <c r="N610" i="2"/>
  <c r="M610" i="2"/>
  <c r="L610" i="2"/>
  <c r="H610" i="2"/>
  <c r="G610" i="2"/>
  <c r="D610" i="2"/>
  <c r="O609" i="2"/>
  <c r="N609" i="2"/>
  <c r="M609" i="2"/>
  <c r="L609" i="2"/>
  <c r="H609" i="2"/>
  <c r="G609" i="2"/>
  <c r="D609" i="2"/>
  <c r="O608" i="2"/>
  <c r="N608" i="2"/>
  <c r="M608" i="2"/>
  <c r="L608" i="2"/>
  <c r="H608" i="2"/>
  <c r="G608" i="2"/>
  <c r="D608" i="2"/>
  <c r="O607" i="2"/>
  <c r="N607" i="2"/>
  <c r="M607" i="2"/>
  <c r="L607" i="2"/>
  <c r="H607" i="2"/>
  <c r="G607" i="2"/>
  <c r="D607" i="2"/>
  <c r="O606" i="2"/>
  <c r="N606" i="2"/>
  <c r="M606" i="2"/>
  <c r="L606" i="2"/>
  <c r="H606" i="2"/>
  <c r="G606" i="2"/>
  <c r="D606" i="2"/>
  <c r="O605" i="2"/>
  <c r="N605" i="2"/>
  <c r="M605" i="2"/>
  <c r="L605" i="2"/>
  <c r="H605" i="2"/>
  <c r="G605" i="2"/>
  <c r="D605" i="2"/>
  <c r="O604" i="2"/>
  <c r="N604" i="2"/>
  <c r="M604" i="2"/>
  <c r="L604" i="2"/>
  <c r="H604" i="2"/>
  <c r="G604" i="2"/>
  <c r="D604" i="2"/>
  <c r="O603" i="2"/>
  <c r="N603" i="2"/>
  <c r="M603" i="2"/>
  <c r="L603" i="2"/>
  <c r="H603" i="2"/>
  <c r="G603" i="2"/>
  <c r="D603" i="2"/>
  <c r="O602" i="2"/>
  <c r="N602" i="2"/>
  <c r="M602" i="2"/>
  <c r="L602" i="2"/>
  <c r="H602" i="2"/>
  <c r="G602" i="2"/>
  <c r="D602" i="2"/>
  <c r="O601" i="2"/>
  <c r="N601" i="2"/>
  <c r="M601" i="2"/>
  <c r="L601" i="2"/>
  <c r="H601" i="2"/>
  <c r="G601" i="2"/>
  <c r="D601" i="2"/>
  <c r="O600" i="2"/>
  <c r="N600" i="2"/>
  <c r="M600" i="2"/>
  <c r="L600" i="2"/>
  <c r="H600" i="2"/>
  <c r="G600" i="2"/>
  <c r="D600" i="2"/>
  <c r="O599" i="2"/>
  <c r="N599" i="2"/>
  <c r="M599" i="2"/>
  <c r="L599" i="2"/>
  <c r="H599" i="2"/>
  <c r="G599" i="2"/>
  <c r="D599" i="2"/>
  <c r="O598" i="2"/>
  <c r="N598" i="2"/>
  <c r="M598" i="2"/>
  <c r="L598" i="2"/>
  <c r="H598" i="2"/>
  <c r="G598" i="2"/>
  <c r="D598" i="2"/>
  <c r="O597" i="2"/>
  <c r="N597" i="2"/>
  <c r="M597" i="2"/>
  <c r="L597" i="2"/>
  <c r="H597" i="2"/>
  <c r="G597" i="2"/>
  <c r="D597" i="2"/>
  <c r="O596" i="2"/>
  <c r="N596" i="2"/>
  <c r="M596" i="2"/>
  <c r="L596" i="2"/>
  <c r="H596" i="2"/>
  <c r="G596" i="2"/>
  <c r="D596" i="2"/>
  <c r="O595" i="2"/>
  <c r="N595" i="2"/>
  <c r="M595" i="2"/>
  <c r="L595" i="2"/>
  <c r="H595" i="2"/>
  <c r="G595" i="2"/>
  <c r="D595" i="2"/>
  <c r="O594" i="2"/>
  <c r="N594" i="2"/>
  <c r="M594" i="2"/>
  <c r="L594" i="2"/>
  <c r="H594" i="2"/>
  <c r="G594" i="2"/>
  <c r="D594" i="2"/>
  <c r="O593" i="2"/>
  <c r="N593" i="2"/>
  <c r="M593" i="2"/>
  <c r="L593" i="2"/>
  <c r="H593" i="2"/>
  <c r="G593" i="2"/>
  <c r="D593" i="2"/>
  <c r="O592" i="2"/>
  <c r="N592" i="2"/>
  <c r="M592" i="2"/>
  <c r="L592" i="2"/>
  <c r="H592" i="2"/>
  <c r="G592" i="2"/>
  <c r="D592" i="2"/>
  <c r="O591" i="2"/>
  <c r="N591" i="2"/>
  <c r="M591" i="2"/>
  <c r="L591" i="2"/>
  <c r="H591" i="2"/>
  <c r="G591" i="2"/>
  <c r="D591" i="2"/>
  <c r="O590" i="2"/>
  <c r="N590" i="2"/>
  <c r="M590" i="2"/>
  <c r="L590" i="2"/>
  <c r="H590" i="2"/>
  <c r="G590" i="2"/>
  <c r="D590" i="2"/>
  <c r="O589" i="2"/>
  <c r="N589" i="2"/>
  <c r="M589" i="2"/>
  <c r="L589" i="2"/>
  <c r="H589" i="2"/>
  <c r="G589" i="2"/>
  <c r="D589" i="2"/>
  <c r="O588" i="2"/>
  <c r="N588" i="2"/>
  <c r="M588" i="2"/>
  <c r="L588" i="2"/>
  <c r="H588" i="2"/>
  <c r="G588" i="2"/>
  <c r="D588" i="2"/>
  <c r="O587" i="2"/>
  <c r="N587" i="2"/>
  <c r="M587" i="2"/>
  <c r="L587" i="2"/>
  <c r="H587" i="2"/>
  <c r="G587" i="2"/>
  <c r="D587" i="2"/>
  <c r="O586" i="2"/>
  <c r="N586" i="2"/>
  <c r="M586" i="2"/>
  <c r="L586" i="2"/>
  <c r="H586" i="2"/>
  <c r="G586" i="2"/>
  <c r="D586" i="2"/>
  <c r="O585" i="2"/>
  <c r="N585" i="2"/>
  <c r="M585" i="2"/>
  <c r="L585" i="2"/>
  <c r="H585" i="2"/>
  <c r="G585" i="2"/>
  <c r="D585" i="2"/>
  <c r="O584" i="2"/>
  <c r="N584" i="2"/>
  <c r="M584" i="2"/>
  <c r="L584" i="2"/>
  <c r="H584" i="2"/>
  <c r="G584" i="2"/>
  <c r="D584" i="2"/>
  <c r="O583" i="2"/>
  <c r="N583" i="2"/>
  <c r="M583" i="2"/>
  <c r="L583" i="2"/>
  <c r="H583" i="2"/>
  <c r="G583" i="2"/>
  <c r="D583" i="2"/>
  <c r="O582" i="2"/>
  <c r="N582" i="2"/>
  <c r="M582" i="2"/>
  <c r="L582" i="2"/>
  <c r="H582" i="2"/>
  <c r="G582" i="2"/>
  <c r="D582" i="2"/>
  <c r="O581" i="2"/>
  <c r="N581" i="2"/>
  <c r="M581" i="2"/>
  <c r="L581" i="2"/>
  <c r="H581" i="2"/>
  <c r="G581" i="2"/>
  <c r="D581" i="2"/>
  <c r="O580" i="2"/>
  <c r="N580" i="2"/>
  <c r="M580" i="2"/>
  <c r="L580" i="2"/>
  <c r="H580" i="2"/>
  <c r="G580" i="2"/>
  <c r="D580" i="2"/>
  <c r="O579" i="2"/>
  <c r="N579" i="2"/>
  <c r="M579" i="2"/>
  <c r="L579" i="2"/>
  <c r="H579" i="2"/>
  <c r="G579" i="2"/>
  <c r="D579" i="2"/>
  <c r="O578" i="2"/>
  <c r="N578" i="2"/>
  <c r="M578" i="2"/>
  <c r="L578" i="2"/>
  <c r="H578" i="2"/>
  <c r="G578" i="2"/>
  <c r="D578" i="2"/>
  <c r="O577" i="2"/>
  <c r="N577" i="2"/>
  <c r="M577" i="2"/>
  <c r="L577" i="2"/>
  <c r="H577" i="2"/>
  <c r="G577" i="2"/>
  <c r="D577" i="2"/>
  <c r="O576" i="2"/>
  <c r="N576" i="2"/>
  <c r="M576" i="2"/>
  <c r="L576" i="2"/>
  <c r="H576" i="2"/>
  <c r="G576" i="2"/>
  <c r="D576" i="2"/>
  <c r="O575" i="2"/>
  <c r="N575" i="2"/>
  <c r="M575" i="2"/>
  <c r="L575" i="2"/>
  <c r="H575" i="2"/>
  <c r="G575" i="2"/>
  <c r="D575" i="2"/>
  <c r="O574" i="2"/>
  <c r="N574" i="2"/>
  <c r="M574" i="2"/>
  <c r="L574" i="2"/>
  <c r="H574" i="2"/>
  <c r="G574" i="2"/>
  <c r="D574" i="2"/>
  <c r="O573" i="2"/>
  <c r="N573" i="2"/>
  <c r="M573" i="2"/>
  <c r="L573" i="2"/>
  <c r="H573" i="2"/>
  <c r="G573" i="2"/>
  <c r="D573" i="2"/>
  <c r="O572" i="2"/>
  <c r="N572" i="2"/>
  <c r="M572" i="2"/>
  <c r="L572" i="2"/>
  <c r="H572" i="2"/>
  <c r="G572" i="2"/>
  <c r="D572" i="2"/>
  <c r="O571" i="2"/>
  <c r="N571" i="2"/>
  <c r="M571" i="2"/>
  <c r="L571" i="2"/>
  <c r="H571" i="2"/>
  <c r="G571" i="2"/>
  <c r="D571" i="2"/>
  <c r="O570" i="2"/>
  <c r="N570" i="2"/>
  <c r="M570" i="2"/>
  <c r="L570" i="2"/>
  <c r="H570" i="2"/>
  <c r="G570" i="2"/>
  <c r="D570" i="2"/>
  <c r="O569" i="2"/>
  <c r="N569" i="2"/>
  <c r="M569" i="2"/>
  <c r="L569" i="2"/>
  <c r="H569" i="2"/>
  <c r="G569" i="2"/>
  <c r="D569" i="2"/>
  <c r="O568" i="2"/>
  <c r="N568" i="2"/>
  <c r="M568" i="2"/>
  <c r="L568" i="2"/>
  <c r="H568" i="2"/>
  <c r="G568" i="2"/>
  <c r="D568" i="2"/>
  <c r="O567" i="2"/>
  <c r="N567" i="2"/>
  <c r="M567" i="2"/>
  <c r="L567" i="2"/>
  <c r="H567" i="2"/>
  <c r="G567" i="2"/>
  <c r="D567" i="2"/>
  <c r="O566" i="2"/>
  <c r="N566" i="2"/>
  <c r="M566" i="2"/>
  <c r="L566" i="2"/>
  <c r="H566" i="2"/>
  <c r="G566" i="2"/>
  <c r="D566" i="2"/>
  <c r="O565" i="2"/>
  <c r="N565" i="2"/>
  <c r="M565" i="2"/>
  <c r="L565" i="2"/>
  <c r="H565" i="2"/>
  <c r="G565" i="2"/>
  <c r="D565" i="2"/>
  <c r="O564" i="2"/>
  <c r="N564" i="2"/>
  <c r="M564" i="2"/>
  <c r="L564" i="2"/>
  <c r="H564" i="2"/>
  <c r="G564" i="2"/>
  <c r="D564" i="2"/>
  <c r="O563" i="2"/>
  <c r="N563" i="2"/>
  <c r="M563" i="2"/>
  <c r="L563" i="2"/>
  <c r="H563" i="2"/>
  <c r="G563" i="2"/>
  <c r="D563" i="2"/>
  <c r="O562" i="2"/>
  <c r="N562" i="2"/>
  <c r="M562" i="2"/>
  <c r="L562" i="2"/>
  <c r="H562" i="2"/>
  <c r="G562" i="2"/>
  <c r="D562" i="2"/>
  <c r="O561" i="2"/>
  <c r="N561" i="2"/>
  <c r="M561" i="2"/>
  <c r="L561" i="2"/>
  <c r="H561" i="2"/>
  <c r="G561" i="2"/>
  <c r="D561" i="2"/>
  <c r="O560" i="2"/>
  <c r="N560" i="2"/>
  <c r="M560" i="2"/>
  <c r="L560" i="2"/>
  <c r="H560" i="2"/>
  <c r="G560" i="2"/>
  <c r="D560" i="2"/>
  <c r="O559" i="2"/>
  <c r="N559" i="2"/>
  <c r="M559" i="2"/>
  <c r="L559" i="2"/>
  <c r="H559" i="2"/>
  <c r="G559" i="2"/>
  <c r="D559" i="2"/>
  <c r="O558" i="2"/>
  <c r="N558" i="2"/>
  <c r="M558" i="2"/>
  <c r="L558" i="2"/>
  <c r="H558" i="2"/>
  <c r="G558" i="2"/>
  <c r="D558" i="2"/>
  <c r="O557" i="2"/>
  <c r="N557" i="2"/>
  <c r="M557" i="2"/>
  <c r="L557" i="2"/>
  <c r="H557" i="2"/>
  <c r="G557" i="2"/>
  <c r="D557" i="2"/>
  <c r="O556" i="2"/>
  <c r="N556" i="2"/>
  <c r="M556" i="2"/>
  <c r="L556" i="2"/>
  <c r="H556" i="2"/>
  <c r="G556" i="2"/>
  <c r="D556" i="2"/>
  <c r="O555" i="2"/>
  <c r="N555" i="2"/>
  <c r="M555" i="2"/>
  <c r="L555" i="2"/>
  <c r="H555" i="2"/>
  <c r="G555" i="2"/>
  <c r="D555" i="2"/>
  <c r="O554" i="2"/>
  <c r="N554" i="2"/>
  <c r="M554" i="2"/>
  <c r="L554" i="2"/>
  <c r="H554" i="2"/>
  <c r="G554" i="2"/>
  <c r="D554" i="2"/>
  <c r="O553" i="2"/>
  <c r="N553" i="2"/>
  <c r="M553" i="2"/>
  <c r="L553" i="2"/>
  <c r="H553" i="2"/>
  <c r="G553" i="2"/>
  <c r="D553" i="2"/>
  <c r="O552" i="2"/>
  <c r="N552" i="2"/>
  <c r="M552" i="2"/>
  <c r="L552" i="2"/>
  <c r="H552" i="2"/>
  <c r="G552" i="2"/>
  <c r="D552" i="2"/>
  <c r="O551" i="2"/>
  <c r="N551" i="2"/>
  <c r="M551" i="2"/>
  <c r="L551" i="2"/>
  <c r="H551" i="2"/>
  <c r="G551" i="2"/>
  <c r="D551" i="2"/>
  <c r="O550" i="2"/>
  <c r="N550" i="2"/>
  <c r="M550" i="2"/>
  <c r="L550" i="2"/>
  <c r="H550" i="2"/>
  <c r="G550" i="2"/>
  <c r="D550" i="2"/>
  <c r="O549" i="2"/>
  <c r="N549" i="2"/>
  <c r="M549" i="2"/>
  <c r="L549" i="2"/>
  <c r="H549" i="2"/>
  <c r="G549" i="2"/>
  <c r="D549" i="2"/>
  <c r="O548" i="2"/>
  <c r="N548" i="2"/>
  <c r="M548" i="2"/>
  <c r="L548" i="2"/>
  <c r="H548" i="2"/>
  <c r="G548" i="2"/>
  <c r="D548" i="2"/>
  <c r="O547" i="2"/>
  <c r="N547" i="2"/>
  <c r="M547" i="2"/>
  <c r="L547" i="2"/>
  <c r="H547" i="2"/>
  <c r="G547" i="2"/>
  <c r="D547" i="2"/>
  <c r="O546" i="2"/>
  <c r="N546" i="2"/>
  <c r="M546" i="2"/>
  <c r="L546" i="2"/>
  <c r="H546" i="2"/>
  <c r="G546" i="2"/>
  <c r="D546" i="2"/>
  <c r="O545" i="2"/>
  <c r="N545" i="2"/>
  <c r="M545" i="2"/>
  <c r="L545" i="2"/>
  <c r="H545" i="2"/>
  <c r="G545" i="2"/>
  <c r="D545" i="2"/>
  <c r="O544" i="2"/>
  <c r="N544" i="2"/>
  <c r="M544" i="2"/>
  <c r="L544" i="2"/>
  <c r="H544" i="2"/>
  <c r="G544" i="2"/>
  <c r="D544" i="2"/>
  <c r="O543" i="2"/>
  <c r="N543" i="2"/>
  <c r="M543" i="2"/>
  <c r="L543" i="2"/>
  <c r="H543" i="2"/>
  <c r="G543" i="2"/>
  <c r="D543" i="2"/>
  <c r="O542" i="2"/>
  <c r="N542" i="2"/>
  <c r="M542" i="2"/>
  <c r="L542" i="2"/>
  <c r="H542" i="2"/>
  <c r="G542" i="2"/>
  <c r="D542" i="2"/>
  <c r="O541" i="2"/>
  <c r="N541" i="2"/>
  <c r="M541" i="2"/>
  <c r="L541" i="2"/>
  <c r="H541" i="2"/>
  <c r="G541" i="2"/>
  <c r="D541" i="2"/>
  <c r="O540" i="2"/>
  <c r="N540" i="2"/>
  <c r="M540" i="2"/>
  <c r="L540" i="2"/>
  <c r="H540" i="2"/>
  <c r="G540" i="2"/>
  <c r="D540" i="2"/>
  <c r="O539" i="2"/>
  <c r="N539" i="2"/>
  <c r="M539" i="2"/>
  <c r="L539" i="2"/>
  <c r="H539" i="2"/>
  <c r="G539" i="2"/>
  <c r="D539" i="2"/>
  <c r="O538" i="2"/>
  <c r="N538" i="2"/>
  <c r="M538" i="2"/>
  <c r="L538" i="2"/>
  <c r="H538" i="2"/>
  <c r="G538" i="2"/>
  <c r="D538" i="2"/>
  <c r="O537" i="2"/>
  <c r="N537" i="2"/>
  <c r="M537" i="2"/>
  <c r="L537" i="2"/>
  <c r="H537" i="2"/>
  <c r="G537" i="2"/>
  <c r="D537" i="2"/>
  <c r="O536" i="2"/>
  <c r="N536" i="2"/>
  <c r="M536" i="2"/>
  <c r="L536" i="2"/>
  <c r="H536" i="2"/>
  <c r="G536" i="2"/>
  <c r="D536" i="2"/>
  <c r="O535" i="2"/>
  <c r="N535" i="2"/>
  <c r="M535" i="2"/>
  <c r="L535" i="2"/>
  <c r="H535" i="2"/>
  <c r="G535" i="2"/>
  <c r="D535" i="2"/>
  <c r="O534" i="2"/>
  <c r="N534" i="2"/>
  <c r="M534" i="2"/>
  <c r="L534" i="2"/>
  <c r="H534" i="2"/>
  <c r="G534" i="2"/>
  <c r="D534" i="2"/>
  <c r="O533" i="2"/>
  <c r="N533" i="2"/>
  <c r="M533" i="2"/>
  <c r="L533" i="2"/>
  <c r="H533" i="2"/>
  <c r="G533" i="2"/>
  <c r="D533" i="2"/>
  <c r="O532" i="2"/>
  <c r="N532" i="2"/>
  <c r="M532" i="2"/>
  <c r="L532" i="2"/>
  <c r="H532" i="2"/>
  <c r="G532" i="2"/>
  <c r="D532" i="2"/>
  <c r="O531" i="2"/>
  <c r="N531" i="2"/>
  <c r="M531" i="2"/>
  <c r="L531" i="2"/>
  <c r="H531" i="2"/>
  <c r="G531" i="2"/>
  <c r="D531" i="2"/>
  <c r="O530" i="2"/>
  <c r="N530" i="2"/>
  <c r="M530" i="2"/>
  <c r="L530" i="2"/>
  <c r="H530" i="2"/>
  <c r="G530" i="2"/>
  <c r="D530" i="2"/>
  <c r="O529" i="2"/>
  <c r="N529" i="2"/>
  <c r="M529" i="2"/>
  <c r="L529" i="2"/>
  <c r="H529" i="2"/>
  <c r="G529" i="2"/>
  <c r="D529" i="2"/>
  <c r="O528" i="2"/>
  <c r="N528" i="2"/>
  <c r="M528" i="2"/>
  <c r="L528" i="2"/>
  <c r="H528" i="2"/>
  <c r="G528" i="2"/>
  <c r="D528" i="2"/>
  <c r="O527" i="2"/>
  <c r="N527" i="2"/>
  <c r="M527" i="2"/>
  <c r="L527" i="2"/>
  <c r="H527" i="2"/>
  <c r="G527" i="2"/>
  <c r="D527" i="2"/>
  <c r="O526" i="2"/>
  <c r="N526" i="2"/>
  <c r="M526" i="2"/>
  <c r="L526" i="2"/>
  <c r="H526" i="2"/>
  <c r="G526" i="2"/>
  <c r="D526" i="2"/>
  <c r="O525" i="2"/>
  <c r="N525" i="2"/>
  <c r="M525" i="2"/>
  <c r="L525" i="2"/>
  <c r="H525" i="2"/>
  <c r="G525" i="2"/>
  <c r="D525" i="2"/>
  <c r="O524" i="2"/>
  <c r="N524" i="2"/>
  <c r="M524" i="2"/>
  <c r="L524" i="2"/>
  <c r="H524" i="2"/>
  <c r="G524" i="2"/>
  <c r="D524" i="2"/>
  <c r="O523" i="2"/>
  <c r="N523" i="2"/>
  <c r="M523" i="2"/>
  <c r="L523" i="2"/>
  <c r="H523" i="2"/>
  <c r="G523" i="2"/>
  <c r="D523" i="2"/>
  <c r="O522" i="2"/>
  <c r="N522" i="2"/>
  <c r="M522" i="2"/>
  <c r="L522" i="2"/>
  <c r="H522" i="2"/>
  <c r="G522" i="2"/>
  <c r="D522" i="2"/>
  <c r="O521" i="2"/>
  <c r="N521" i="2"/>
  <c r="M521" i="2"/>
  <c r="L521" i="2"/>
  <c r="H521" i="2"/>
  <c r="G521" i="2"/>
  <c r="D521" i="2"/>
  <c r="O520" i="2"/>
  <c r="N520" i="2"/>
  <c r="M520" i="2"/>
  <c r="L520" i="2"/>
  <c r="H520" i="2"/>
  <c r="G520" i="2"/>
  <c r="D520" i="2"/>
  <c r="O519" i="2"/>
  <c r="N519" i="2"/>
  <c r="M519" i="2"/>
  <c r="L519" i="2"/>
  <c r="H519" i="2"/>
  <c r="G519" i="2"/>
  <c r="D519" i="2"/>
  <c r="O518" i="2"/>
  <c r="N518" i="2"/>
  <c r="M518" i="2"/>
  <c r="L518" i="2"/>
  <c r="H518" i="2"/>
  <c r="G518" i="2"/>
  <c r="D518" i="2"/>
  <c r="O517" i="2"/>
  <c r="N517" i="2"/>
  <c r="M517" i="2"/>
  <c r="L517" i="2"/>
  <c r="H517" i="2"/>
  <c r="G517" i="2"/>
  <c r="D517" i="2"/>
  <c r="O516" i="2"/>
  <c r="N516" i="2"/>
  <c r="M516" i="2"/>
  <c r="L516" i="2"/>
  <c r="H516" i="2"/>
  <c r="G516" i="2"/>
  <c r="D516" i="2"/>
  <c r="O515" i="2"/>
  <c r="N515" i="2"/>
  <c r="M515" i="2"/>
  <c r="L515" i="2"/>
  <c r="H515" i="2"/>
  <c r="G515" i="2"/>
  <c r="D515" i="2"/>
  <c r="O514" i="2"/>
  <c r="N514" i="2"/>
  <c r="M514" i="2"/>
  <c r="L514" i="2"/>
  <c r="H514" i="2"/>
  <c r="G514" i="2"/>
  <c r="D514" i="2"/>
  <c r="O513" i="2"/>
  <c r="N513" i="2"/>
  <c r="M513" i="2"/>
  <c r="L513" i="2"/>
  <c r="H513" i="2"/>
  <c r="G513" i="2"/>
  <c r="D513" i="2"/>
  <c r="O512" i="2"/>
  <c r="N512" i="2"/>
  <c r="M512" i="2"/>
  <c r="L512" i="2"/>
  <c r="H512" i="2"/>
  <c r="G512" i="2"/>
  <c r="D512" i="2"/>
  <c r="O511" i="2"/>
  <c r="N511" i="2"/>
  <c r="M511" i="2"/>
  <c r="L511" i="2"/>
  <c r="H511" i="2"/>
  <c r="G511" i="2"/>
  <c r="D511" i="2"/>
  <c r="O510" i="2"/>
  <c r="N510" i="2"/>
  <c r="M510" i="2"/>
  <c r="L510" i="2"/>
  <c r="H510" i="2"/>
  <c r="G510" i="2"/>
  <c r="D510" i="2"/>
  <c r="O509" i="2"/>
  <c r="N509" i="2"/>
  <c r="M509" i="2"/>
  <c r="L509" i="2"/>
  <c r="H509" i="2"/>
  <c r="G509" i="2"/>
  <c r="D509" i="2"/>
  <c r="O508" i="2"/>
  <c r="N508" i="2"/>
  <c r="M508" i="2"/>
  <c r="L508" i="2"/>
  <c r="H508" i="2"/>
  <c r="G508" i="2"/>
  <c r="D508" i="2"/>
  <c r="O507" i="2"/>
  <c r="N507" i="2"/>
  <c r="M507" i="2"/>
  <c r="L507" i="2"/>
  <c r="H507" i="2"/>
  <c r="G507" i="2"/>
  <c r="D507" i="2"/>
  <c r="O506" i="2"/>
  <c r="N506" i="2"/>
  <c r="M506" i="2"/>
  <c r="L506" i="2"/>
  <c r="H506" i="2"/>
  <c r="G506" i="2"/>
  <c r="D506" i="2"/>
  <c r="O505" i="2"/>
  <c r="N505" i="2"/>
  <c r="M505" i="2"/>
  <c r="L505" i="2"/>
  <c r="H505" i="2"/>
  <c r="G505" i="2"/>
  <c r="D505" i="2"/>
  <c r="O504" i="2"/>
  <c r="N504" i="2"/>
  <c r="M504" i="2"/>
  <c r="L504" i="2"/>
  <c r="H504" i="2"/>
  <c r="G504" i="2"/>
  <c r="D504" i="2"/>
  <c r="O503" i="2"/>
  <c r="N503" i="2"/>
  <c r="M503" i="2"/>
  <c r="L503" i="2"/>
  <c r="H503" i="2"/>
  <c r="G503" i="2"/>
  <c r="D503" i="2"/>
  <c r="O502" i="2"/>
  <c r="N502" i="2"/>
  <c r="M502" i="2"/>
  <c r="L502" i="2"/>
  <c r="H502" i="2"/>
  <c r="G502" i="2"/>
  <c r="D502" i="2"/>
  <c r="O501" i="2"/>
  <c r="N501" i="2"/>
  <c r="M501" i="2"/>
  <c r="L501" i="2"/>
  <c r="H501" i="2"/>
  <c r="G501" i="2"/>
  <c r="D501" i="2"/>
  <c r="O500" i="2"/>
  <c r="N500" i="2"/>
  <c r="M500" i="2"/>
  <c r="L500" i="2"/>
  <c r="H500" i="2"/>
  <c r="G500" i="2"/>
  <c r="D500" i="2"/>
  <c r="O499" i="2"/>
  <c r="N499" i="2"/>
  <c r="M499" i="2"/>
  <c r="L499" i="2"/>
  <c r="H499" i="2"/>
  <c r="G499" i="2"/>
  <c r="D499" i="2"/>
  <c r="O498" i="2"/>
  <c r="N498" i="2"/>
  <c r="M498" i="2"/>
  <c r="L498" i="2"/>
  <c r="H498" i="2"/>
  <c r="G498" i="2"/>
  <c r="D498" i="2"/>
  <c r="O497" i="2"/>
  <c r="N497" i="2"/>
  <c r="M497" i="2"/>
  <c r="L497" i="2"/>
  <c r="H497" i="2"/>
  <c r="G497" i="2"/>
  <c r="D497" i="2"/>
  <c r="O496" i="2"/>
  <c r="N496" i="2"/>
  <c r="M496" i="2"/>
  <c r="L496" i="2"/>
  <c r="H496" i="2"/>
  <c r="G496" i="2"/>
  <c r="D496" i="2"/>
  <c r="O495" i="2"/>
  <c r="N495" i="2"/>
  <c r="M495" i="2"/>
  <c r="L495" i="2"/>
  <c r="H495" i="2"/>
  <c r="G495" i="2"/>
  <c r="D495" i="2"/>
  <c r="O494" i="2"/>
  <c r="N494" i="2"/>
  <c r="M494" i="2"/>
  <c r="L494" i="2"/>
  <c r="H494" i="2"/>
  <c r="G494" i="2"/>
  <c r="D494" i="2"/>
  <c r="O493" i="2"/>
  <c r="N493" i="2"/>
  <c r="M493" i="2"/>
  <c r="L493" i="2"/>
  <c r="H493" i="2"/>
  <c r="G493" i="2"/>
  <c r="D493" i="2"/>
  <c r="O492" i="2"/>
  <c r="N492" i="2"/>
  <c r="M492" i="2"/>
  <c r="L492" i="2"/>
  <c r="H492" i="2"/>
  <c r="G492" i="2"/>
  <c r="D492" i="2"/>
  <c r="O491" i="2"/>
  <c r="N491" i="2"/>
  <c r="M491" i="2"/>
  <c r="L491" i="2"/>
  <c r="H491" i="2"/>
  <c r="G491" i="2"/>
  <c r="D491" i="2"/>
  <c r="O490" i="2"/>
  <c r="N490" i="2"/>
  <c r="M490" i="2"/>
  <c r="L490" i="2"/>
  <c r="H490" i="2"/>
  <c r="G490" i="2"/>
  <c r="D490" i="2"/>
  <c r="O489" i="2"/>
  <c r="N489" i="2"/>
  <c r="M489" i="2"/>
  <c r="L489" i="2"/>
  <c r="H489" i="2"/>
  <c r="G489" i="2"/>
  <c r="D489" i="2"/>
  <c r="O488" i="2"/>
  <c r="N488" i="2"/>
  <c r="M488" i="2"/>
  <c r="L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G392" i="2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G336" i="2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G334" i="2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D297" i="2"/>
  <c r="O296" i="2"/>
  <c r="N296" i="2"/>
  <c r="M296" i="2"/>
  <c r="L296" i="2"/>
  <c r="H296" i="2"/>
  <c r="G296" i="2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G274" i="2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G256" i="2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G192" i="2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G162" i="2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G104" i="2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G85" i="2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G79" i="2"/>
  <c r="D79" i="2"/>
  <c r="O78" i="2"/>
  <c r="N78" i="2"/>
  <c r="M78" i="2"/>
  <c r="L78" i="2"/>
  <c r="H78" i="2"/>
  <c r="G78" i="2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F182" i="1"/>
  <c r="E182" i="1"/>
  <c r="D182" i="1"/>
  <c r="C182" i="1"/>
  <c r="G181" i="1"/>
  <c r="F181" i="1"/>
  <c r="E181" i="1"/>
  <c r="D181" i="1"/>
  <c r="C181" i="1"/>
  <c r="G180" i="1"/>
  <c r="F180" i="1"/>
  <c r="E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F177" i="1"/>
  <c r="E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E174" i="1"/>
  <c r="D174" i="1"/>
  <c r="C174" i="1"/>
  <c r="G173" i="1"/>
  <c r="F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F170" i="1"/>
  <c r="E170" i="1"/>
  <c r="D170" i="1"/>
  <c r="C170" i="1"/>
  <c r="G169" i="1"/>
  <c r="F169" i="1"/>
  <c r="E169" i="1"/>
  <c r="D169" i="1"/>
  <c r="C169" i="1"/>
  <c r="G168" i="1"/>
  <c r="F168" i="1"/>
  <c r="E168" i="1"/>
  <c r="D168" i="1"/>
  <c r="C168" i="1"/>
  <c r="G167" i="1"/>
  <c r="F167" i="1"/>
  <c r="E167" i="1"/>
  <c r="D167" i="1"/>
  <c r="C167" i="1"/>
  <c r="G166" i="1"/>
  <c r="F166" i="1"/>
  <c r="E166" i="1"/>
  <c r="D166" i="1"/>
  <c r="C166" i="1"/>
  <c r="G165" i="1"/>
  <c r="F165" i="1"/>
  <c r="E165" i="1"/>
  <c r="D165" i="1"/>
  <c r="C165" i="1"/>
  <c r="G164" i="1"/>
  <c r="F164" i="1"/>
  <c r="E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F161" i="1"/>
  <c r="E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E158" i="1"/>
  <c r="D158" i="1"/>
  <c r="C158" i="1"/>
  <c r="G157" i="1"/>
  <c r="F157" i="1"/>
  <c r="E157" i="1"/>
  <c r="D157" i="1"/>
  <c r="C157" i="1"/>
  <c r="G156" i="1"/>
  <c r="F156" i="1"/>
  <c r="E156" i="1"/>
  <c r="D156" i="1"/>
  <c r="C156" i="1"/>
  <c r="G155" i="1"/>
  <c r="F155" i="1"/>
  <c r="E155" i="1"/>
  <c r="D155" i="1"/>
  <c r="C155" i="1"/>
  <c r="G154" i="1"/>
  <c r="F154" i="1"/>
  <c r="E154" i="1"/>
  <c r="D154" i="1"/>
  <c r="C154" i="1"/>
  <c r="G153" i="1"/>
  <c r="F153" i="1"/>
  <c r="E153" i="1"/>
  <c r="D153" i="1"/>
  <c r="C153" i="1"/>
  <c r="G152" i="1"/>
  <c r="F152" i="1"/>
  <c r="E152" i="1"/>
  <c r="D152" i="1"/>
  <c r="C152" i="1"/>
  <c r="G151" i="1"/>
  <c r="F151" i="1"/>
  <c r="E151" i="1"/>
  <c r="D151" i="1"/>
  <c r="C151" i="1"/>
  <c r="G150" i="1"/>
  <c r="F150" i="1"/>
  <c r="E150" i="1"/>
  <c r="D150" i="1"/>
  <c r="C150" i="1"/>
  <c r="G149" i="1"/>
  <c r="F149" i="1"/>
  <c r="E149" i="1"/>
  <c r="D149" i="1"/>
  <c r="C149" i="1"/>
  <c r="G148" i="1"/>
  <c r="F148" i="1"/>
  <c r="E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F145" i="1"/>
  <c r="E145" i="1"/>
  <c r="D145" i="1"/>
  <c r="C145" i="1"/>
  <c r="G144" i="1"/>
  <c r="F144" i="1"/>
  <c r="E144" i="1"/>
  <c r="D144" i="1"/>
  <c r="C144" i="1"/>
  <c r="G143" i="1"/>
  <c r="F143" i="1"/>
  <c r="E143" i="1"/>
  <c r="D143" i="1"/>
  <c r="C143" i="1"/>
  <c r="G142" i="1"/>
  <c r="F142" i="1"/>
  <c r="E142" i="1"/>
  <c r="D142" i="1"/>
  <c r="C142" i="1"/>
  <c r="G141" i="1"/>
  <c r="F141" i="1"/>
  <c r="E141" i="1"/>
  <c r="D141" i="1"/>
  <c r="C141" i="1"/>
  <c r="G140" i="1"/>
  <c r="F140" i="1"/>
  <c r="E140" i="1"/>
  <c r="D140" i="1"/>
  <c r="C140" i="1"/>
  <c r="G139" i="1"/>
  <c r="F139" i="1"/>
  <c r="E139" i="1"/>
  <c r="D139" i="1"/>
  <c r="C139" i="1"/>
  <c r="G138" i="1"/>
  <c r="F138" i="1"/>
  <c r="E138" i="1"/>
  <c r="D138" i="1"/>
  <c r="C138" i="1"/>
  <c r="G137" i="1"/>
  <c r="F137" i="1"/>
  <c r="E137" i="1"/>
  <c r="D137" i="1"/>
  <c r="C137" i="1"/>
  <c r="G136" i="1"/>
  <c r="F136" i="1"/>
  <c r="E136" i="1"/>
  <c r="D136" i="1"/>
  <c r="C136" i="1"/>
  <c r="G135" i="1"/>
  <c r="F135" i="1"/>
  <c r="E135" i="1"/>
  <c r="D135" i="1"/>
  <c r="C135" i="1"/>
  <c r="G134" i="1"/>
  <c r="F134" i="1"/>
  <c r="E134" i="1"/>
  <c r="D134" i="1"/>
  <c r="C134" i="1"/>
  <c r="G133" i="1"/>
  <c r="F133" i="1"/>
  <c r="E133" i="1"/>
  <c r="D133" i="1"/>
  <c r="C133" i="1"/>
  <c r="G132" i="1"/>
  <c r="F132" i="1"/>
  <c r="E132" i="1"/>
  <c r="D132" i="1"/>
  <c r="C132" i="1"/>
  <c r="G131" i="1"/>
  <c r="F131" i="1"/>
  <c r="E131" i="1"/>
  <c r="D131" i="1"/>
  <c r="C131" i="1"/>
  <c r="G130" i="1"/>
  <c r="F130" i="1"/>
  <c r="E130" i="1"/>
  <c r="D130" i="1"/>
  <c r="C130" i="1"/>
  <c r="G129" i="1"/>
  <c r="F129" i="1"/>
  <c r="E129" i="1"/>
  <c r="D129" i="1"/>
  <c r="C129" i="1"/>
  <c r="G128" i="1"/>
  <c r="F128" i="1"/>
  <c r="E128" i="1"/>
  <c r="D128" i="1"/>
  <c r="C128" i="1"/>
  <c r="G127" i="1"/>
  <c r="F127" i="1"/>
  <c r="E127" i="1"/>
  <c r="D127" i="1"/>
  <c r="C127" i="1"/>
  <c r="G126" i="1"/>
  <c r="F126" i="1"/>
  <c r="E126" i="1"/>
  <c r="D126" i="1"/>
  <c r="C126" i="1"/>
  <c r="G125" i="1"/>
  <c r="F125" i="1"/>
  <c r="E125" i="1"/>
  <c r="D125" i="1"/>
  <c r="C125" i="1"/>
  <c r="G124" i="1"/>
  <c r="F124" i="1"/>
  <c r="E124" i="1"/>
  <c r="D124" i="1"/>
  <c r="C124" i="1"/>
  <c r="G123" i="1"/>
  <c r="F123" i="1"/>
  <c r="E123" i="1"/>
  <c r="D123" i="1"/>
  <c r="C123" i="1"/>
  <c r="G122" i="1"/>
  <c r="F122" i="1"/>
  <c r="E122" i="1"/>
  <c r="D122" i="1"/>
  <c r="C122" i="1"/>
  <c r="G121" i="1"/>
  <c r="F121" i="1"/>
  <c r="E121" i="1"/>
  <c r="D121" i="1"/>
  <c r="C121" i="1"/>
  <c r="G120" i="1"/>
  <c r="F120" i="1"/>
  <c r="E120" i="1"/>
  <c r="D120" i="1"/>
  <c r="C120" i="1"/>
  <c r="G119" i="1"/>
  <c r="F119" i="1"/>
  <c r="E119" i="1"/>
  <c r="D119" i="1"/>
  <c r="C119" i="1"/>
  <c r="G118" i="1"/>
  <c r="F118" i="1"/>
  <c r="E118" i="1"/>
  <c r="D118" i="1"/>
  <c r="C118" i="1"/>
  <c r="G117" i="1"/>
  <c r="F117" i="1"/>
  <c r="E117" i="1"/>
  <c r="D117" i="1"/>
  <c r="C117" i="1"/>
  <c r="G116" i="1"/>
  <c r="F116" i="1"/>
  <c r="E116" i="1"/>
  <c r="D116" i="1"/>
  <c r="C116" i="1"/>
  <c r="G115" i="1"/>
  <c r="F115" i="1"/>
  <c r="E115" i="1"/>
  <c r="D115" i="1"/>
  <c r="C115" i="1"/>
  <c r="G114" i="1"/>
  <c r="F114" i="1"/>
  <c r="E114" i="1"/>
  <c r="D114" i="1"/>
  <c r="C114" i="1"/>
  <c r="G113" i="1"/>
  <c r="F113" i="1"/>
  <c r="E113" i="1"/>
  <c r="D113" i="1"/>
  <c r="C113" i="1"/>
  <c r="G112" i="1"/>
  <c r="F112" i="1"/>
  <c r="E112" i="1"/>
  <c r="D112" i="1"/>
  <c r="C112" i="1"/>
  <c r="G111" i="1"/>
  <c r="F111" i="1"/>
  <c r="E111" i="1"/>
  <c r="D111" i="1"/>
  <c r="C111" i="1"/>
  <c r="G110" i="1"/>
  <c r="F110" i="1"/>
  <c r="E110" i="1"/>
  <c r="D110" i="1"/>
  <c r="C110" i="1"/>
  <c r="G109" i="1"/>
  <c r="F109" i="1"/>
  <c r="E109" i="1"/>
  <c r="D109" i="1"/>
  <c r="C109" i="1"/>
  <c r="G108" i="1"/>
  <c r="F108" i="1"/>
  <c r="E108" i="1"/>
  <c r="D108" i="1"/>
  <c r="C108" i="1"/>
  <c r="G107" i="1"/>
  <c r="F107" i="1"/>
  <c r="E107" i="1"/>
  <c r="D107" i="1"/>
  <c r="C107" i="1"/>
  <c r="G106" i="1"/>
  <c r="F106" i="1"/>
  <c r="E106" i="1"/>
  <c r="D106" i="1"/>
  <c r="C106" i="1"/>
  <c r="G105" i="1"/>
  <c r="F105" i="1"/>
  <c r="E105" i="1"/>
  <c r="D105" i="1"/>
  <c r="C105" i="1"/>
  <c r="G104" i="1"/>
  <c r="F104" i="1"/>
  <c r="E104" i="1"/>
  <c r="D104" i="1"/>
  <c r="C104" i="1"/>
  <c r="G103" i="1"/>
  <c r="F103" i="1"/>
  <c r="E103" i="1"/>
  <c r="D103" i="1"/>
  <c r="C103" i="1"/>
  <c r="G102" i="1"/>
  <c r="F102" i="1"/>
  <c r="E102" i="1"/>
  <c r="D102" i="1"/>
  <c r="C102" i="1"/>
  <c r="G101" i="1"/>
  <c r="F101" i="1"/>
  <c r="E101" i="1"/>
  <c r="D101" i="1"/>
  <c r="C101" i="1"/>
  <c r="G100" i="1"/>
  <c r="F100" i="1"/>
  <c r="E100" i="1"/>
  <c r="D100" i="1"/>
  <c r="C100" i="1"/>
  <c r="G99" i="1"/>
  <c r="F99" i="1"/>
  <c r="E99" i="1"/>
  <c r="D99" i="1"/>
  <c r="C99" i="1"/>
  <c r="G98" i="1"/>
  <c r="F98" i="1"/>
  <c r="E98" i="1"/>
  <c r="D98" i="1"/>
  <c r="C98" i="1"/>
  <c r="G97" i="1"/>
  <c r="F97" i="1"/>
  <c r="E97" i="1"/>
  <c r="D97" i="1"/>
  <c r="C97" i="1"/>
  <c r="G96" i="1"/>
  <c r="F96" i="1"/>
  <c r="E96" i="1"/>
  <c r="D96" i="1"/>
  <c r="C96" i="1"/>
  <c r="G95" i="1"/>
  <c r="F95" i="1"/>
  <c r="E95" i="1"/>
  <c r="D95" i="1"/>
  <c r="C95" i="1"/>
  <c r="G94" i="1"/>
  <c r="F94" i="1"/>
  <c r="E94" i="1"/>
  <c r="D94" i="1"/>
  <c r="C94" i="1"/>
  <c r="G93" i="1"/>
  <c r="F93" i="1"/>
  <c r="E93" i="1"/>
  <c r="D93" i="1"/>
  <c r="C93" i="1"/>
  <c r="G92" i="1"/>
  <c r="F92" i="1"/>
  <c r="E92" i="1"/>
  <c r="D92" i="1"/>
  <c r="C92" i="1"/>
  <c r="G91" i="1"/>
  <c r="F91" i="1"/>
  <c r="E91" i="1"/>
  <c r="D91" i="1"/>
  <c r="C91" i="1"/>
  <c r="G90" i="1"/>
  <c r="F90" i="1"/>
  <c r="E90" i="1"/>
  <c r="D90" i="1"/>
  <c r="C90" i="1"/>
  <c r="G89" i="1"/>
  <c r="F89" i="1"/>
  <c r="E89" i="1"/>
  <c r="D89" i="1"/>
  <c r="C89" i="1"/>
  <c r="G88" i="1"/>
  <c r="F88" i="1"/>
  <c r="E88" i="1"/>
  <c r="D88" i="1"/>
  <c r="C88" i="1"/>
  <c r="G87" i="1"/>
  <c r="F87" i="1"/>
  <c r="E87" i="1"/>
  <c r="D87" i="1"/>
  <c r="C87" i="1"/>
  <c r="G86" i="1"/>
  <c r="F86" i="1"/>
  <c r="E86" i="1"/>
  <c r="D86" i="1"/>
  <c r="C86" i="1"/>
  <c r="G85" i="1"/>
  <c r="F85" i="1"/>
  <c r="E85" i="1"/>
  <c r="D85" i="1"/>
  <c r="C85" i="1"/>
  <c r="G84" i="1"/>
  <c r="F84" i="1"/>
  <c r="E84" i="1"/>
  <c r="D84" i="1"/>
  <c r="C84" i="1"/>
  <c r="G83" i="1"/>
  <c r="F83" i="1"/>
  <c r="E83" i="1"/>
  <c r="D83" i="1"/>
  <c r="C83" i="1"/>
  <c r="G82" i="1"/>
  <c r="F82" i="1"/>
  <c r="E82" i="1"/>
  <c r="D82" i="1"/>
  <c r="C82" i="1"/>
  <c r="G81" i="1"/>
  <c r="F81" i="1"/>
  <c r="E81" i="1"/>
  <c r="D81" i="1"/>
  <c r="C81" i="1"/>
  <c r="G80" i="1"/>
  <c r="F80" i="1"/>
  <c r="E80" i="1"/>
  <c r="D80" i="1"/>
  <c r="C80" i="1"/>
  <c r="G79" i="1"/>
  <c r="F79" i="1"/>
  <c r="E79" i="1"/>
  <c r="D79" i="1"/>
  <c r="C79" i="1"/>
  <c r="G78" i="1"/>
  <c r="F78" i="1"/>
  <c r="E78" i="1"/>
  <c r="D78" i="1"/>
  <c r="C78" i="1"/>
  <c r="G77" i="1"/>
  <c r="F77" i="1"/>
  <c r="E77" i="1"/>
  <c r="D77" i="1"/>
  <c r="C77" i="1"/>
  <c r="G76" i="1"/>
  <c r="F76" i="1"/>
  <c r="E76" i="1"/>
  <c r="D76" i="1"/>
  <c r="C76" i="1"/>
  <c r="G75" i="1"/>
  <c r="F75" i="1"/>
  <c r="E75" i="1"/>
  <c r="D75" i="1"/>
  <c r="C75" i="1"/>
  <c r="G74" i="1"/>
  <c r="F74" i="1"/>
  <c r="E74" i="1"/>
  <c r="D74" i="1"/>
  <c r="C74" i="1"/>
  <c r="G73" i="1"/>
  <c r="F73" i="1"/>
  <c r="E73" i="1"/>
  <c r="D73" i="1"/>
  <c r="C73" i="1"/>
  <c r="G72" i="1"/>
  <c r="F72" i="1"/>
  <c r="E72" i="1"/>
  <c r="D72" i="1"/>
  <c r="C72" i="1"/>
  <c r="G71" i="1"/>
  <c r="F71" i="1"/>
  <c r="E71" i="1"/>
  <c r="D71" i="1"/>
  <c r="C71" i="1"/>
  <c r="G70" i="1"/>
  <c r="F70" i="1"/>
  <c r="E70" i="1"/>
  <c r="D70" i="1"/>
  <c r="C70" i="1"/>
  <c r="G69" i="1"/>
  <c r="F69" i="1"/>
  <c r="E69" i="1"/>
  <c r="D69" i="1"/>
  <c r="C69" i="1"/>
  <c r="G68" i="1"/>
  <c r="F68" i="1"/>
  <c r="E68" i="1"/>
  <c r="D68" i="1"/>
  <c r="C68" i="1"/>
  <c r="G67" i="1"/>
  <c r="F67" i="1"/>
  <c r="E67" i="1"/>
  <c r="D67" i="1"/>
  <c r="C67" i="1"/>
  <c r="G66" i="1"/>
  <c r="F66" i="1"/>
  <c r="E66" i="1"/>
  <c r="D66" i="1"/>
  <c r="C66" i="1"/>
  <c r="G65" i="1"/>
  <c r="F65" i="1"/>
  <c r="E65" i="1"/>
  <c r="D65" i="1"/>
  <c r="C65" i="1"/>
  <c r="G64" i="1"/>
  <c r="F64" i="1"/>
  <c r="E64" i="1"/>
  <c r="D64" i="1"/>
  <c r="C64" i="1"/>
  <c r="G63" i="1"/>
  <c r="F63" i="1"/>
  <c r="E63" i="1"/>
  <c r="D63" i="1"/>
  <c r="C63" i="1"/>
  <c r="G62" i="1"/>
  <c r="F62" i="1"/>
  <c r="E62" i="1"/>
  <c r="D62" i="1"/>
  <c r="C62" i="1"/>
  <c r="G61" i="1"/>
  <c r="F61" i="1"/>
  <c r="E61" i="1"/>
  <c r="D61" i="1"/>
  <c r="C61" i="1"/>
  <c r="G60" i="1"/>
  <c r="F60" i="1"/>
  <c r="E60" i="1"/>
  <c r="D60" i="1"/>
  <c r="C60" i="1"/>
  <c r="G59" i="1"/>
  <c r="F59" i="1"/>
  <c r="E59" i="1"/>
  <c r="D59" i="1"/>
  <c r="C59" i="1"/>
  <c r="G58" i="1"/>
  <c r="F58" i="1"/>
  <c r="E58" i="1"/>
  <c r="D58" i="1"/>
  <c r="C58" i="1"/>
  <c r="G57" i="1"/>
  <c r="F57" i="1"/>
  <c r="E57" i="1"/>
  <c r="D57" i="1"/>
  <c r="C57" i="1"/>
  <c r="G56" i="1"/>
  <c r="F56" i="1"/>
  <c r="E56" i="1"/>
  <c r="D56" i="1"/>
  <c r="C56" i="1"/>
  <c r="G55" i="1"/>
  <c r="F55" i="1"/>
  <c r="E55" i="1"/>
  <c r="D55" i="1"/>
  <c r="C55" i="1"/>
  <c r="G54" i="1"/>
  <c r="F54" i="1"/>
  <c r="E54" i="1"/>
  <c r="D54" i="1"/>
  <c r="C54" i="1"/>
  <c r="G53" i="1"/>
  <c r="F53" i="1"/>
  <c r="E53" i="1"/>
  <c r="D53" i="1"/>
  <c r="C53" i="1"/>
  <c r="G52" i="1"/>
  <c r="F52" i="1"/>
  <c r="E52" i="1"/>
  <c r="D52" i="1"/>
  <c r="C52" i="1"/>
  <c r="G51" i="1"/>
  <c r="F51" i="1"/>
  <c r="E51" i="1"/>
  <c r="D51" i="1"/>
  <c r="C51" i="1"/>
  <c r="G50" i="1"/>
  <c r="F50" i="1"/>
  <c r="E50" i="1"/>
  <c r="D50" i="1"/>
  <c r="C50" i="1"/>
  <c r="G49" i="1"/>
  <c r="F49" i="1"/>
  <c r="E49" i="1"/>
  <c r="D49" i="1"/>
  <c r="C49" i="1"/>
  <c r="G48" i="1"/>
  <c r="F48" i="1"/>
  <c r="E48" i="1"/>
  <c r="D48" i="1"/>
  <c r="C48" i="1"/>
  <c r="G47" i="1"/>
  <c r="F47" i="1"/>
  <c r="E47" i="1"/>
  <c r="D47" i="1"/>
  <c r="C47" i="1"/>
  <c r="G46" i="1"/>
  <c r="F46" i="1"/>
  <c r="E46" i="1"/>
  <c r="D46" i="1"/>
  <c r="C46" i="1"/>
  <c r="G45" i="1"/>
  <c r="F45" i="1"/>
  <c r="E45" i="1"/>
  <c r="D45" i="1"/>
  <c r="C45" i="1"/>
  <c r="G44" i="1"/>
  <c r="F44" i="1"/>
  <c r="E44" i="1"/>
  <c r="D44" i="1"/>
  <c r="C44" i="1"/>
  <c r="G43" i="1"/>
  <c r="F43" i="1"/>
  <c r="E43" i="1"/>
  <c r="D43" i="1"/>
  <c r="C43" i="1"/>
  <c r="G42" i="1"/>
  <c r="F42" i="1"/>
  <c r="E42" i="1"/>
  <c r="D42" i="1"/>
  <c r="C42" i="1"/>
  <c r="G41" i="1"/>
  <c r="F41" i="1"/>
  <c r="E41" i="1"/>
  <c r="D41" i="1"/>
  <c r="C41" i="1"/>
  <c r="G40" i="1"/>
  <c r="F40" i="1"/>
  <c r="E40" i="1"/>
  <c r="D40" i="1"/>
  <c r="C40" i="1"/>
  <c r="G39" i="1"/>
  <c r="F39" i="1"/>
  <c r="E39" i="1"/>
  <c r="D39" i="1"/>
  <c r="C39" i="1"/>
  <c r="G38" i="1"/>
  <c r="F38" i="1"/>
  <c r="E38" i="1"/>
  <c r="D38" i="1"/>
  <c r="C38" i="1"/>
  <c r="G37" i="1"/>
  <c r="F37" i="1"/>
  <c r="E37" i="1"/>
  <c r="D37" i="1"/>
  <c r="C37" i="1"/>
  <c r="G36" i="1"/>
  <c r="F36" i="1"/>
  <c r="E36" i="1"/>
  <c r="D36" i="1"/>
  <c r="C36" i="1"/>
  <c r="G35" i="1"/>
  <c r="F35" i="1"/>
  <c r="E35" i="1"/>
  <c r="D35" i="1"/>
  <c r="C35" i="1"/>
  <c r="G34" i="1"/>
  <c r="F34" i="1"/>
  <c r="E34" i="1"/>
  <c r="D34" i="1"/>
  <c r="C34" i="1"/>
  <c r="G33" i="1"/>
  <c r="F33" i="1"/>
  <c r="E33" i="1"/>
  <c r="D33" i="1"/>
  <c r="C33" i="1"/>
  <c r="G32" i="1"/>
  <c r="F32" i="1"/>
  <c r="E32" i="1"/>
  <c r="D32" i="1"/>
  <c r="C32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G27" i="1"/>
  <c r="F27" i="1"/>
  <c r="E27" i="1"/>
  <c r="D27" i="1"/>
  <c r="C27" i="1"/>
  <c r="G26" i="1"/>
  <c r="F26" i="1"/>
  <c r="E26" i="1"/>
  <c r="D26" i="1"/>
  <c r="C26" i="1"/>
  <c r="G25" i="1"/>
  <c r="F25" i="1"/>
  <c r="E25" i="1"/>
  <c r="D25" i="1"/>
  <c r="C25" i="1"/>
  <c r="G24" i="1"/>
  <c r="F24" i="1"/>
  <c r="E24" i="1"/>
  <c r="D24" i="1"/>
  <c r="C24" i="1"/>
  <c r="G23" i="1"/>
  <c r="F23" i="1"/>
  <c r="E23" i="1"/>
  <c r="D23" i="1"/>
  <c r="C23" i="1"/>
  <c r="G22" i="1"/>
  <c r="F22" i="1"/>
  <c r="E22" i="1"/>
  <c r="D22" i="1"/>
  <c r="C22" i="1"/>
  <c r="G21" i="1"/>
  <c r="F21" i="1"/>
  <c r="E21" i="1"/>
  <c r="D21" i="1"/>
  <c r="C21" i="1"/>
  <c r="G20" i="1"/>
  <c r="F20" i="1"/>
  <c r="E20" i="1"/>
  <c r="D20" i="1"/>
  <c r="C20" i="1"/>
  <c r="G19" i="1"/>
  <c r="F19" i="1"/>
  <c r="E19" i="1"/>
  <c r="D19" i="1"/>
  <c r="C19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G10" i="1"/>
  <c r="F10" i="1"/>
  <c r="E10" i="1"/>
  <c r="D10" i="1"/>
  <c r="C10" i="1"/>
  <c r="G9" i="1"/>
  <c r="F9" i="1"/>
  <c r="E9" i="1"/>
  <c r="D9" i="1"/>
  <c r="C9" i="1"/>
  <c r="G8" i="1"/>
  <c r="F8" i="1"/>
  <c r="E8" i="1"/>
  <c r="D8" i="1"/>
  <c r="C8" i="1"/>
  <c r="G7" i="1"/>
  <c r="F7" i="1"/>
  <c r="E7" i="1"/>
  <c r="D7" i="1"/>
  <c r="C7" i="1"/>
  <c r="G6" i="1"/>
  <c r="F6" i="1"/>
  <c r="E6" i="1"/>
  <c r="D6" i="1"/>
  <c r="C6" i="1"/>
  <c r="G5" i="1"/>
  <c r="F5" i="1"/>
  <c r="E5" i="1"/>
  <c r="D5" i="1"/>
  <c r="C5" i="1"/>
  <c r="G4" i="1"/>
  <c r="F4" i="1"/>
  <c r="E4" i="1"/>
  <c r="D4" i="1"/>
  <c r="C4" i="1"/>
  <c r="G3" i="1"/>
  <c r="F3" i="1"/>
  <c r="E3" i="1"/>
  <c r="D3" i="1"/>
  <c r="C3" i="1"/>
  <c r="G2" i="1"/>
  <c r="F2" i="1"/>
  <c r="E2" i="1"/>
  <c r="D2" i="1"/>
  <c r="C2" i="1"/>
</calcChain>
</file>

<file path=xl/sharedStrings.xml><?xml version="1.0" encoding="utf-8"?>
<sst xmlns="http://schemas.openxmlformats.org/spreadsheetml/2006/main" count="2378" uniqueCount="291">
  <si>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</si>
  <si>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</si>
  <si>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</si>
  <si>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</si>
  <si>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</si>
  <si>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</si>
  <si>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</si>
  <si>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</si>
  <si>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</si>
  <si>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</si>
  <si>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</si>
  <si>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</si>
  <si>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</si>
  <si>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</si>
  <si>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</si>
  <si>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</si>
  <si>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</si>
  <si>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</si>
  <si>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</si>
  <si>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</si>
  <si>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</si>
  <si>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</si>
  <si>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</si>
  <si>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</si>
  <si>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</si>
  <si>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</si>
  <si>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</si>
  <si>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</si>
  <si>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</si>
  <si>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</si>
  <si>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</si>
  <si>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</si>
  <si>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</si>
  <si>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</si>
  <si>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</si>
  <si>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</si>
  <si>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</si>
  <si>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</si>
  <si>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</si>
  <si>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</si>
  <si>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</si>
  <si>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</si>
  <si>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</si>
  <si>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</si>
  <si>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</si>
  <si>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</si>
  <si>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</si>
  <si>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</si>
  <si>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</si>
  <si>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</si>
  <si>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</si>
  <si>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</si>
  <si>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</si>
  <si>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</si>
  <si>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</si>
  <si>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</si>
  <si>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</si>
  <si>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</si>
  <si>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</si>
  <si>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</si>
  <si>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</si>
  <si>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</si>
  <si>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</si>
  <si>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</si>
  <si>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</si>
  <si>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</si>
  <si>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</si>
  <si>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</si>
  <si>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</si>
  <si>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</si>
  <si>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</si>
  <si>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</si>
  <si>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</si>
  <si>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</si>
  <si>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</si>
  <si>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</si>
  <si>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</si>
  <si>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</si>
  <si>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</si>
  <si>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</si>
  <si>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</si>
  <si>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</si>
  <si>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</si>
  <si>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</si>
  <si>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</si>
  <si>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</si>
  <si>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</si>
  <si>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</si>
  <si>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</si>
  <si>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</si>
  <si>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</si>
  <si>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</si>
  <si>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</si>
  <si>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</si>
  <si>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</si>
  <si>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</si>
  <si>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</si>
  <si>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</si>
  <si>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</si>
  <si>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</si>
  <si>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</si>
  <si>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</si>
  <si>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</si>
  <si>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</si>
  <si>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</si>
  <si>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</si>
  <si>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</si>
  <si>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</si>
  <si>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</si>
  <si>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</si>
  <si>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</si>
  <si>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</si>
  <si>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</si>
  <si>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</si>
  <si>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</si>
  <si>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</si>
  <si>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</si>
  <si>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</si>
  <si>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</si>
  <si>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</si>
  <si>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</si>
  <si>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</si>
  <si>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</si>
  <si>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</si>
  <si>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</si>
  <si>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</si>
  <si>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</si>
  <si>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</si>
  <si>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</si>
  <si>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</si>
  <si>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</si>
  <si>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</si>
  <si>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</si>
  <si>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</si>
  <si>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</si>
  <si>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</si>
  <si>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</si>
  <si>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</si>
  <si>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</si>
  <si>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</si>
  <si>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</si>
  <si>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</si>
  <si>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</si>
  <si>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</si>
  <si>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</si>
  <si>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</si>
  <si>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</si>
  <si>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</si>
  <si>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</si>
  <si>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</si>
  <si>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</si>
  <si>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</si>
  <si>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</si>
  <si>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</si>
  <si>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</si>
  <si>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</si>
  <si>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</si>
  <si>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</si>
  <si>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</si>
  <si>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</si>
  <si>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</si>
  <si>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</si>
  <si>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</si>
  <si>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</si>
  <si>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</si>
  <si>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</si>
  <si>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</si>
  <si>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</si>
  <si>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</si>
  <si>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</si>
  <si>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</si>
  <si>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</si>
  <si>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</si>
  <si>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</si>
  <si>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</si>
  <si>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</si>
  <si>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</si>
  <si>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</si>
  <si>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</si>
  <si>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</si>
  <si>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</si>
  <si>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</si>
  <si>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</si>
  <si>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</si>
  <si>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</si>
  <si>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</si>
  <si>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</si>
  <si>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</si>
  <si>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</si>
  <si>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</si>
  <si>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</si>
  <si>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</si>
  <si>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</si>
  <si>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</si>
  <si>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</si>
  <si>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</si>
  <si>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</si>
  <si>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</si>
  <si>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</si>
  <si>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</si>
  <si>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</si>
  <si>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</si>
  <si>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</si>
  <si>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</si>
  <si>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</si>
  <si>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</si>
  <si>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</si>
  <si>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</si>
  <si>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</si>
  <si>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</si>
  <si>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</si>
  <si>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</si>
  <si>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</si>
  <si>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</si>
  <si>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</si>
  <si>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</si>
  <si>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</si>
  <si>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</si>
  <si>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</si>
  <si>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</si>
  <si>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</si>
  <si>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</si>
  <si>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</si>
  <si>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</si>
  <si>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</si>
  <si>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</si>
  <si>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</si>
  <si>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</si>
  <si>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</si>
  <si>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</si>
  <si>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</si>
  <si>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</si>
  <si>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</si>
  <si>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</si>
  <si>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</si>
  <si>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</si>
  <si>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</si>
  <si>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</si>
  <si>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</si>
  <si>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</si>
  <si>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</si>
  <si>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</si>
  <si>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</si>
  <si>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</si>
  <si>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</si>
  <si>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</si>
  <si>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</si>
  <si>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</si>
  <si>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</si>
  <si>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</si>
  <si>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</si>
  <si>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</si>
  <si>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</si>
  <si>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</si>
  <si>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</si>
  <si>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</si>
  <si>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</si>
  <si>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</si>
  <si>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</si>
  <si>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</si>
  <si>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</si>
  <si>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</si>
  <si>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</si>
  <si>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</si>
  <si>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</si>
  <si>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</si>
  <si>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</si>
  <si>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</si>
  <si>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</si>
  <si>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</si>
  <si>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</si>
  <si>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</si>
  <si>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</si>
  <si>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</si>
  <si>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</si>
  <si>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</si>
  <si>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</si>
  <si>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</si>
  <si>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</si>
  <si>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</si>
  <si>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</si>
  <si>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</si>
  <si>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</si>
  <si>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</si>
  <si>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</si>
  <si>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</si>
  <si>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</si>
  <si>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</si>
  <si>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</si>
  <si>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</si>
  <si>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https://mitino.streamlit.app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</si>
</sst>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3" x14ac:knownFonts="1"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1"/>
      <name val="Calibri"/>
    </font>
    <font>
      <b/>
      <sz val="11"/>
      <color theme="1"/>
      <name val="Calibri"/>
    </font>
    <font>
      <b/>
      <sz val="11"/>
      <color rgb="FFFFFFFF"/>
      <name val="Calibri"/>
    </font>
    <font>
      <sz val="12"/>
      <color theme="1"/>
      <name val="Calibri"/>
      <family val="2"/>
      <scheme val="minor"/>
    </font>
    <font>
      <u/>
      <sz val="11"/>
      <color theme="1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center" vertical="center" wrapText="1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</cellXfs>
  <cellStyles count="2">
    <cellStyle name="Гиперссылка" xfId="1" builtinId="8"/>
    <cellStyle name="Обычный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2">
  <autoFilter ref="A1:G182" xr:uid="{00000000-0009-0000-0100-000002000000}"/>
  <tableColumns count="7">
    <tableColumn id="1" xr3:uid="{00000000-0010-0000-0000-000001000000}" name="player_id"/>
    <tableColumn id="2" xr3:uid="{00000000-0010-0000-0000-000002000000}" name="player_name"/>
    <tableColumn id="3" xr3:uid="{00000000-0010-0000-0000-000003000000}" name="goals"/>
    <tableColumn id="4" xr3:uid="{00000000-0010-0000-0000-000004000000}" name="assists"/>
    <tableColumn id="5" xr3:uid="{00000000-0010-0000-0000-000005000000}" name="wins"/>
    <tableColumn id="7" xr3:uid="{00000000-0010-0000-0000-000007000000}" name="draws"/>
    <tableColumn id="8" xr3:uid="{00000000-0010-0000-0000-000008000000}" name="fou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23">
  <autoFilter ref="A1:O152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12">
  <autoFilter ref="A1:I212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1" totalsRowShown="0" headerRowDxfId="14" dataDxfId="13">
  <autoFilter ref="A1:D21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86" totalsRowShown="0" headerRowDxfId="8" dataDxfId="6" headerRowBorderDxfId="7" tableBorderDxfId="5" totalsRowBorderDxfId="4">
  <autoFilter ref="A1:D186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5" Type="http://schemas.openxmlformats.org/officeDocument/2006/relationships/table" Target="../tables/table6.xm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2"/>
  <sheetViews>
    <sheetView topLeftCell="A149" workbookViewId="0">
      <selection activeCell="A2" sqref="A2:A182"/>
    </sheetView>
  </sheetViews>
  <sheetFormatPr defaultRowHeight="15" x14ac:dyDescent="0.25"/>
  <cols>
    <col min="1" max="1" width="20.5703125" style="38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28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</row>
    <row r="2" spans="1:7" ht="15.75" x14ac:dyDescent="0.25">
      <c r="A2" s="29" t="s">
        <v>7</v>
      </c>
      <c r="B2" s="29" t="s">
        <v>7</v>
      </c>
      <c r="C2" s="19">
        <f>SUMIFS(_stats[goals_on_date],_stats[player_id],_players[[#This Row],[player_id]])</f>
        <v>102</v>
      </c>
      <c r="D2" s="19">
        <f>SUMIFS(_stats[assists_on_date],_stats[player_id],_players[[#This Row],[player_id]])</f>
        <v>40</v>
      </c>
      <c r="E2" s="19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0">
        <f>SUMIFS(_stats[foul_on_date],_stats[player_id],_players[[#This Row],[player_id]])</f>
        <v>0</v>
      </c>
    </row>
    <row r="3" spans="1:7" ht="15.75" x14ac:dyDescent="0.25">
      <c r="A3" s="30" t="s">
        <v>8</v>
      </c>
      <c r="B3" s="30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196</v>
      </c>
      <c r="F3" s="12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30" t="s">
        <v>9</v>
      </c>
      <c r="B4" s="30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7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31" t="s">
        <v>10</v>
      </c>
      <c r="B5" s="31" t="s">
        <v>10</v>
      </c>
      <c r="C5" s="21">
        <f>SUMIFS(_stats[goals_on_date],_stats[player_id],_players[[#This Row],[player_id]])</f>
        <v>17</v>
      </c>
      <c r="D5" s="21">
        <f>SUMIFS(_stats[assists_on_date],_stats[player_id],_players[[#This Row],[player_id]])</f>
        <v>34</v>
      </c>
      <c r="E5" s="21">
        <f>SUMIFS(_stats[wins_on_date],_stats[player_id],_players[[#This Row],[player_id]])</f>
        <v>117</v>
      </c>
      <c r="F5" s="22">
        <f>SUMIFS(_stats[draws_on_date],_stats[player_id],_players[[#This Row],[player_id]])</f>
        <v>22</v>
      </c>
      <c r="G5" s="22">
        <f>SUMIFS(_stats[foul_on_date],_stats[player_id],_players[[#This Row],[player_id]])</f>
        <v>0</v>
      </c>
    </row>
    <row r="6" spans="1:7" ht="15.75" x14ac:dyDescent="0.25">
      <c r="A6" s="30" t="s">
        <v>11</v>
      </c>
      <c r="B6" s="30" t="s">
        <v>11</v>
      </c>
      <c r="C6" s="16">
        <f>SUMIFS(_stats[goals_on_date],_stats[player_id],_players[[#This Row],[player_id]])</f>
        <v>36</v>
      </c>
      <c r="D6" s="16">
        <f>SUMIFS(_stats[assists_on_date],_stats[player_id],_players[[#This Row],[player_id]])</f>
        <v>20</v>
      </c>
      <c r="E6" s="16">
        <f>SUMIFS(_stats[wins_on_date],_stats[player_id],_players[[#This Row],[player_id]])</f>
        <v>213</v>
      </c>
      <c r="F6" s="17">
        <f>SUMIFS(_stats[draws_on_date],_stats[player_id],_players[[#This Row],[player_id]])</f>
        <v>55</v>
      </c>
      <c r="G6" s="17">
        <f>SUMIFS(_stats[foul_on_date],_stats[player_id],_players[[#This Row],[player_id]])</f>
        <v>1</v>
      </c>
    </row>
    <row r="7" spans="1:7" ht="15.75" x14ac:dyDescent="0.25">
      <c r="A7" s="30" t="s">
        <v>12</v>
      </c>
      <c r="B7" s="30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2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32" t="s">
        <v>13</v>
      </c>
      <c r="B8" s="32" t="s">
        <v>13</v>
      </c>
      <c r="C8" s="11">
        <f>SUMIFS(_stats[goals_on_date],_stats[player_id],_players[[#This Row],[player_id]])</f>
        <v>47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167</v>
      </c>
      <c r="F8" s="12">
        <f>SUMIFS(_stats[draws_on_date],_stats[player_id],_players[[#This Row],[player_id]])</f>
        <v>48</v>
      </c>
      <c r="G8" s="12">
        <f>SUMIFS(_stats[foul_on_date],_stats[player_id],_players[[#This Row],[player_id]])</f>
        <v>2</v>
      </c>
    </row>
    <row r="9" spans="1:7" x14ac:dyDescent="0.25">
      <c r="A9" s="33" t="s">
        <v>14</v>
      </c>
      <c r="B9" s="33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7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30" t="s">
        <v>15</v>
      </c>
      <c r="B10" s="30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7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29" t="s">
        <v>16</v>
      </c>
      <c r="B11" s="29" t="s">
        <v>16</v>
      </c>
      <c r="C11" s="21">
        <f>SUMIFS(_stats[goals_on_date],_stats[player_id],_players[[#This Row],[player_id]])</f>
        <v>31</v>
      </c>
      <c r="D11" s="21">
        <f>SUMIFS(_stats[assists_on_date],_stats[player_id],_players[[#This Row],[player_id]])</f>
        <v>21</v>
      </c>
      <c r="E11" s="21">
        <f>SUMIFS(_stats[wins_on_date],_stats[player_id],_players[[#This Row],[player_id]])</f>
        <v>61</v>
      </c>
      <c r="F11" s="22">
        <f>SUMIFS(_stats[draws_on_date],_stats[player_id],_players[[#This Row],[player_id]])</f>
        <v>6</v>
      </c>
      <c r="G11" s="22">
        <f>SUMIFS(_stats[foul_on_date],_stats[player_id],_players[[#This Row],[player_id]])</f>
        <v>0</v>
      </c>
    </row>
    <row r="12" spans="1:7" ht="15.75" x14ac:dyDescent="0.25">
      <c r="A12" s="34" t="s">
        <v>17</v>
      </c>
      <c r="B12" s="32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84</v>
      </c>
      <c r="E12" s="16">
        <f>SUMIFS(_stats[wins_on_date],_stats[player_id],_players[[#This Row],[player_id]])</f>
        <v>158</v>
      </c>
      <c r="F12" s="17">
        <f>SUMIFS(_stats[draws_on_date],_stats[player_id],_players[[#This Row],[player_id]])</f>
        <v>50</v>
      </c>
      <c r="G12" s="17">
        <f>SUMIFS(_stats[foul_on_date],_stats[player_id],_players[[#This Row],[player_id]])</f>
        <v>0</v>
      </c>
    </row>
    <row r="13" spans="1:7" ht="15.75" x14ac:dyDescent="0.25">
      <c r="A13" s="35" t="s">
        <v>18</v>
      </c>
      <c r="B13" s="35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2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30" t="s">
        <v>19</v>
      </c>
      <c r="B14" s="30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2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30" t="s">
        <v>20</v>
      </c>
      <c r="B15" s="30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2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30" t="s">
        <v>21</v>
      </c>
      <c r="B16" s="30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2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30" t="s">
        <v>22</v>
      </c>
      <c r="B17" s="30" t="s">
        <v>22</v>
      </c>
      <c r="C17" s="11">
        <f>SUMIFS(_stats[goals_on_date],_stats[player_id],_players[[#This Row],[player_id]])</f>
        <v>11</v>
      </c>
      <c r="D17" s="11">
        <f>SUMIFS(_stats[assists_on_date],_stats[player_id],_players[[#This Row],[player_id]])</f>
        <v>24</v>
      </c>
      <c r="E17" s="11">
        <f>SUMIFS(_stats[wins_on_date],_stats[player_id],_players[[#This Row],[player_id]])</f>
        <v>71</v>
      </c>
      <c r="F17" s="12">
        <f>SUMIFS(_stats[draws_on_date],_stats[player_id],_players[[#This Row],[player_id]])</f>
        <v>18</v>
      </c>
      <c r="G17" s="12">
        <f>SUMIFS(_stats[foul_on_date],_stats[player_id],_players[[#This Row],[player_id]])</f>
        <v>2</v>
      </c>
    </row>
    <row r="18" spans="1:7" ht="15.75" x14ac:dyDescent="0.25">
      <c r="A18" s="30" t="s">
        <v>23</v>
      </c>
      <c r="B18" s="30" t="s">
        <v>23</v>
      </c>
      <c r="C18" s="11">
        <f>SUMIFS(_stats[goals_on_date],_stats[player_id],_players[[#This Row],[player_id]])</f>
        <v>41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108</v>
      </c>
      <c r="F18" s="12">
        <f>SUMIFS(_stats[draws_on_date],_stats[player_id],_players[[#This Row],[player_id]])</f>
        <v>14</v>
      </c>
      <c r="G18" s="12">
        <f>SUMIFS(_stats[foul_on_date],_stats[player_id],_players[[#This Row],[player_id]])</f>
        <v>0</v>
      </c>
    </row>
    <row r="19" spans="1:7" x14ac:dyDescent="0.25">
      <c r="A19" s="33" t="s">
        <v>24</v>
      </c>
      <c r="B19" s="33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7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24" t="s">
        <v>25</v>
      </c>
      <c r="B20" s="24" t="s">
        <v>25</v>
      </c>
      <c r="C20" s="11">
        <f>SUMIFS(_stats[goals_on_date],_stats[player_id],_players[[#This Row],[player_id]])</f>
        <v>23</v>
      </c>
      <c r="D20" s="11">
        <f>SUMIFS(_stats[assists_on_date],_stats[player_id],_players[[#This Row],[player_id]])</f>
        <v>21</v>
      </c>
      <c r="E20" s="11">
        <f>SUMIFS(_stats[wins_on_date],_stats[player_id],_players[[#This Row],[player_id]])</f>
        <v>125</v>
      </c>
      <c r="F20" s="12">
        <f>SUMIFS(_stats[draws_on_date],_stats[player_id],_players[[#This Row],[player_id]])</f>
        <v>27</v>
      </c>
      <c r="G20" s="12">
        <f>SUMIFS(_stats[foul_on_date],_stats[player_id],_players[[#This Row],[player_id]])</f>
        <v>2</v>
      </c>
    </row>
    <row r="21" spans="1:7" ht="15.75" x14ac:dyDescent="0.25">
      <c r="A21" s="24" t="s">
        <v>26</v>
      </c>
      <c r="B21" s="24" t="s">
        <v>26</v>
      </c>
      <c r="C21" s="11">
        <f>SUMIFS(_stats[goals_on_date],_stats[player_id],_players[[#This Row],[player_id]])</f>
        <v>41</v>
      </c>
      <c r="D21" s="11">
        <f>SUMIFS(_stats[assists_on_date],_stats[player_id],_players[[#This Row],[player_id]])</f>
        <v>52</v>
      </c>
      <c r="E21" s="11">
        <f>SUMIFS(_stats[wins_on_date],_stats[player_id],_players[[#This Row],[player_id]])</f>
        <v>141</v>
      </c>
      <c r="F21" s="12">
        <f>SUMIFS(_stats[draws_on_date],_stats[player_id],_players[[#This Row],[player_id]])</f>
        <v>38</v>
      </c>
      <c r="G21" s="12">
        <f>SUMIFS(_stats[foul_on_date],_stats[player_id],_players[[#This Row],[player_id]])</f>
        <v>0</v>
      </c>
    </row>
    <row r="22" spans="1:7" ht="15.75" x14ac:dyDescent="0.25">
      <c r="A22" s="26" t="s">
        <v>27</v>
      </c>
      <c r="B22" s="26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129</v>
      </c>
      <c r="F22" s="17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24" t="s">
        <v>28</v>
      </c>
      <c r="B23" s="24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37</v>
      </c>
      <c r="E23" s="11">
        <f>SUMIFS(_stats[wins_on_date],_stats[player_id],_players[[#This Row],[player_id]])</f>
        <v>128</v>
      </c>
      <c r="F23" s="12">
        <f>SUMIFS(_stats[draws_on_date],_stats[player_id],_players[[#This Row],[player_id]])</f>
        <v>28</v>
      </c>
      <c r="G23" s="12">
        <f>SUMIFS(_stats[foul_on_date],_stats[player_id],_players[[#This Row],[player_id]])</f>
        <v>1</v>
      </c>
    </row>
    <row r="24" spans="1:7" ht="15.75" x14ac:dyDescent="0.25">
      <c r="A24" s="26" t="s">
        <v>29</v>
      </c>
      <c r="B24" s="26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7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24" t="s">
        <v>30</v>
      </c>
      <c r="B25" s="24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2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24" t="s">
        <v>31</v>
      </c>
      <c r="B26" s="24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7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26" t="s">
        <v>32</v>
      </c>
      <c r="B27" s="26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102</v>
      </c>
      <c r="F27" s="12">
        <f>SUMIFS(_stats[draws_on_date],_stats[player_id],_players[[#This Row],[player_id]])</f>
        <v>23</v>
      </c>
      <c r="G27" s="12">
        <f>SUMIFS(_stats[foul_on_date],_stats[player_id],_players[[#This Row],[player_id]])</f>
        <v>0</v>
      </c>
    </row>
    <row r="28" spans="1:7" ht="15.75" x14ac:dyDescent="0.25">
      <c r="A28" s="26" t="s">
        <v>33</v>
      </c>
      <c r="B28" s="26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2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36" t="s">
        <v>34</v>
      </c>
      <c r="B29" s="36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7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26" t="s">
        <v>35</v>
      </c>
      <c r="B30" s="26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53</v>
      </c>
      <c r="F30" s="17">
        <f>SUMIFS(_stats[draws_on_date],_stats[player_id],_players[[#This Row],[player_id]])</f>
        <v>12</v>
      </c>
      <c r="G30" s="17">
        <f>SUMIFS(_stats[foul_on_date],_stats[player_id],_players[[#This Row],[player_id]])</f>
        <v>1</v>
      </c>
    </row>
    <row r="31" spans="1:7" x14ac:dyDescent="0.25">
      <c r="A31" s="36" t="s">
        <v>36</v>
      </c>
      <c r="B31" s="36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7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26" t="s">
        <v>37</v>
      </c>
      <c r="B32" s="26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39</v>
      </c>
      <c r="F32" s="12">
        <f>SUMIFS(_stats[draws_on_date],_stats[player_id],_players[[#This Row],[player_id]])</f>
        <v>15</v>
      </c>
      <c r="G32" s="12">
        <f>SUMIFS(_stats[foul_on_date],_stats[player_id],_players[[#This Row],[player_id]])</f>
        <v>0</v>
      </c>
    </row>
    <row r="33" spans="1:7" ht="15.75" x14ac:dyDescent="0.25">
      <c r="A33" s="24" t="s">
        <v>38</v>
      </c>
      <c r="B33" s="24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2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26" t="s">
        <v>39</v>
      </c>
      <c r="B34" s="26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2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26" t="s">
        <v>40</v>
      </c>
      <c r="B35" s="26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7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26" t="s">
        <v>41</v>
      </c>
      <c r="B36" s="26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2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26" t="s">
        <v>42</v>
      </c>
      <c r="B37" s="26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2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26" t="s">
        <v>43</v>
      </c>
      <c r="B38" s="26" t="s">
        <v>43</v>
      </c>
      <c r="C38" s="11">
        <f>SUMIFS(_stats[goals_on_date],_stats[player_id],_players[[#This Row],[player_id]])</f>
        <v>17</v>
      </c>
      <c r="D38" s="11">
        <f>SUMIFS(_stats[assists_on_date],_stats[player_id],_players[[#This Row],[player_id]])</f>
        <v>20</v>
      </c>
      <c r="E38" s="11">
        <f>SUMIFS(_stats[wins_on_date],_stats[player_id],_players[[#This Row],[player_id]])</f>
        <v>76</v>
      </c>
      <c r="F38" s="12">
        <f>SUMIFS(_stats[draws_on_date],_stats[player_id],_players[[#This Row],[player_id]])</f>
        <v>27</v>
      </c>
      <c r="G38" s="12">
        <f>SUMIFS(_stats[foul_on_date],_stats[player_id],_players[[#This Row],[player_id]])</f>
        <v>2</v>
      </c>
    </row>
    <row r="39" spans="1:7" ht="15.75" x14ac:dyDescent="0.25">
      <c r="A39" s="26" t="s">
        <v>44</v>
      </c>
      <c r="B39" s="26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171</v>
      </c>
      <c r="F39" s="12">
        <f>SUMIFS(_stats[draws_on_date],_stats[player_id],_players[[#This Row],[player_id]])</f>
        <v>65</v>
      </c>
      <c r="G39" s="12">
        <f>SUMIFS(_stats[foul_on_date],_stats[player_id],_players[[#This Row],[player_id]])</f>
        <v>0</v>
      </c>
    </row>
    <row r="40" spans="1:7" ht="15.75" x14ac:dyDescent="0.25">
      <c r="A40" s="24" t="s">
        <v>45</v>
      </c>
      <c r="B40" s="24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2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26" t="s">
        <v>46</v>
      </c>
      <c r="B41" s="26" t="s">
        <v>46</v>
      </c>
      <c r="C41" s="11">
        <f>SUMIFS(_stats[goals_on_date],_stats[player_id],_players[[#This Row],[player_id]])</f>
        <v>29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84</v>
      </c>
      <c r="F41" s="12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36" t="s">
        <v>47</v>
      </c>
      <c r="B42" s="36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7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24" t="s">
        <v>48</v>
      </c>
      <c r="B43" s="24" t="s">
        <v>48</v>
      </c>
      <c r="C43" s="11">
        <f>SUMIFS(_stats[goals_on_date],_stats[player_id],_players[[#This Row],[player_id]])</f>
        <v>9</v>
      </c>
      <c r="D43" s="11">
        <f>SUMIFS(_stats[assists_on_date],_stats[player_id],_players[[#This Row],[player_id]])</f>
        <v>12</v>
      </c>
      <c r="E43" s="11">
        <f>SUMIFS(_stats[wins_on_date],_stats[player_id],_players[[#This Row],[player_id]])</f>
        <v>54</v>
      </c>
      <c r="F43" s="12">
        <f>SUMIFS(_stats[draws_on_date],_stats[player_id],_players[[#This Row],[player_id]])</f>
        <v>22</v>
      </c>
      <c r="G43" s="12">
        <f>SUMIFS(_stats[foul_on_date],_stats[player_id],_players[[#This Row],[player_id]])</f>
        <v>0</v>
      </c>
    </row>
    <row r="44" spans="1:7" ht="15.75" x14ac:dyDescent="0.25">
      <c r="A44" s="26" t="s">
        <v>49</v>
      </c>
      <c r="B44" s="26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2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26" t="s">
        <v>50</v>
      </c>
      <c r="B45" s="26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7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26" t="s">
        <v>51</v>
      </c>
      <c r="B46" s="26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2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24" t="s">
        <v>52</v>
      </c>
      <c r="B47" s="24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7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36" t="s">
        <v>53</v>
      </c>
      <c r="B48" s="36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7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25" t="s">
        <v>54</v>
      </c>
      <c r="B49" s="25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7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24" t="s">
        <v>55</v>
      </c>
      <c r="B50" s="24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42</v>
      </c>
      <c r="F50" s="12">
        <f>SUMIFS(_stats[draws_on_date],_stats[player_id],_players[[#This Row],[player_id]])</f>
        <v>12</v>
      </c>
      <c r="G50" s="12">
        <f>SUMIFS(_stats[foul_on_date],_stats[player_id],_players[[#This Row],[player_id]])</f>
        <v>0</v>
      </c>
    </row>
    <row r="51" spans="1:7" ht="15.75" x14ac:dyDescent="0.25">
      <c r="A51" s="24" t="s">
        <v>56</v>
      </c>
      <c r="B51" s="24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13</v>
      </c>
      <c r="F51" s="12">
        <f>SUMIFS(_stats[draws_on_date],_stats[player_id],_players[[#This Row],[player_id]])</f>
        <v>1</v>
      </c>
      <c r="G51" s="12">
        <f>SUMIFS(_stats[foul_on_date],_stats[player_id],_players[[#This Row],[player_id]])</f>
        <v>0</v>
      </c>
    </row>
    <row r="52" spans="1:7" ht="15.75" x14ac:dyDescent="0.25">
      <c r="A52" s="37" t="s">
        <v>57</v>
      </c>
      <c r="B52" s="3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2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26" t="s">
        <v>58</v>
      </c>
      <c r="B53" s="26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7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36" t="s">
        <v>59</v>
      </c>
      <c r="B54" s="36" t="s">
        <v>59</v>
      </c>
      <c r="C54" s="10">
        <f>SUMIFS(_stats[goals_on_date],_stats[player_id],_players[[#This Row],[player_id]])</f>
        <v>0</v>
      </c>
      <c r="D54" s="10">
        <f>SUMIFS(_stats[assists_on_date],_stats[player_id],_players[[#This Row],[player_id]])</f>
        <v>2</v>
      </c>
      <c r="E54" s="10">
        <f>SUMIFS(_stats[wins_on_date],_stats[player_id],_players[[#This Row],[player_id]])</f>
        <v>22</v>
      </c>
      <c r="F54" s="18">
        <f>SUMIFS(_stats[draws_on_date],_stats[player_id],_players[[#This Row],[player_id]])</f>
        <v>11</v>
      </c>
      <c r="G54" s="18">
        <f>SUMIFS(_stats[foul_on_date],_stats[player_id],_players[[#This Row],[player_id]])</f>
        <v>0</v>
      </c>
    </row>
    <row r="55" spans="1:7" ht="15.75" x14ac:dyDescent="0.25">
      <c r="A55" s="24" t="s">
        <v>60</v>
      </c>
      <c r="B55" s="24" t="s">
        <v>60</v>
      </c>
      <c r="C55" s="7">
        <f>SUMIFS(_stats[goals_on_date],_stats[player_id],_players[[#This Row],[player_id]])</f>
        <v>4</v>
      </c>
      <c r="D55" s="7">
        <f>SUMIFS(_stats[assists_on_date],_stats[player_id],_players[[#This Row],[player_id]])</f>
        <v>0</v>
      </c>
      <c r="E55" s="7">
        <f>SUMIFS(_stats[wins_on_date],_stats[player_id],_players[[#This Row],[player_id]])</f>
        <v>13</v>
      </c>
      <c r="F55" s="8">
        <f>SUMIFS(_stats[draws_on_date],_stats[player_id],_players[[#This Row],[player_id]])</f>
        <v>6</v>
      </c>
      <c r="G55" s="8">
        <f>SUMIFS(_stats[foul_on_date],_stats[player_id],_players[[#This Row],[player_id]])</f>
        <v>0</v>
      </c>
    </row>
    <row r="56" spans="1:7" ht="15.75" x14ac:dyDescent="0.25">
      <c r="A56" s="24" t="s">
        <v>61</v>
      </c>
      <c r="B56" s="24" t="s">
        <v>61</v>
      </c>
      <c r="C56" s="10">
        <f>SUMIFS(_stats[goals_on_date],_stats[player_id],_players[[#This Row],[player_id]])</f>
        <v>4</v>
      </c>
      <c r="D56" s="10">
        <f>SUMIFS(_stats[assists_on_date],_stats[player_id],_players[[#This Row],[player_id]])</f>
        <v>5</v>
      </c>
      <c r="E56" s="10">
        <f>SUMIFS(_stats[wins_on_date],_stats[player_id],_players[[#This Row],[player_id]])</f>
        <v>26</v>
      </c>
      <c r="F56" s="18">
        <f>SUMIFS(_stats[draws_on_date],_stats[player_id],_players[[#This Row],[player_id]])</f>
        <v>0</v>
      </c>
      <c r="G56" s="18">
        <f>SUMIFS(_stats[foul_on_date],_stats[player_id],_players[[#This Row],[player_id]])</f>
        <v>0</v>
      </c>
    </row>
    <row r="57" spans="1:7" x14ac:dyDescent="0.25">
      <c r="A57" s="36" t="s">
        <v>62</v>
      </c>
      <c r="B57" s="36" t="s">
        <v>62</v>
      </c>
      <c r="C57" s="10">
        <f>SUMIFS(_stats[goals_on_date],_stats[player_id],_players[[#This Row],[player_id]])</f>
        <v>4</v>
      </c>
      <c r="D57" s="10">
        <f>SUMIFS(_stats[assists_on_date],_stats[player_id],_players[[#This Row],[player_id]])</f>
        <v>1</v>
      </c>
      <c r="E57" s="10">
        <f>SUMIFS(_stats[wins_on_date],_stats[player_id],_players[[#This Row],[player_id]])</f>
        <v>12</v>
      </c>
      <c r="F57" s="18">
        <f>SUMIFS(_stats[draws_on_date],_stats[player_id],_players[[#This Row],[player_id]])</f>
        <v>1</v>
      </c>
      <c r="G57" s="18">
        <f>SUMIFS(_stats[foul_on_date],_stats[player_id],_players[[#This Row],[player_id]])</f>
        <v>0</v>
      </c>
    </row>
    <row r="58" spans="1:7" ht="15.75" x14ac:dyDescent="0.25">
      <c r="A58" s="24" t="s">
        <v>63</v>
      </c>
      <c r="B58" s="24" t="s">
        <v>63</v>
      </c>
      <c r="C58" s="10">
        <f>SUMIFS(_stats[goals_on_date],_stats[player_id],_players[[#This Row],[player_id]])</f>
        <v>0</v>
      </c>
      <c r="D58" s="10">
        <f>SUMIFS(_stats[assists_on_date],_stats[player_id],_players[[#This Row],[player_id]])</f>
        <v>2</v>
      </c>
      <c r="E58" s="10">
        <f>SUMIFS(_stats[wins_on_date],_stats[player_id],_players[[#This Row],[player_id]])</f>
        <v>3</v>
      </c>
      <c r="F58" s="18">
        <f>SUMIFS(_stats[draws_on_date],_stats[player_id],_players[[#This Row],[player_id]])</f>
        <v>0</v>
      </c>
      <c r="G58" s="18">
        <f>SUMIFS(_stats[foul_on_date],_stats[player_id],_players[[#This Row],[player_id]])</f>
        <v>0</v>
      </c>
    </row>
    <row r="59" spans="1:7" ht="15.75" x14ac:dyDescent="0.25">
      <c r="A59" s="24" t="s">
        <v>64</v>
      </c>
      <c r="B59" s="24" t="s">
        <v>64</v>
      </c>
      <c r="C59" s="10">
        <f>SUMIFS(_stats[goals_on_date],_stats[player_id],_players[[#This Row],[player_id]])</f>
        <v>19</v>
      </c>
      <c r="D59" s="10">
        <f>SUMIFS(_stats[assists_on_date],_stats[player_id],_players[[#This Row],[player_id]])</f>
        <v>7</v>
      </c>
      <c r="E59" s="10">
        <f>SUMIFS(_stats[wins_on_date],_stats[player_id],_players[[#This Row],[player_id]])</f>
        <v>50</v>
      </c>
      <c r="F59" s="18">
        <f>SUMIFS(_stats[draws_on_date],_stats[player_id],_players[[#This Row],[player_id]])</f>
        <v>16</v>
      </c>
      <c r="G59" s="18">
        <f>SUMIFS(_stats[foul_on_date],_stats[player_id],_players[[#This Row],[player_id]])</f>
        <v>0</v>
      </c>
    </row>
    <row r="60" spans="1:7" x14ac:dyDescent="0.25">
      <c r="A60" s="36" t="s">
        <v>65</v>
      </c>
      <c r="B60" s="36" t="s">
        <v>65</v>
      </c>
      <c r="C60" s="10">
        <f>SUMIFS(_stats[goals_on_date],_stats[player_id],_players[[#This Row],[player_id]])</f>
        <v>9</v>
      </c>
      <c r="D60" s="10">
        <f>SUMIFS(_stats[assists_on_date],_stats[player_id],_players[[#This Row],[player_id]])</f>
        <v>4</v>
      </c>
      <c r="E60" s="10">
        <f>SUMIFS(_stats[wins_on_date],_stats[player_id],_players[[#This Row],[player_id]])</f>
        <v>18</v>
      </c>
      <c r="F60" s="18">
        <f>SUMIFS(_stats[draws_on_date],_stats[player_id],_players[[#This Row],[player_id]])</f>
        <v>4</v>
      </c>
      <c r="G60" s="18">
        <f>SUMIFS(_stats[foul_on_date],_stats[player_id],_players[[#This Row],[player_id]])</f>
        <v>0</v>
      </c>
    </row>
    <row r="61" spans="1:7" ht="15.75" x14ac:dyDescent="0.25">
      <c r="A61" s="26" t="s">
        <v>66</v>
      </c>
      <c r="B61" s="26" t="s">
        <v>66</v>
      </c>
      <c r="C61" s="7">
        <f>SUMIFS(_stats[goals_on_date],_stats[player_id],_players[[#This Row],[player_id]])</f>
        <v>1</v>
      </c>
      <c r="D61" s="7">
        <f>SUMIFS(_stats[assists_on_date],_stats[player_id],_players[[#This Row],[player_id]])</f>
        <v>0</v>
      </c>
      <c r="E61" s="7">
        <f>SUMIFS(_stats[wins_on_date],_stats[player_id],_players[[#This Row],[player_id]])</f>
        <v>3</v>
      </c>
      <c r="F61" s="8">
        <f>SUMIFS(_stats[draws_on_date],_stats[player_id],_players[[#This Row],[player_id]])</f>
        <v>0</v>
      </c>
      <c r="G61" s="8">
        <f>SUMIFS(_stats[foul_on_date],_stats[player_id],_players[[#This Row],[player_id]])</f>
        <v>0</v>
      </c>
    </row>
    <row r="62" spans="1:7" ht="15.75" x14ac:dyDescent="0.25">
      <c r="A62" s="26" t="s">
        <v>67</v>
      </c>
      <c r="B62" s="26" t="s">
        <v>67</v>
      </c>
      <c r="C62" s="10">
        <f>SUMIFS(_stats[goals_on_date],_stats[player_id],_players[[#This Row],[player_id]])</f>
        <v>0</v>
      </c>
      <c r="D62" s="10">
        <f>SUMIFS(_stats[assists_on_date],_stats[player_id],_players[[#This Row],[player_id]])</f>
        <v>0</v>
      </c>
      <c r="E62" s="10">
        <f>SUMIFS(_stats[wins_on_date],_stats[player_id],_players[[#This Row],[player_id]])</f>
        <v>4</v>
      </c>
      <c r="F62" s="18">
        <f>SUMIFS(_stats[draws_on_date],_stats[player_id],_players[[#This Row],[player_id]])</f>
        <v>0</v>
      </c>
      <c r="G62" s="18">
        <f>SUMIFS(_stats[foul_on_date],_stats[player_id],_players[[#This Row],[player_id]])</f>
        <v>0</v>
      </c>
    </row>
    <row r="63" spans="1:7" ht="15.75" x14ac:dyDescent="0.25">
      <c r="A63" s="25" t="s">
        <v>68</v>
      </c>
      <c r="B63" s="25" t="s">
        <v>68</v>
      </c>
      <c r="C63" s="10">
        <f>SUMIFS(_stats[goals_on_date],_stats[player_id],_players[[#This Row],[player_id]])</f>
        <v>2</v>
      </c>
      <c r="D63" s="10">
        <f>SUMIFS(_stats[assists_on_date],_stats[player_id],_players[[#This Row],[player_id]])</f>
        <v>1</v>
      </c>
      <c r="E63" s="10">
        <f>SUMIFS(_stats[wins_on_date],_stats[player_id],_players[[#This Row],[player_id]])</f>
        <v>3</v>
      </c>
      <c r="F63" s="18">
        <f>SUMIFS(_stats[draws_on_date],_stats[player_id],_players[[#This Row],[player_id]])</f>
        <v>0</v>
      </c>
      <c r="G63" s="18">
        <f>SUMIFS(_stats[foul_on_date],_stats[player_id],_players[[#This Row],[player_id]])</f>
        <v>0</v>
      </c>
    </row>
    <row r="64" spans="1:7" x14ac:dyDescent="0.25">
      <c r="A64" s="36" t="s">
        <v>69</v>
      </c>
      <c r="B64" s="36" t="s">
        <v>69</v>
      </c>
      <c r="C64" s="10">
        <f>SUMIFS(_stats[goals_on_date],_stats[player_id],_players[[#This Row],[player_id]])</f>
        <v>20</v>
      </c>
      <c r="D64" s="10">
        <f>SUMIFS(_stats[assists_on_date],_stats[player_id],_players[[#This Row],[player_id]])</f>
        <v>17</v>
      </c>
      <c r="E64" s="10">
        <f>SUMIFS(_stats[wins_on_date],_stats[player_id],_players[[#This Row],[player_id]])</f>
        <v>124</v>
      </c>
      <c r="F64" s="18">
        <f>SUMIFS(_stats[draws_on_date],_stats[player_id],_players[[#This Row],[player_id]])</f>
        <v>40</v>
      </c>
      <c r="G64" s="18">
        <f>SUMIFS(_stats[foul_on_date],_stats[player_id],_players[[#This Row],[player_id]])</f>
        <v>2</v>
      </c>
    </row>
    <row r="65" spans="1:7" x14ac:dyDescent="0.25">
      <c r="A65" s="36" t="s">
        <v>70</v>
      </c>
      <c r="B65" s="36" t="s">
        <v>70</v>
      </c>
      <c r="C65" s="10">
        <f>SUMIFS(_stats[goals_on_date],_stats[player_id],_players[[#This Row],[player_id]])</f>
        <v>1</v>
      </c>
      <c r="D65" s="10">
        <f>SUMIFS(_stats[assists_on_date],_stats[player_id],_players[[#This Row],[player_id]])</f>
        <v>0</v>
      </c>
      <c r="E65" s="10">
        <f>SUMIFS(_stats[wins_on_date],_stats[player_id],_players[[#This Row],[player_id]])</f>
        <v>3</v>
      </c>
      <c r="F65" s="18">
        <f>SUMIFS(_stats[draws_on_date],_stats[player_id],_players[[#This Row],[player_id]])</f>
        <v>0</v>
      </c>
      <c r="G65" s="18">
        <f>SUMIFS(_stats[foul_on_date],_stats[player_id],_players[[#This Row],[player_id]])</f>
        <v>0</v>
      </c>
    </row>
    <row r="66" spans="1:7" ht="15.75" x14ac:dyDescent="0.25">
      <c r="A66" s="25" t="s">
        <v>71</v>
      </c>
      <c r="B66" s="25" t="s">
        <v>71</v>
      </c>
      <c r="C66" s="10">
        <f>SUMIFS(_stats[goals_on_date],_stats[player_id],_players[[#This Row],[player_id]])</f>
        <v>16</v>
      </c>
      <c r="D66" s="10">
        <f>SUMIFS(_stats[assists_on_date],_stats[player_id],_players[[#This Row],[player_id]])</f>
        <v>10</v>
      </c>
      <c r="E66" s="10">
        <f>SUMIFS(_stats[wins_on_date],_stats[player_id],_players[[#This Row],[player_id]])</f>
        <v>23</v>
      </c>
      <c r="F66" s="18">
        <f>SUMIFS(_stats[draws_on_date],_stats[player_id],_players[[#This Row],[player_id]])</f>
        <v>5</v>
      </c>
      <c r="G66" s="18">
        <f>SUMIFS(_stats[foul_on_date],_stats[player_id],_players[[#This Row],[player_id]])</f>
        <v>0</v>
      </c>
    </row>
    <row r="67" spans="1:7" x14ac:dyDescent="0.25">
      <c r="A67" s="36" t="s">
        <v>72</v>
      </c>
      <c r="B67" s="36" t="s">
        <v>72</v>
      </c>
      <c r="C67" s="10">
        <f>SUMIFS(_stats[goals_on_date],_stats[player_id],_players[[#This Row],[player_id]])</f>
        <v>0</v>
      </c>
      <c r="D67" s="10">
        <f>SUMIFS(_stats[assists_on_date],_stats[player_id],_players[[#This Row],[player_id]])</f>
        <v>0</v>
      </c>
      <c r="E67" s="10">
        <f>SUMIFS(_stats[wins_on_date],_stats[player_id],_players[[#This Row],[player_id]])</f>
        <v>9</v>
      </c>
      <c r="F67" s="18">
        <f>SUMIFS(_stats[draws_on_date],_stats[player_id],_players[[#This Row],[player_id]])</f>
        <v>0</v>
      </c>
      <c r="G67" s="18">
        <f>SUMIFS(_stats[foul_on_date],_stats[player_id],_players[[#This Row],[player_id]])</f>
        <v>0</v>
      </c>
    </row>
    <row r="68" spans="1:7" ht="15.75" x14ac:dyDescent="0.25">
      <c r="A68" s="26" t="s">
        <v>73</v>
      </c>
      <c r="B68" s="26" t="s">
        <v>73</v>
      </c>
      <c r="C68" s="7">
        <f>SUMIFS(_stats[goals_on_date],_stats[player_id],_players[[#This Row],[player_id]])</f>
        <v>24</v>
      </c>
      <c r="D68" s="7">
        <f>SUMIFS(_stats[assists_on_date],_stats[player_id],_players[[#This Row],[player_id]])</f>
        <v>16</v>
      </c>
      <c r="E68" s="7">
        <f>SUMIFS(_stats[wins_on_date],_stats[player_id],_players[[#This Row],[player_id]])</f>
        <v>51</v>
      </c>
      <c r="F68" s="8">
        <f>SUMIFS(_stats[draws_on_date],_stats[player_id],_players[[#This Row],[player_id]])</f>
        <v>12</v>
      </c>
      <c r="G68" s="8">
        <f>SUMIFS(_stats[foul_on_date],_stats[player_id],_players[[#This Row],[player_id]])</f>
        <v>0</v>
      </c>
    </row>
    <row r="69" spans="1:7" ht="15.75" x14ac:dyDescent="0.25">
      <c r="A69" s="24" t="s">
        <v>74</v>
      </c>
      <c r="B69" s="24" t="s">
        <v>74</v>
      </c>
      <c r="C69" s="7">
        <f>SUMIFS(_stats[goals_on_date],_stats[player_id],_players[[#This Row],[player_id]])</f>
        <v>2</v>
      </c>
      <c r="D69" s="7">
        <f>SUMIFS(_stats[assists_on_date],_stats[player_id],_players[[#This Row],[player_id]])</f>
        <v>0</v>
      </c>
      <c r="E69" s="7">
        <f>SUMIFS(_stats[wins_on_date],_stats[player_id],_players[[#This Row],[player_id]])</f>
        <v>6</v>
      </c>
      <c r="F69" s="8">
        <f>SUMIFS(_stats[draws_on_date],_stats[player_id],_players[[#This Row],[player_id]])</f>
        <v>3</v>
      </c>
      <c r="G69" s="8">
        <f>SUMIFS(_stats[foul_on_date],_stats[player_id],_players[[#This Row],[player_id]])</f>
        <v>0</v>
      </c>
    </row>
    <row r="70" spans="1:7" ht="15.75" x14ac:dyDescent="0.25">
      <c r="A70" s="26" t="s">
        <v>75</v>
      </c>
      <c r="B70" s="26" t="s">
        <v>75</v>
      </c>
      <c r="C70" s="7">
        <f>SUMIFS(_stats[goals_on_date],_stats[player_id],_players[[#This Row],[player_id]])</f>
        <v>0</v>
      </c>
      <c r="D70" s="7">
        <f>SUMIFS(_stats[assists_on_date],_stats[player_id],_players[[#This Row],[player_id]])</f>
        <v>0</v>
      </c>
      <c r="E70" s="7">
        <f>SUMIFS(_stats[wins_on_date],_stats[player_id],_players[[#This Row],[player_id]])</f>
        <v>2</v>
      </c>
      <c r="F70" s="8">
        <f>SUMIFS(_stats[draws_on_date],_stats[player_id],_players[[#This Row],[player_id]])</f>
        <v>0</v>
      </c>
      <c r="G70" s="8">
        <f>SUMIFS(_stats[foul_on_date],_stats[player_id],_players[[#This Row],[player_id]])</f>
        <v>0</v>
      </c>
    </row>
    <row r="71" spans="1:7" ht="15.75" x14ac:dyDescent="0.25">
      <c r="A71" s="26" t="s">
        <v>76</v>
      </c>
      <c r="B71" s="26" t="s">
        <v>76</v>
      </c>
      <c r="C71" s="10">
        <f>SUMIFS(_stats[goals_on_date],_stats[player_id],_players[[#This Row],[player_id]])</f>
        <v>2</v>
      </c>
      <c r="D71" s="10">
        <f>SUMIFS(_stats[assists_on_date],_stats[player_id],_players[[#This Row],[player_id]])</f>
        <v>1</v>
      </c>
      <c r="E71" s="10">
        <f>SUMIFS(_stats[wins_on_date],_stats[player_id],_players[[#This Row],[player_id]])</f>
        <v>4</v>
      </c>
      <c r="F71" s="18">
        <f>SUMIFS(_stats[draws_on_date],_stats[player_id],_players[[#This Row],[player_id]])</f>
        <v>3</v>
      </c>
      <c r="G71" s="18">
        <f>SUMIFS(_stats[foul_on_date],_stats[player_id],_players[[#This Row],[player_id]])</f>
        <v>0</v>
      </c>
    </row>
    <row r="72" spans="1:7" ht="15.75" x14ac:dyDescent="0.25">
      <c r="A72" s="25" t="s">
        <v>77</v>
      </c>
      <c r="B72" s="25" t="s">
        <v>77</v>
      </c>
      <c r="C72" s="7">
        <f>SUMIFS(_stats[goals_on_date],_stats[player_id],_players[[#This Row],[player_id]])</f>
        <v>1</v>
      </c>
      <c r="D72" s="7">
        <f>SUMIFS(_stats[assists_on_date],_stats[player_id],_players[[#This Row],[player_id]])</f>
        <v>0</v>
      </c>
      <c r="E72" s="7">
        <f>SUMIFS(_stats[wins_on_date],_stats[player_id],_players[[#This Row],[player_id]])</f>
        <v>0</v>
      </c>
      <c r="F72" s="8">
        <f>SUMIFS(_stats[draws_on_date],_stats[player_id],_players[[#This Row],[player_id]])</f>
        <v>0</v>
      </c>
      <c r="G72" s="8">
        <f>SUMIFS(_stats[foul_on_date],_stats[player_id],_players[[#This Row],[player_id]])</f>
        <v>0</v>
      </c>
    </row>
    <row r="73" spans="1:7" x14ac:dyDescent="0.25">
      <c r="A73" s="36" t="s">
        <v>78</v>
      </c>
      <c r="B73" s="36" t="s">
        <v>78</v>
      </c>
      <c r="C73" s="10">
        <f>SUMIFS(_stats[goals_on_date],_stats[player_id],_players[[#This Row],[player_id]])</f>
        <v>0</v>
      </c>
      <c r="D73" s="10">
        <f>SUMIFS(_stats[assists_on_date],_stats[player_id],_players[[#This Row],[player_id]])</f>
        <v>0</v>
      </c>
      <c r="E73" s="10">
        <f>SUMIFS(_stats[wins_on_date],_stats[player_id],_players[[#This Row],[player_id]])</f>
        <v>1</v>
      </c>
      <c r="F73" s="18">
        <f>SUMIFS(_stats[draws_on_date],_stats[player_id],_players[[#This Row],[player_id]])</f>
        <v>0</v>
      </c>
      <c r="G73" s="18">
        <f>SUMIFS(_stats[foul_on_date],_stats[player_id],_players[[#This Row],[player_id]])</f>
        <v>0</v>
      </c>
    </row>
    <row r="74" spans="1:7" ht="15.75" x14ac:dyDescent="0.25">
      <c r="A74" s="25" t="s">
        <v>79</v>
      </c>
      <c r="B74" s="25" t="s">
        <v>79</v>
      </c>
      <c r="C74" s="10">
        <f>SUMIFS(_stats[goals_on_date],_stats[player_id],_players[[#This Row],[player_id]])</f>
        <v>0</v>
      </c>
      <c r="D74" s="10">
        <f>SUMIFS(_stats[assists_on_date],_stats[player_id],_players[[#This Row],[player_id]])</f>
        <v>0</v>
      </c>
      <c r="E74" s="10">
        <f>SUMIFS(_stats[wins_on_date],_stats[player_id],_players[[#This Row],[player_id]])</f>
        <v>0</v>
      </c>
      <c r="F74" s="18">
        <f>SUMIFS(_stats[draws_on_date],_stats[player_id],_players[[#This Row],[player_id]])</f>
        <v>0</v>
      </c>
      <c r="G74" s="18">
        <f>SUMIFS(_stats[foul_on_date],_stats[player_id],_players[[#This Row],[player_id]])</f>
        <v>0</v>
      </c>
    </row>
    <row r="75" spans="1:7" x14ac:dyDescent="0.25">
      <c r="A75" s="36" t="s">
        <v>80</v>
      </c>
      <c r="B75" s="36" t="s">
        <v>80</v>
      </c>
      <c r="C75" s="10">
        <f>SUMIFS(_stats[goals_on_date],_stats[player_id],_players[[#This Row],[player_id]])</f>
        <v>1</v>
      </c>
      <c r="D75" s="10">
        <f>SUMIFS(_stats[assists_on_date],_stats[player_id],_players[[#This Row],[player_id]])</f>
        <v>2</v>
      </c>
      <c r="E75" s="10">
        <f>SUMIFS(_stats[wins_on_date],_stats[player_id],_players[[#This Row],[player_id]])</f>
        <v>4</v>
      </c>
      <c r="F75" s="18">
        <f>SUMIFS(_stats[draws_on_date],_stats[player_id],_players[[#This Row],[player_id]])</f>
        <v>0</v>
      </c>
      <c r="G75" s="18">
        <f>SUMIFS(_stats[foul_on_date],_stats[player_id],_players[[#This Row],[player_id]])</f>
        <v>0</v>
      </c>
    </row>
    <row r="76" spans="1:7" x14ac:dyDescent="0.25">
      <c r="A76" s="36" t="s">
        <v>81</v>
      </c>
      <c r="B76" s="36" t="s">
        <v>81</v>
      </c>
      <c r="C76" s="10">
        <f>SUMIFS(_stats[goals_on_date],_stats[player_id],_players[[#This Row],[player_id]])</f>
        <v>43</v>
      </c>
      <c r="D76" s="10">
        <f>SUMIFS(_stats[assists_on_date],_stats[player_id],_players[[#This Row],[player_id]])</f>
        <v>21</v>
      </c>
      <c r="E76" s="10">
        <f>SUMIFS(_stats[wins_on_date],_stats[player_id],_players[[#This Row],[player_id]])</f>
        <v>45</v>
      </c>
      <c r="F76" s="18">
        <f>SUMIFS(_stats[draws_on_date],_stats[player_id],_players[[#This Row],[player_id]])</f>
        <v>14</v>
      </c>
      <c r="G76" s="18">
        <f>SUMIFS(_stats[foul_on_date],_stats[player_id],_players[[#This Row],[player_id]])</f>
        <v>1</v>
      </c>
    </row>
    <row r="77" spans="1:7" x14ac:dyDescent="0.25">
      <c r="A77" s="36" t="s">
        <v>82</v>
      </c>
      <c r="B77" s="36" t="s">
        <v>82</v>
      </c>
      <c r="C77" s="10">
        <f>SUMIFS(_stats[goals_on_date],_stats[player_id],_players[[#This Row],[player_id]])</f>
        <v>0</v>
      </c>
      <c r="D77" s="10">
        <f>SUMIFS(_stats[assists_on_date],_stats[player_id],_players[[#This Row],[player_id]])</f>
        <v>0</v>
      </c>
      <c r="E77" s="10">
        <f>SUMIFS(_stats[wins_on_date],_stats[player_id],_players[[#This Row],[player_id]])</f>
        <v>10</v>
      </c>
      <c r="F77" s="18">
        <f>SUMIFS(_stats[draws_on_date],_stats[player_id],_players[[#This Row],[player_id]])</f>
        <v>0</v>
      </c>
      <c r="G77" s="18">
        <f>SUMIFS(_stats[foul_on_date],_stats[player_id],_players[[#This Row],[player_id]])</f>
        <v>0</v>
      </c>
    </row>
    <row r="78" spans="1:7" x14ac:dyDescent="0.25">
      <c r="A78" s="36" t="s">
        <v>83</v>
      </c>
      <c r="B78" s="36" t="s">
        <v>83</v>
      </c>
      <c r="C78" s="10">
        <f>SUMIFS(_stats[goals_on_date],_stats[player_id],_players[[#This Row],[player_id]])</f>
        <v>1</v>
      </c>
      <c r="D78" s="10">
        <f>SUMIFS(_stats[assists_on_date],_stats[player_id],_players[[#This Row],[player_id]])</f>
        <v>1</v>
      </c>
      <c r="E78" s="10">
        <f>SUMIFS(_stats[wins_on_date],_stats[player_id],_players[[#This Row],[player_id]])</f>
        <v>10</v>
      </c>
      <c r="F78" s="18">
        <f>SUMIFS(_stats[draws_on_date],_stats[player_id],_players[[#This Row],[player_id]])</f>
        <v>0</v>
      </c>
      <c r="G78" s="18">
        <f>SUMIFS(_stats[foul_on_date],_stats[player_id],_players[[#This Row],[player_id]])</f>
        <v>0</v>
      </c>
    </row>
    <row r="79" spans="1:7" x14ac:dyDescent="0.25">
      <c r="A79" s="36" t="s">
        <v>84</v>
      </c>
      <c r="B79" s="36" t="s">
        <v>84</v>
      </c>
      <c r="C79" s="10">
        <f>SUMIFS(_stats[goals_on_date],_stats[player_id],_players[[#This Row],[player_id]])</f>
        <v>48</v>
      </c>
      <c r="D79" s="10">
        <f>SUMIFS(_stats[assists_on_date],_stats[player_id],_players[[#This Row],[player_id]])</f>
        <v>24</v>
      </c>
      <c r="E79" s="10">
        <f>SUMIFS(_stats[wins_on_date],_stats[player_id],_players[[#This Row],[player_id]])</f>
        <v>76</v>
      </c>
      <c r="F79" s="18">
        <f>SUMIFS(_stats[draws_on_date],_stats[player_id],_players[[#This Row],[player_id]])</f>
        <v>21</v>
      </c>
      <c r="G79" s="18">
        <f>SUMIFS(_stats[foul_on_date],_stats[player_id],_players[[#This Row],[player_id]])</f>
        <v>0</v>
      </c>
    </row>
    <row r="80" spans="1:7" x14ac:dyDescent="0.25">
      <c r="A80" s="36" t="s">
        <v>85</v>
      </c>
      <c r="B80" s="36" t="s">
        <v>85</v>
      </c>
      <c r="C80" s="10">
        <f>SUMIFS(_stats[goals_on_date],_stats[player_id],_players[[#This Row],[player_id]])</f>
        <v>0</v>
      </c>
      <c r="D80" s="10">
        <f>SUMIFS(_stats[assists_on_date],_stats[player_id],_players[[#This Row],[player_id]])</f>
        <v>0</v>
      </c>
      <c r="E80" s="10">
        <f>SUMIFS(_stats[wins_on_date],_stats[player_id],_players[[#This Row],[player_id]])</f>
        <v>8</v>
      </c>
      <c r="F80" s="18">
        <f>SUMIFS(_stats[draws_on_date],_stats[player_id],_players[[#This Row],[player_id]])</f>
        <v>0</v>
      </c>
      <c r="G80" s="18">
        <f>SUMIFS(_stats[foul_on_date],_stats[player_id],_players[[#This Row],[player_id]])</f>
        <v>0</v>
      </c>
    </row>
    <row r="81" spans="1:7" x14ac:dyDescent="0.25">
      <c r="A81" s="36" t="s">
        <v>86</v>
      </c>
      <c r="B81" s="36" t="s">
        <v>86</v>
      </c>
      <c r="C81" s="10">
        <f>SUMIFS(_stats[goals_on_date],_stats[player_id],_players[[#This Row],[player_id]])</f>
        <v>1</v>
      </c>
      <c r="D81" s="10">
        <f>SUMIFS(_stats[assists_on_date],_stats[player_id],_players[[#This Row],[player_id]])</f>
        <v>0</v>
      </c>
      <c r="E81" s="10">
        <f>SUMIFS(_stats[wins_on_date],_stats[player_id],_players[[#This Row],[player_id]])</f>
        <v>4</v>
      </c>
      <c r="F81" s="18">
        <f>SUMIFS(_stats[draws_on_date],_stats[player_id],_players[[#This Row],[player_id]])</f>
        <v>0</v>
      </c>
      <c r="G81" s="18">
        <f>SUMIFS(_stats[foul_on_date],_stats[player_id],_players[[#This Row],[player_id]])</f>
        <v>0</v>
      </c>
    </row>
    <row r="82" spans="1:7" x14ac:dyDescent="0.25">
      <c r="A82" s="36" t="s">
        <v>87</v>
      </c>
      <c r="B82" s="36" t="s">
        <v>87</v>
      </c>
      <c r="C82" s="10">
        <f>SUMIFS(_stats[goals_on_date],_stats[player_id],_players[[#This Row],[player_id]])</f>
        <v>3</v>
      </c>
      <c r="D82" s="10">
        <f>SUMIFS(_stats[assists_on_date],_stats[player_id],_players[[#This Row],[player_id]])</f>
        <v>1</v>
      </c>
      <c r="E82" s="10">
        <f>SUMIFS(_stats[wins_on_date],_stats[player_id],_players[[#This Row],[player_id]])</f>
        <v>6</v>
      </c>
      <c r="F82" s="18">
        <f>SUMIFS(_stats[draws_on_date],_stats[player_id],_players[[#This Row],[player_id]])</f>
        <v>0</v>
      </c>
      <c r="G82" s="18">
        <f>SUMIFS(_stats[foul_on_date],_stats[player_id],_players[[#This Row],[player_id]])</f>
        <v>0</v>
      </c>
    </row>
    <row r="83" spans="1:7" ht="15.75" x14ac:dyDescent="0.25">
      <c r="A83" s="26" t="s">
        <v>88</v>
      </c>
      <c r="B83" s="26" t="s">
        <v>88</v>
      </c>
      <c r="C83" s="10">
        <f>SUMIFS(_stats[goals_on_date],_stats[player_id],_players[[#This Row],[player_id]])</f>
        <v>8</v>
      </c>
      <c r="D83" s="10">
        <f>SUMIFS(_stats[assists_on_date],_stats[player_id],_players[[#This Row],[player_id]])</f>
        <v>6</v>
      </c>
      <c r="E83" s="10">
        <f>SUMIFS(_stats[wins_on_date],_stats[player_id],_players[[#This Row],[player_id]])</f>
        <v>26</v>
      </c>
      <c r="F83" s="18">
        <f>SUMIFS(_stats[draws_on_date],_stats[player_id],_players[[#This Row],[player_id]])</f>
        <v>3</v>
      </c>
      <c r="G83" s="18">
        <f>SUMIFS(_stats[foul_on_date],_stats[player_id],_players[[#This Row],[player_id]])</f>
        <v>0</v>
      </c>
    </row>
    <row r="84" spans="1:7" ht="15.75" x14ac:dyDescent="0.25">
      <c r="A84" s="26" t="s">
        <v>89</v>
      </c>
      <c r="B84" s="26" t="s">
        <v>89</v>
      </c>
      <c r="C84" s="10">
        <f>SUMIFS(_stats[goals_on_date],_stats[player_id],_players[[#This Row],[player_id]])</f>
        <v>5</v>
      </c>
      <c r="D84" s="10">
        <f>SUMIFS(_stats[assists_on_date],_stats[player_id],_players[[#This Row],[player_id]])</f>
        <v>3</v>
      </c>
      <c r="E84" s="10">
        <f>SUMIFS(_stats[wins_on_date],_stats[player_id],_players[[#This Row],[player_id]])</f>
        <v>22</v>
      </c>
      <c r="F84" s="18">
        <f>SUMIFS(_stats[draws_on_date],_stats[player_id],_players[[#This Row],[player_id]])</f>
        <v>4</v>
      </c>
      <c r="G84" s="18">
        <f>SUMIFS(_stats[foul_on_date],_stats[player_id],_players[[#This Row],[player_id]])</f>
        <v>0</v>
      </c>
    </row>
    <row r="85" spans="1:7" x14ac:dyDescent="0.25">
      <c r="A85" s="36" t="s">
        <v>90</v>
      </c>
      <c r="B85" s="36" t="s">
        <v>90</v>
      </c>
      <c r="C85" s="10">
        <f>SUMIFS(_stats[goals_on_date],_stats[player_id],_players[[#This Row],[player_id]])</f>
        <v>0</v>
      </c>
      <c r="D85" s="10">
        <f>SUMIFS(_stats[assists_on_date],_stats[player_id],_players[[#This Row],[player_id]])</f>
        <v>2</v>
      </c>
      <c r="E85" s="10">
        <f>SUMIFS(_stats[wins_on_date],_stats[player_id],_players[[#This Row],[player_id]])</f>
        <v>3</v>
      </c>
      <c r="F85" s="18">
        <f>SUMIFS(_stats[draws_on_date],_stats[player_id],_players[[#This Row],[player_id]])</f>
        <v>0</v>
      </c>
      <c r="G85" s="18">
        <f>SUMIFS(_stats[foul_on_date],_stats[player_id],_players[[#This Row],[player_id]])</f>
        <v>0</v>
      </c>
    </row>
    <row r="86" spans="1:7" x14ac:dyDescent="0.25">
      <c r="A86" s="36" t="s">
        <v>91</v>
      </c>
      <c r="B86" s="36" t="s">
        <v>91</v>
      </c>
      <c r="C86" s="10">
        <f>SUMIFS(_stats[goals_on_date],_stats[player_id],_players[[#This Row],[player_id]])</f>
        <v>6</v>
      </c>
      <c r="D86" s="10">
        <f>SUMIFS(_stats[assists_on_date],_stats[player_id],_players[[#This Row],[player_id]])</f>
        <v>0</v>
      </c>
      <c r="E86" s="10">
        <f>SUMIFS(_stats[wins_on_date],_stats[player_id],_players[[#This Row],[player_id]])</f>
        <v>5</v>
      </c>
      <c r="F86" s="18">
        <f>SUMIFS(_stats[draws_on_date],_stats[player_id],_players[[#This Row],[player_id]])</f>
        <v>0</v>
      </c>
      <c r="G86" s="18">
        <f>SUMIFS(_stats[foul_on_date],_stats[player_id],_players[[#This Row],[player_id]])</f>
        <v>0</v>
      </c>
    </row>
    <row r="87" spans="1:7" x14ac:dyDescent="0.25">
      <c r="A87" s="36" t="s">
        <v>92</v>
      </c>
      <c r="B87" s="36" t="s">
        <v>92</v>
      </c>
      <c r="C87" s="10">
        <f>SUMIFS(_stats[goals_on_date],_stats[player_id],_players[[#This Row],[player_id]])</f>
        <v>22</v>
      </c>
      <c r="D87" s="10">
        <f>SUMIFS(_stats[assists_on_date],_stats[player_id],_players[[#This Row],[player_id]])</f>
        <v>10</v>
      </c>
      <c r="E87" s="10">
        <f>SUMIFS(_stats[wins_on_date],_stats[player_id],_players[[#This Row],[player_id]])</f>
        <v>39</v>
      </c>
      <c r="F87" s="18">
        <f>SUMIFS(_stats[draws_on_date],_stats[player_id],_players[[#This Row],[player_id]])</f>
        <v>14</v>
      </c>
      <c r="G87" s="18">
        <f>SUMIFS(_stats[foul_on_date],_stats[player_id],_players[[#This Row],[player_id]])</f>
        <v>0</v>
      </c>
    </row>
    <row r="88" spans="1:7" x14ac:dyDescent="0.25">
      <c r="A88" s="36" t="s">
        <v>93</v>
      </c>
      <c r="B88" s="36" t="s">
        <v>93</v>
      </c>
      <c r="C88" s="10">
        <f>SUMIFS(_stats[goals_on_date],_stats[player_id],_players[[#This Row],[player_id]])</f>
        <v>1</v>
      </c>
      <c r="D88" s="10">
        <f>SUMIFS(_stats[assists_on_date],_stats[player_id],_players[[#This Row],[player_id]])</f>
        <v>3</v>
      </c>
      <c r="E88" s="10">
        <f>SUMIFS(_stats[wins_on_date],_stats[player_id],_players[[#This Row],[player_id]])</f>
        <v>15</v>
      </c>
      <c r="F88" s="18">
        <f>SUMIFS(_stats[draws_on_date],_stats[player_id],_players[[#This Row],[player_id]])</f>
        <v>3</v>
      </c>
      <c r="G88" s="18">
        <f>SUMIFS(_stats[foul_on_date],_stats[player_id],_players[[#This Row],[player_id]])</f>
        <v>0</v>
      </c>
    </row>
    <row r="89" spans="1:7" x14ac:dyDescent="0.25">
      <c r="A89" s="36" t="s">
        <v>94</v>
      </c>
      <c r="B89" s="36" t="s">
        <v>94</v>
      </c>
      <c r="C89" s="10">
        <f>SUMIFS(_stats[goals_on_date],_stats[player_id],_players[[#This Row],[player_id]])</f>
        <v>0</v>
      </c>
      <c r="D89" s="10">
        <f>SUMIFS(_stats[assists_on_date],_stats[player_id],_players[[#This Row],[player_id]])</f>
        <v>0</v>
      </c>
      <c r="E89" s="10">
        <f>SUMIFS(_stats[wins_on_date],_stats[player_id],_players[[#This Row],[player_id]])</f>
        <v>1</v>
      </c>
      <c r="F89" s="18">
        <f>SUMIFS(_stats[draws_on_date],_stats[player_id],_players[[#This Row],[player_id]])</f>
        <v>3</v>
      </c>
      <c r="G89" s="18">
        <f>SUMIFS(_stats[foul_on_date],_stats[player_id],_players[[#This Row],[player_id]])</f>
        <v>0</v>
      </c>
    </row>
    <row r="90" spans="1:7" x14ac:dyDescent="0.25">
      <c r="A90" s="36" t="s">
        <v>95</v>
      </c>
      <c r="B90" s="36" t="s">
        <v>95</v>
      </c>
      <c r="C90" s="10">
        <f>SUMIFS(_stats[goals_on_date],_stats[player_id],_players[[#This Row],[player_id]])</f>
        <v>10</v>
      </c>
      <c r="D90" s="10">
        <f>SUMIFS(_stats[assists_on_date],_stats[player_id],_players[[#This Row],[player_id]])</f>
        <v>5</v>
      </c>
      <c r="E90" s="10">
        <f>SUMIFS(_stats[wins_on_date],_stats[player_id],_players[[#This Row],[player_id]])</f>
        <v>17</v>
      </c>
      <c r="F90" s="18">
        <f>SUMIFS(_stats[draws_on_date],_stats[player_id],_players[[#This Row],[player_id]])</f>
        <v>9</v>
      </c>
      <c r="G90" s="18">
        <f>SUMIFS(_stats[foul_on_date],_stats[player_id],_players[[#This Row],[player_id]])</f>
        <v>0</v>
      </c>
    </row>
    <row r="91" spans="1:7" ht="15.75" x14ac:dyDescent="0.25">
      <c r="A91" s="37" t="s">
        <v>96</v>
      </c>
      <c r="B91" s="37" t="s">
        <v>96</v>
      </c>
      <c r="C91" s="10">
        <f>SUMIFS(_stats[goals_on_date],_stats[player_id],_players[[#This Row],[player_id]])</f>
        <v>0</v>
      </c>
      <c r="D91" s="10">
        <f>SUMIFS(_stats[assists_on_date],_stats[player_id],_players[[#This Row],[player_id]])</f>
        <v>0</v>
      </c>
      <c r="E91" s="10">
        <f>SUMIFS(_stats[wins_on_date],_stats[player_id],_players[[#This Row],[player_id]])</f>
        <v>0</v>
      </c>
      <c r="F91" s="18">
        <f>SUMIFS(_stats[draws_on_date],_stats[player_id],_players[[#This Row],[player_id]])</f>
        <v>0</v>
      </c>
      <c r="G91" s="18">
        <f>SUMIFS(_stats[foul_on_date],_stats[player_id],_players[[#This Row],[player_id]])</f>
        <v>0</v>
      </c>
    </row>
    <row r="92" spans="1:7" ht="15.75" x14ac:dyDescent="0.25">
      <c r="A92" s="26" t="s">
        <v>97</v>
      </c>
      <c r="B92" s="26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8">
        <f>SUMIFS(_stats[draws_on_date],_stats[player_id],_players[[#This Row],[player_id]])</f>
        <v>2</v>
      </c>
      <c r="G92" s="18">
        <f>SUMIFS(_stats[foul_on_date],_stats[player_id],_players[[#This Row],[player_id]])</f>
        <v>0</v>
      </c>
    </row>
    <row r="93" spans="1:7" ht="15.75" x14ac:dyDescent="0.25">
      <c r="A93" s="37" t="s">
        <v>98</v>
      </c>
      <c r="B93" s="37" t="s">
        <v>98</v>
      </c>
      <c r="C93" s="16">
        <f>SUMIFS(_stats[goals_on_date],_stats[player_id],_players[[#This Row],[player_id]])</f>
        <v>7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21</v>
      </c>
      <c r="F93" s="18">
        <f>SUMIFS(_stats[draws_on_date],_stats[player_id],_players[[#This Row],[player_id]])</f>
        <v>4</v>
      </c>
      <c r="G93" s="18">
        <f>SUMIFS(_stats[foul_on_date],_stats[player_id],_players[[#This Row],[player_id]])</f>
        <v>0</v>
      </c>
    </row>
    <row r="94" spans="1:7" ht="15.75" x14ac:dyDescent="0.25">
      <c r="A94" s="37" t="s">
        <v>99</v>
      </c>
      <c r="B94" s="3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8">
        <f>SUMIFS(_stats[draws_on_date],_stats[player_id],_players[[#This Row],[player_id]])</f>
        <v>5</v>
      </c>
      <c r="G94" s="18">
        <f>SUMIFS(_stats[foul_on_date],_stats[player_id],_players[[#This Row],[player_id]])</f>
        <v>0</v>
      </c>
    </row>
    <row r="95" spans="1:7" ht="15.75" x14ac:dyDescent="0.25">
      <c r="A95" s="37" t="s">
        <v>100</v>
      </c>
      <c r="B95" s="3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8">
        <f>SUMIFS(_stats[draws_on_date],_stats[player_id],_players[[#This Row],[player_id]])</f>
        <v>5</v>
      </c>
      <c r="G95" s="18">
        <f>SUMIFS(_stats[foul_on_date],_stats[player_id],_players[[#This Row],[player_id]])</f>
        <v>0</v>
      </c>
    </row>
    <row r="96" spans="1:7" x14ac:dyDescent="0.25">
      <c r="A96" s="36" t="s">
        <v>101</v>
      </c>
      <c r="B96" s="36" t="s">
        <v>101</v>
      </c>
      <c r="C96" s="10">
        <f>SUMIFS(_stats[goals_on_date],_stats[player_id],_players[[#This Row],[player_id]])</f>
        <v>5</v>
      </c>
      <c r="D96" s="10">
        <f>SUMIFS(_stats[assists_on_date],_stats[player_id],_players[[#This Row],[player_id]])</f>
        <v>4</v>
      </c>
      <c r="E96" s="10">
        <f>SUMIFS(_stats[wins_on_date],_stats[player_id],_players[[#This Row],[player_id]])</f>
        <v>22</v>
      </c>
      <c r="F96" s="18">
        <f>SUMIFS(_stats[draws_on_date],_stats[player_id],_players[[#This Row],[player_id]])</f>
        <v>8</v>
      </c>
      <c r="G96" s="18">
        <f>SUMIFS(_stats[foul_on_date],_stats[player_id],_players[[#This Row],[player_id]])</f>
        <v>0</v>
      </c>
    </row>
    <row r="97" spans="1:7" x14ac:dyDescent="0.25">
      <c r="A97" s="36" t="s">
        <v>102</v>
      </c>
      <c r="B97" s="36" t="s">
        <v>102</v>
      </c>
      <c r="C97" s="10">
        <f>SUMIFS(_stats[goals_on_date],_stats[player_id],_players[[#This Row],[player_id]])</f>
        <v>7</v>
      </c>
      <c r="D97" s="10">
        <f>SUMIFS(_stats[assists_on_date],_stats[player_id],_players[[#This Row],[player_id]])</f>
        <v>2</v>
      </c>
      <c r="E97" s="10">
        <f>SUMIFS(_stats[wins_on_date],_stats[player_id],_players[[#This Row],[player_id]])</f>
        <v>13</v>
      </c>
      <c r="F97" s="18">
        <f>SUMIFS(_stats[draws_on_date],_stats[player_id],_players[[#This Row],[player_id]])</f>
        <v>4</v>
      </c>
      <c r="G97" s="18">
        <f>SUMIFS(_stats[foul_on_date],_stats[player_id],_players[[#This Row],[player_id]])</f>
        <v>0</v>
      </c>
    </row>
    <row r="98" spans="1:7" x14ac:dyDescent="0.25">
      <c r="A98" s="36" t="s">
        <v>103</v>
      </c>
      <c r="B98" s="36" t="s">
        <v>103</v>
      </c>
      <c r="C98" s="10">
        <f>SUMIFS(_stats[goals_on_date],_stats[player_id],_players[[#This Row],[player_id]])</f>
        <v>3</v>
      </c>
      <c r="D98" s="10">
        <f>SUMIFS(_stats[assists_on_date],_stats[player_id],_players[[#This Row],[player_id]])</f>
        <v>0</v>
      </c>
      <c r="E98" s="10">
        <f>SUMIFS(_stats[wins_on_date],_stats[player_id],_players[[#This Row],[player_id]])</f>
        <v>6</v>
      </c>
      <c r="F98" s="18">
        <f>SUMIFS(_stats[draws_on_date],_stats[player_id],_players[[#This Row],[player_id]])</f>
        <v>1</v>
      </c>
      <c r="G98" s="18">
        <f>SUMIFS(_stats[foul_on_date],_stats[player_id],_players[[#This Row],[player_id]])</f>
        <v>0</v>
      </c>
    </row>
    <row r="99" spans="1:7" x14ac:dyDescent="0.25">
      <c r="A99" s="36" t="s">
        <v>104</v>
      </c>
      <c r="B99" s="36" t="s">
        <v>104</v>
      </c>
      <c r="C99" s="10">
        <f>SUMIFS(_stats[goals_on_date],_stats[player_id],_players[[#This Row],[player_id]])</f>
        <v>0</v>
      </c>
      <c r="D99" s="10">
        <f>SUMIFS(_stats[assists_on_date],_stats[player_id],_players[[#This Row],[player_id]])</f>
        <v>1</v>
      </c>
      <c r="E99" s="10">
        <f>SUMIFS(_stats[wins_on_date],_stats[player_id],_players[[#This Row],[player_id]])</f>
        <v>2</v>
      </c>
      <c r="F99" s="18">
        <f>SUMIFS(_stats[draws_on_date],_stats[player_id],_players[[#This Row],[player_id]])</f>
        <v>2</v>
      </c>
      <c r="G99" s="18">
        <f>SUMIFS(_stats[foul_on_date],_stats[player_id],_players[[#This Row],[player_id]])</f>
        <v>0</v>
      </c>
    </row>
    <row r="100" spans="1:7" x14ac:dyDescent="0.25">
      <c r="A100" s="33" t="s">
        <v>105</v>
      </c>
      <c r="B100" s="33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8">
        <f>SUMIFS(_stats[draws_on_date],_stats[player_id],_players[[#This Row],[player_id]])</f>
        <v>8</v>
      </c>
      <c r="G100" s="18">
        <f>SUMIFS(_stats[foul_on_date],_stats[player_id],_players[[#This Row],[player_id]])</f>
        <v>0</v>
      </c>
    </row>
    <row r="101" spans="1:7" x14ac:dyDescent="0.25">
      <c r="A101" s="33" t="s">
        <v>106</v>
      </c>
      <c r="B101" s="33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8">
        <f>SUMIFS(_stats[draws_on_date],_stats[player_id],_players[[#This Row],[player_id]])</f>
        <v>9</v>
      </c>
      <c r="G101" s="18">
        <f>SUMIFS(_stats[foul_on_date],_stats[player_id],_players[[#This Row],[player_id]])</f>
        <v>0</v>
      </c>
    </row>
    <row r="102" spans="1:7" x14ac:dyDescent="0.25">
      <c r="A102" s="36" t="s">
        <v>107</v>
      </c>
      <c r="B102" s="36" t="s">
        <v>107</v>
      </c>
      <c r="C102" s="10">
        <f>SUMIFS(_stats[goals_on_date],_stats[player_id],_players[[#This Row],[player_id]])</f>
        <v>5</v>
      </c>
      <c r="D102" s="10">
        <f>SUMIFS(_stats[assists_on_date],_stats[player_id],_players[[#This Row],[player_id]])</f>
        <v>2</v>
      </c>
      <c r="E102" s="10">
        <f>SUMIFS(_stats[wins_on_date],_stats[player_id],_players[[#This Row],[player_id]])</f>
        <v>20</v>
      </c>
      <c r="F102" s="18">
        <f>SUMIFS(_stats[draws_on_date],_stats[player_id],_players[[#This Row],[player_id]])</f>
        <v>1</v>
      </c>
      <c r="G102" s="18">
        <f>SUMIFS(_stats[foul_on_date],_stats[player_id],_players[[#This Row],[player_id]])</f>
        <v>0</v>
      </c>
    </row>
    <row r="103" spans="1:7" x14ac:dyDescent="0.25">
      <c r="A103" s="36" t="s">
        <v>108</v>
      </c>
      <c r="B103" s="36" t="s">
        <v>108</v>
      </c>
      <c r="C103" s="10">
        <f>SUMIFS(_stats[goals_on_date],_stats[player_id],_players[[#This Row],[player_id]])</f>
        <v>0</v>
      </c>
      <c r="D103" s="10">
        <f>SUMIFS(_stats[assists_on_date],_stats[player_id],_players[[#This Row],[player_id]])</f>
        <v>1</v>
      </c>
      <c r="E103" s="10">
        <f>SUMIFS(_stats[wins_on_date],_stats[player_id],_players[[#This Row],[player_id]])</f>
        <v>3</v>
      </c>
      <c r="F103" s="18">
        <f>SUMIFS(_stats[draws_on_date],_stats[player_id],_players[[#This Row],[player_id]])</f>
        <v>2</v>
      </c>
      <c r="G103" s="18">
        <f>SUMIFS(_stats[foul_on_date],_stats[player_id],_players[[#This Row],[player_id]])</f>
        <v>0</v>
      </c>
    </row>
    <row r="104" spans="1:7" x14ac:dyDescent="0.25">
      <c r="A104" s="36" t="s">
        <v>109</v>
      </c>
      <c r="B104" s="36" t="s">
        <v>109</v>
      </c>
      <c r="C104" s="10">
        <f>SUMIFS(_stats[goals_on_date],_stats[player_id],_players[[#This Row],[player_id]])</f>
        <v>0</v>
      </c>
      <c r="D104" s="10">
        <f>SUMIFS(_stats[assists_on_date],_stats[player_id],_players[[#This Row],[player_id]])</f>
        <v>2</v>
      </c>
      <c r="E104" s="10">
        <f>SUMIFS(_stats[wins_on_date],_stats[player_id],_players[[#This Row],[player_id]])</f>
        <v>4</v>
      </c>
      <c r="F104" s="18">
        <f>SUMIFS(_stats[draws_on_date],_stats[player_id],_players[[#This Row],[player_id]])</f>
        <v>1</v>
      </c>
      <c r="G104" s="18">
        <f>SUMIFS(_stats[foul_on_date],_stats[player_id],_players[[#This Row],[player_id]])</f>
        <v>0</v>
      </c>
    </row>
    <row r="105" spans="1:7" x14ac:dyDescent="0.25">
      <c r="A105" s="36" t="s">
        <v>110</v>
      </c>
      <c r="B105" s="36" t="s">
        <v>110</v>
      </c>
      <c r="C105" s="10">
        <f>SUMIFS(_stats[goals_on_date],_stats[player_id],_players[[#This Row],[player_id]])</f>
        <v>1</v>
      </c>
      <c r="D105" s="10">
        <f>SUMIFS(_stats[assists_on_date],_stats[player_id],_players[[#This Row],[player_id]])</f>
        <v>2</v>
      </c>
      <c r="E105" s="10">
        <f>SUMIFS(_stats[wins_on_date],_stats[player_id],_players[[#This Row],[player_id]])</f>
        <v>1</v>
      </c>
      <c r="F105" s="18">
        <f>SUMIFS(_stats[draws_on_date],_stats[player_id],_players[[#This Row],[player_id]])</f>
        <v>1</v>
      </c>
      <c r="G105" s="18">
        <f>SUMIFS(_stats[foul_on_date],_stats[player_id],_players[[#This Row],[player_id]])</f>
        <v>0</v>
      </c>
    </row>
    <row r="106" spans="1:7" x14ac:dyDescent="0.25">
      <c r="A106" s="36" t="s">
        <v>111</v>
      </c>
      <c r="B106" s="36" t="s">
        <v>111</v>
      </c>
      <c r="C106" s="10">
        <f>SUMIFS(_stats[goals_on_date],_stats[player_id],_players[[#This Row],[player_id]])</f>
        <v>6</v>
      </c>
      <c r="D106" s="10">
        <f>SUMIFS(_stats[assists_on_date],_stats[player_id],_players[[#This Row],[player_id]])</f>
        <v>1</v>
      </c>
      <c r="E106" s="10">
        <f>SUMIFS(_stats[wins_on_date],_stats[player_id],_players[[#This Row],[player_id]])</f>
        <v>8</v>
      </c>
      <c r="F106" s="18">
        <f>SUMIFS(_stats[draws_on_date],_stats[player_id],_players[[#This Row],[player_id]])</f>
        <v>9</v>
      </c>
      <c r="G106" s="18">
        <f>SUMIFS(_stats[foul_on_date],_stats[player_id],_players[[#This Row],[player_id]])</f>
        <v>0</v>
      </c>
    </row>
    <row r="107" spans="1:7" x14ac:dyDescent="0.25">
      <c r="A107" s="36" t="s">
        <v>112</v>
      </c>
      <c r="B107" s="36" t="s">
        <v>112</v>
      </c>
      <c r="C107" s="10">
        <f>SUMIFS(_stats[goals_on_date],_stats[player_id],_players[[#This Row],[player_id]])</f>
        <v>0</v>
      </c>
      <c r="D107" s="10">
        <f>SUMIFS(_stats[assists_on_date],_stats[player_id],_players[[#This Row],[player_id]])</f>
        <v>2</v>
      </c>
      <c r="E107" s="10">
        <f>SUMIFS(_stats[wins_on_date],_stats[player_id],_players[[#This Row],[player_id]])</f>
        <v>7</v>
      </c>
      <c r="F107" s="18">
        <f>SUMIFS(_stats[draws_on_date],_stats[player_id],_players[[#This Row],[player_id]])</f>
        <v>0</v>
      </c>
      <c r="G107" s="18">
        <f>SUMIFS(_stats[foul_on_date],_stats[player_id],_players[[#This Row],[player_id]])</f>
        <v>0</v>
      </c>
    </row>
    <row r="108" spans="1:7" x14ac:dyDescent="0.25">
      <c r="A108" s="36" t="s">
        <v>113</v>
      </c>
      <c r="B108" s="36" t="s">
        <v>113</v>
      </c>
      <c r="C108" s="10">
        <f>SUMIFS(_stats[goals_on_date],_stats[player_id],_players[[#This Row],[player_id]])</f>
        <v>1</v>
      </c>
      <c r="D108" s="10">
        <f>SUMIFS(_stats[assists_on_date],_stats[player_id],_players[[#This Row],[player_id]])</f>
        <v>0</v>
      </c>
      <c r="E108" s="10">
        <f>SUMIFS(_stats[wins_on_date],_stats[player_id],_players[[#This Row],[player_id]])</f>
        <v>1</v>
      </c>
      <c r="F108" s="18">
        <f>SUMIFS(_stats[draws_on_date],_stats[player_id],_players[[#This Row],[player_id]])</f>
        <v>2</v>
      </c>
      <c r="G108" s="18">
        <f>SUMIFS(_stats[foul_on_date],_stats[player_id],_players[[#This Row],[player_id]])</f>
        <v>0</v>
      </c>
    </row>
    <row r="109" spans="1:7" x14ac:dyDescent="0.25">
      <c r="A109" s="36" t="s">
        <v>114</v>
      </c>
      <c r="B109" s="36" t="s">
        <v>114</v>
      </c>
      <c r="C109" s="10">
        <f>SUMIFS(_stats[goals_on_date],_stats[player_id],_players[[#This Row],[player_id]])</f>
        <v>4</v>
      </c>
      <c r="D109" s="10">
        <f>SUMIFS(_stats[assists_on_date],_stats[player_id],_players[[#This Row],[player_id]])</f>
        <v>0</v>
      </c>
      <c r="E109" s="10">
        <f>SUMIFS(_stats[wins_on_date],_stats[player_id],_players[[#This Row],[player_id]])</f>
        <v>8</v>
      </c>
      <c r="F109" s="18">
        <f>SUMIFS(_stats[draws_on_date],_stats[player_id],_players[[#This Row],[player_id]])</f>
        <v>6</v>
      </c>
      <c r="G109" s="18">
        <f>SUMIFS(_stats[foul_on_date],_stats[player_id],_players[[#This Row],[player_id]])</f>
        <v>0</v>
      </c>
    </row>
    <row r="110" spans="1:7" ht="15.75" x14ac:dyDescent="0.25">
      <c r="A110" s="26" t="s">
        <v>115</v>
      </c>
      <c r="B110" s="26" t="s">
        <v>115</v>
      </c>
      <c r="C110" s="10">
        <f>SUMIFS(_stats[goals_on_date],_stats[player_id],_players[[#This Row],[player_id]])</f>
        <v>0</v>
      </c>
      <c r="D110" s="10">
        <f>SUMIFS(_stats[assists_on_date],_stats[player_id],_players[[#This Row],[player_id]])</f>
        <v>0</v>
      </c>
      <c r="E110" s="10">
        <f>SUMIFS(_stats[wins_on_date],_stats[player_id],_players[[#This Row],[player_id]])</f>
        <v>45</v>
      </c>
      <c r="F110" s="18">
        <f>SUMIFS(_stats[draws_on_date],_stats[player_id],_players[[#This Row],[player_id]])</f>
        <v>19</v>
      </c>
      <c r="G110" s="18">
        <f>SUMIFS(_stats[foul_on_date],_stats[player_id],_players[[#This Row],[player_id]])</f>
        <v>0</v>
      </c>
    </row>
    <row r="111" spans="1:7" x14ac:dyDescent="0.25">
      <c r="A111" s="36" t="s">
        <v>116</v>
      </c>
      <c r="B111" s="36" t="s">
        <v>116</v>
      </c>
      <c r="C111" s="10">
        <f>SUMIFS(_stats[goals_on_date],_stats[player_id],_players[[#This Row],[player_id]])</f>
        <v>1</v>
      </c>
      <c r="D111" s="10">
        <f>SUMIFS(_stats[assists_on_date],_stats[player_id],_players[[#This Row],[player_id]])</f>
        <v>1</v>
      </c>
      <c r="E111" s="10">
        <f>SUMIFS(_stats[wins_on_date],_stats[player_id],_players[[#This Row],[player_id]])</f>
        <v>1</v>
      </c>
      <c r="F111" s="18">
        <f>SUMIFS(_stats[draws_on_date],_stats[player_id],_players[[#This Row],[player_id]])</f>
        <v>0</v>
      </c>
      <c r="G111" s="18">
        <f>SUMIFS(_stats[foul_on_date],_stats[player_id],_players[[#This Row],[player_id]])</f>
        <v>0</v>
      </c>
    </row>
    <row r="112" spans="1:7" x14ac:dyDescent="0.25">
      <c r="A112" s="36" t="s">
        <v>117</v>
      </c>
      <c r="B112" s="36" t="s">
        <v>117</v>
      </c>
      <c r="C112" s="10">
        <f>SUMIFS(_stats[goals_on_date],_stats[player_id],_players[[#This Row],[player_id]])</f>
        <v>2</v>
      </c>
      <c r="D112" s="10">
        <f>SUMIFS(_stats[assists_on_date],_stats[player_id],_players[[#This Row],[player_id]])</f>
        <v>0</v>
      </c>
      <c r="E112" s="10">
        <f>SUMIFS(_stats[wins_on_date],_stats[player_id],_players[[#This Row],[player_id]])</f>
        <v>1</v>
      </c>
      <c r="F112" s="18">
        <f>SUMIFS(_stats[draws_on_date],_stats[player_id],_players[[#This Row],[player_id]])</f>
        <v>0</v>
      </c>
      <c r="G112" s="18">
        <f>SUMIFS(_stats[foul_on_date],_stats[player_id],_players[[#This Row],[player_id]])</f>
        <v>0</v>
      </c>
    </row>
    <row r="113" spans="1:7" x14ac:dyDescent="0.25">
      <c r="A113" s="36" t="s">
        <v>118</v>
      </c>
      <c r="B113" s="36" t="s">
        <v>118</v>
      </c>
      <c r="C113" s="10">
        <f>SUMIFS(_stats[goals_on_date],_stats[player_id],_players[[#This Row],[player_id]])</f>
        <v>0</v>
      </c>
      <c r="D113" s="10">
        <f>SUMIFS(_stats[assists_on_date],_stats[player_id],_players[[#This Row],[player_id]])</f>
        <v>0</v>
      </c>
      <c r="E113" s="10">
        <f>SUMIFS(_stats[wins_on_date],_stats[player_id],_players[[#This Row],[player_id]])</f>
        <v>1</v>
      </c>
      <c r="F113" s="18">
        <f>SUMIFS(_stats[draws_on_date],_stats[player_id],_players[[#This Row],[player_id]])</f>
        <v>2</v>
      </c>
      <c r="G113" s="18">
        <f>SUMIFS(_stats[foul_on_date],_stats[player_id],_players[[#This Row],[player_id]])</f>
        <v>0</v>
      </c>
    </row>
    <row r="114" spans="1:7" x14ac:dyDescent="0.25">
      <c r="A114" s="33" t="s">
        <v>119</v>
      </c>
      <c r="B114" s="33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8">
        <f>SUMIFS(_stats[draws_on_date],_stats[player_id],_players[[#This Row],[player_id]])</f>
        <v>2</v>
      </c>
      <c r="G114" s="18">
        <f>SUMIFS(_stats[foul_on_date],_stats[player_id],_players[[#This Row],[player_id]])</f>
        <v>0</v>
      </c>
    </row>
    <row r="115" spans="1:7" x14ac:dyDescent="0.25">
      <c r="A115" s="33" t="s">
        <v>120</v>
      </c>
      <c r="B115" s="33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1</v>
      </c>
      <c r="F115" s="18">
        <f>SUMIFS(_stats[draws_on_date],_stats[player_id],_players[[#This Row],[player_id]])</f>
        <v>2</v>
      </c>
      <c r="G115" s="18">
        <f>SUMIFS(_stats[foul_on_date],_stats[player_id],_players[[#This Row],[player_id]])</f>
        <v>0</v>
      </c>
    </row>
    <row r="116" spans="1:7" x14ac:dyDescent="0.25">
      <c r="A116" s="33" t="s">
        <v>121</v>
      </c>
      <c r="B116" s="33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8">
        <f>SUMIFS(_stats[draws_on_date],_stats[player_id],_players[[#This Row],[player_id]])</f>
        <v>4</v>
      </c>
      <c r="G116" s="18">
        <f>SUMIFS(_stats[foul_on_date],_stats[player_id],_players[[#This Row],[player_id]])</f>
        <v>0</v>
      </c>
    </row>
    <row r="117" spans="1:7" x14ac:dyDescent="0.25">
      <c r="A117" s="36" t="s">
        <v>122</v>
      </c>
      <c r="B117" s="36" t="s">
        <v>122</v>
      </c>
      <c r="C117" s="10">
        <f>SUMIFS(_stats[goals_on_date],_stats[player_id],_players[[#This Row],[player_id]])</f>
        <v>1</v>
      </c>
      <c r="D117" s="10">
        <f>SUMIFS(_stats[assists_on_date],_stats[player_id],_players[[#This Row],[player_id]])</f>
        <v>3</v>
      </c>
      <c r="E117" s="10">
        <f>SUMIFS(_stats[wins_on_date],_stats[player_id],_players[[#This Row],[player_id]])</f>
        <v>6</v>
      </c>
      <c r="F117" s="18">
        <f>SUMIFS(_stats[draws_on_date],_stats[player_id],_players[[#This Row],[player_id]])</f>
        <v>2</v>
      </c>
      <c r="G117" s="18">
        <f>SUMIFS(_stats[foul_on_date],_stats[player_id],_players[[#This Row],[player_id]])</f>
        <v>0</v>
      </c>
    </row>
    <row r="118" spans="1:7" ht="15.75" x14ac:dyDescent="0.25">
      <c r="A118" s="39" t="s">
        <v>123</v>
      </c>
      <c r="B118" s="39" t="s">
        <v>123</v>
      </c>
      <c r="C118" s="10">
        <f>SUMIFS(_stats[goals_on_date],_stats[player_id],_players[[#This Row],[player_id]])</f>
        <v>3</v>
      </c>
      <c r="D118" s="10">
        <f>SUMIFS(_stats[assists_on_date],_stats[player_id],_players[[#This Row],[player_id]])</f>
        <v>1</v>
      </c>
      <c r="E118" s="10">
        <f>SUMIFS(_stats[wins_on_date],_stats[player_id],_players[[#This Row],[player_id]])</f>
        <v>6</v>
      </c>
      <c r="F118" s="18">
        <f>SUMIFS(_stats[draws_on_date],_stats[player_id],_players[[#This Row],[player_id]])</f>
        <v>0</v>
      </c>
      <c r="G118" s="18">
        <f>SUMIFS(_stats[foul_on_date],_stats[player_id],_players[[#This Row],[player_id]])</f>
        <v>0</v>
      </c>
    </row>
    <row r="119" spans="1:7" ht="15.75" x14ac:dyDescent="0.25">
      <c r="A119" s="39" t="s">
        <v>124</v>
      </c>
      <c r="B119" s="3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8">
        <f>SUMIFS(_stats[draws_on_date],_stats[player_id],_players[[#This Row],[player_id]])</f>
        <v>0</v>
      </c>
      <c r="G119" s="18">
        <f>SUMIFS(_stats[foul_on_date],_stats[player_id],_players[[#This Row],[player_id]])</f>
        <v>0</v>
      </c>
    </row>
    <row r="120" spans="1:7" x14ac:dyDescent="0.25">
      <c r="A120" s="36" t="s">
        <v>125</v>
      </c>
      <c r="B120" s="36" t="s">
        <v>125</v>
      </c>
      <c r="C120" s="10">
        <f>SUMIFS(_stats[goals_on_date],_stats[player_id],_players[[#This Row],[player_id]])</f>
        <v>17</v>
      </c>
      <c r="D120" s="10">
        <f>SUMIFS(_stats[assists_on_date],_stats[player_id],_players[[#This Row],[player_id]])</f>
        <v>9</v>
      </c>
      <c r="E120" s="10">
        <f>SUMIFS(_stats[wins_on_date],_stats[player_id],_players[[#This Row],[player_id]])</f>
        <v>51</v>
      </c>
      <c r="F120" s="18">
        <f>SUMIFS(_stats[draws_on_date],_stats[player_id],_players[[#This Row],[player_id]])</f>
        <v>21</v>
      </c>
      <c r="G120" s="18">
        <f>SUMIFS(_stats[foul_on_date],_stats[player_id],_players[[#This Row],[player_id]])</f>
        <v>0</v>
      </c>
    </row>
    <row r="121" spans="1:7" ht="15.75" x14ac:dyDescent="0.25">
      <c r="A121" s="42" t="s">
        <v>126</v>
      </c>
      <c r="B121" s="39" t="s">
        <v>126</v>
      </c>
      <c r="C121" s="10">
        <f>SUMIFS(_stats[goals_on_date],_stats[player_id],_players[[#This Row],[player_id]])</f>
        <v>16</v>
      </c>
      <c r="D121" s="10">
        <f>SUMIFS(_stats[assists_on_date],_stats[player_id],_players[[#This Row],[player_id]])</f>
        <v>18</v>
      </c>
      <c r="E121" s="10">
        <f>SUMIFS(_stats[wins_on_date],_stats[player_id],_players[[#This Row],[player_id]])</f>
        <v>67</v>
      </c>
      <c r="F121" s="18">
        <f>SUMIFS(_stats[draws_on_date],_stats[player_id],_players[[#This Row],[player_id]])</f>
        <v>25</v>
      </c>
      <c r="G121" s="18">
        <f>SUMIFS(_stats[foul_on_date],_stats[player_id],_players[[#This Row],[player_id]])</f>
        <v>0</v>
      </c>
    </row>
    <row r="122" spans="1:7" ht="15.75" x14ac:dyDescent="0.25">
      <c r="A122" s="42" t="s">
        <v>127</v>
      </c>
      <c r="B122" s="39" t="s">
        <v>127</v>
      </c>
      <c r="C122" s="10">
        <f>SUMIFS(_stats[goals_on_date],_stats[player_id],_players[[#This Row],[player_id]])</f>
        <v>0</v>
      </c>
      <c r="D122" s="10">
        <f>SUMIFS(_stats[assists_on_date],_stats[player_id],_players[[#This Row],[player_id]])</f>
        <v>0</v>
      </c>
      <c r="E122" s="10">
        <f>SUMIFS(_stats[wins_on_date],_stats[player_id],_players[[#This Row],[player_id]])</f>
        <v>6</v>
      </c>
      <c r="F122" s="18">
        <f>SUMIFS(_stats[draws_on_date],_stats[player_id],_players[[#This Row],[player_id]])</f>
        <v>7</v>
      </c>
      <c r="G122" s="18">
        <f>SUMIFS(_stats[foul_on_date],_stats[player_id],_players[[#This Row],[player_id]])</f>
        <v>0</v>
      </c>
    </row>
    <row r="123" spans="1:7" ht="15.75" x14ac:dyDescent="0.25">
      <c r="A123" s="37" t="s">
        <v>128</v>
      </c>
      <c r="B123" s="26" t="s">
        <v>128</v>
      </c>
      <c r="C123" s="10">
        <f>SUMIFS(_stats[goals_on_date],_stats[player_id],_players[[#This Row],[player_id]])</f>
        <v>0</v>
      </c>
      <c r="D123" s="10">
        <f>SUMIFS(_stats[assists_on_date],_stats[player_id],_players[[#This Row],[player_id]])</f>
        <v>0</v>
      </c>
      <c r="E123" s="10">
        <f>SUMIFS(_stats[wins_on_date],_stats[player_id],_players[[#This Row],[player_id]])</f>
        <v>7</v>
      </c>
      <c r="F123" s="18">
        <f>SUMIFS(_stats[draws_on_date],_stats[player_id],_players[[#This Row],[player_id]])</f>
        <v>6</v>
      </c>
      <c r="G123" s="18">
        <f>SUMIFS(_stats[foul_on_date],_stats[player_id],_players[[#This Row],[player_id]])</f>
        <v>0</v>
      </c>
    </row>
    <row r="124" spans="1:7" x14ac:dyDescent="0.25">
      <c r="A124" s="36" t="s">
        <v>129</v>
      </c>
      <c r="B124" s="36" t="s">
        <v>129</v>
      </c>
      <c r="C124" s="10">
        <f>SUMIFS(_stats[goals_on_date],_stats[player_id],_players[[#This Row],[player_id]])</f>
        <v>0</v>
      </c>
      <c r="D124" s="10">
        <f>SUMIFS(_stats[assists_on_date],_stats[player_id],_players[[#This Row],[player_id]])</f>
        <v>0</v>
      </c>
      <c r="E124" s="10">
        <f>SUMIFS(_stats[wins_on_date],_stats[player_id],_players[[#This Row],[player_id]])</f>
        <v>10</v>
      </c>
      <c r="F124" s="18">
        <f>SUMIFS(_stats[draws_on_date],_stats[player_id],_players[[#This Row],[player_id]])</f>
        <v>2</v>
      </c>
      <c r="G124" s="18">
        <f>SUMIFS(_stats[foul_on_date],_stats[player_id],_players[[#This Row],[player_id]])</f>
        <v>0</v>
      </c>
    </row>
    <row r="125" spans="1:7" x14ac:dyDescent="0.25">
      <c r="A125" s="36" t="s">
        <v>130</v>
      </c>
      <c r="B125" s="36" t="s">
        <v>130</v>
      </c>
      <c r="C125" s="10">
        <f>SUMIFS(_stats[goals_on_date],_stats[player_id],_players[[#This Row],[player_id]])</f>
        <v>1</v>
      </c>
      <c r="D125" s="10">
        <f>SUMIFS(_stats[assists_on_date],_stats[player_id],_players[[#This Row],[player_id]])</f>
        <v>0</v>
      </c>
      <c r="E125" s="10">
        <f>SUMIFS(_stats[wins_on_date],_stats[player_id],_players[[#This Row],[player_id]])</f>
        <v>12</v>
      </c>
      <c r="F125" s="18">
        <f>SUMIFS(_stats[draws_on_date],_stats[player_id],_players[[#This Row],[player_id]])</f>
        <v>2</v>
      </c>
      <c r="G125" s="18">
        <f>SUMIFS(_stats[foul_on_date],_stats[player_id],_players[[#This Row],[player_id]])</f>
        <v>0</v>
      </c>
    </row>
    <row r="126" spans="1:7" x14ac:dyDescent="0.25">
      <c r="A126" s="36" t="s">
        <v>131</v>
      </c>
      <c r="B126" s="36" t="s">
        <v>131</v>
      </c>
      <c r="C126" s="10">
        <f>SUMIFS(_stats[goals_on_date],_stats[player_id],_players[[#This Row],[player_id]])</f>
        <v>13</v>
      </c>
      <c r="D126" s="10">
        <f>SUMIFS(_stats[assists_on_date],_stats[player_id],_players[[#This Row],[player_id]])</f>
        <v>6</v>
      </c>
      <c r="E126" s="10">
        <f>SUMIFS(_stats[wins_on_date],_stats[player_id],_players[[#This Row],[player_id]])</f>
        <v>31</v>
      </c>
      <c r="F126" s="18">
        <f>SUMIFS(_stats[draws_on_date],_stats[player_id],_players[[#This Row],[player_id]])</f>
        <v>17</v>
      </c>
      <c r="G126" s="18">
        <f>SUMIFS(_stats[foul_on_date],_stats[player_id],_players[[#This Row],[player_id]])</f>
        <v>0</v>
      </c>
    </row>
    <row r="127" spans="1:7" x14ac:dyDescent="0.25">
      <c r="A127" s="36" t="s">
        <v>132</v>
      </c>
      <c r="B127" s="36" t="s">
        <v>132</v>
      </c>
      <c r="C127" s="10">
        <f>SUMIFS(_stats[goals_on_date],_stats[player_id],_players[[#This Row],[player_id]])</f>
        <v>0</v>
      </c>
      <c r="D127" s="10">
        <f>SUMIFS(_stats[assists_on_date],_stats[player_id],_players[[#This Row],[player_id]])</f>
        <v>0</v>
      </c>
      <c r="E127" s="10">
        <f>SUMIFS(_stats[wins_on_date],_stats[player_id],_players[[#This Row],[player_id]])</f>
        <v>2</v>
      </c>
      <c r="F127" s="18">
        <f>SUMIFS(_stats[draws_on_date],_stats[player_id],_players[[#This Row],[player_id]])</f>
        <v>2</v>
      </c>
      <c r="G127" s="18">
        <f>SUMIFS(_stats[foul_on_date],_stats[player_id],_players[[#This Row],[player_id]])</f>
        <v>0</v>
      </c>
    </row>
    <row r="128" spans="1:7" x14ac:dyDescent="0.25">
      <c r="A128" s="36" t="s">
        <v>133</v>
      </c>
      <c r="B128" s="36" t="s">
        <v>133</v>
      </c>
      <c r="C128" s="10">
        <f>SUMIFS(_stats[goals_on_date],_stats[player_id],_players[[#This Row],[player_id]])</f>
        <v>0</v>
      </c>
      <c r="D128" s="10">
        <f>SUMIFS(_stats[assists_on_date],_stats[player_id],_players[[#This Row],[player_id]])</f>
        <v>0</v>
      </c>
      <c r="E128" s="10">
        <f>SUMIFS(_stats[wins_on_date],_stats[player_id],_players[[#This Row],[player_id]])</f>
        <v>2</v>
      </c>
      <c r="F128" s="18">
        <f>SUMIFS(_stats[draws_on_date],_stats[player_id],_players[[#This Row],[player_id]])</f>
        <v>2</v>
      </c>
      <c r="G128" s="18">
        <f>SUMIFS(_stats[foul_on_date],_stats[player_id],_players[[#This Row],[player_id]])</f>
        <v>0</v>
      </c>
    </row>
    <row r="129" spans="1:7" x14ac:dyDescent="0.25">
      <c r="A129" s="36" t="s">
        <v>134</v>
      </c>
      <c r="B129" s="36" t="s">
        <v>134</v>
      </c>
      <c r="C129" s="10">
        <f>SUMIFS(_stats[goals_on_date],_stats[player_id],_players[[#This Row],[player_id]])</f>
        <v>0</v>
      </c>
      <c r="D129" s="10">
        <f>SUMIFS(_stats[assists_on_date],_stats[player_id],_players[[#This Row],[player_id]])</f>
        <v>0</v>
      </c>
      <c r="E129" s="10">
        <f>SUMIFS(_stats[wins_on_date],_stats[player_id],_players[[#This Row],[player_id]])</f>
        <v>1</v>
      </c>
      <c r="F129" s="18">
        <f>SUMIFS(_stats[draws_on_date],_stats[player_id],_players[[#This Row],[player_id]])</f>
        <v>1</v>
      </c>
      <c r="G129" s="18">
        <f>SUMIFS(_stats[foul_on_date],_stats[player_id],_players[[#This Row],[player_id]])</f>
        <v>0</v>
      </c>
    </row>
    <row r="130" spans="1:7" x14ac:dyDescent="0.25">
      <c r="A130" s="36" t="s">
        <v>135</v>
      </c>
      <c r="B130" s="36" t="s">
        <v>135</v>
      </c>
      <c r="C130" s="10">
        <f>SUMIFS(_stats[goals_on_date],_stats[player_id],_players[[#This Row],[player_id]])</f>
        <v>1</v>
      </c>
      <c r="D130" s="10">
        <f>SUMIFS(_stats[assists_on_date],_stats[player_id],_players[[#This Row],[player_id]])</f>
        <v>0</v>
      </c>
      <c r="E130" s="10">
        <f>SUMIFS(_stats[wins_on_date],_stats[player_id],_players[[#This Row],[player_id]])</f>
        <v>6</v>
      </c>
      <c r="F130" s="18">
        <f>SUMIFS(_stats[draws_on_date],_stats[player_id],_players[[#This Row],[player_id]])</f>
        <v>7</v>
      </c>
      <c r="G130" s="18">
        <f>SUMIFS(_stats[foul_on_date],_stats[player_id],_players[[#This Row],[player_id]])</f>
        <v>0</v>
      </c>
    </row>
    <row r="131" spans="1:7" x14ac:dyDescent="0.25">
      <c r="A131" s="36" t="s">
        <v>136</v>
      </c>
      <c r="B131" s="36" t="s">
        <v>136</v>
      </c>
      <c r="C131" s="10">
        <f>SUMIFS(_stats[goals_on_date],_stats[player_id],_players[[#This Row],[player_id]])</f>
        <v>3</v>
      </c>
      <c r="D131" s="10">
        <f>SUMIFS(_stats[assists_on_date],_stats[player_id],_players[[#This Row],[player_id]])</f>
        <v>0</v>
      </c>
      <c r="E131" s="10">
        <f>SUMIFS(_stats[wins_on_date],_stats[player_id],_players[[#This Row],[player_id]])</f>
        <v>6</v>
      </c>
      <c r="F131" s="18">
        <f>SUMIFS(_stats[draws_on_date],_stats[player_id],_players[[#This Row],[player_id]])</f>
        <v>5</v>
      </c>
      <c r="G131" s="18">
        <f>SUMIFS(_stats[foul_on_date],_stats[player_id],_players[[#This Row],[player_id]])</f>
        <v>1</v>
      </c>
    </row>
    <row r="132" spans="1:7" x14ac:dyDescent="0.25">
      <c r="A132" s="36" t="s">
        <v>137</v>
      </c>
      <c r="B132" s="36" t="s">
        <v>137</v>
      </c>
      <c r="C132" s="10">
        <f>SUMIFS(_stats[goals_on_date],_stats[player_id],_players[[#This Row],[player_id]])</f>
        <v>0</v>
      </c>
      <c r="D132" s="10">
        <f>SUMIFS(_stats[assists_on_date],_stats[player_id],_players[[#This Row],[player_id]])</f>
        <v>0</v>
      </c>
      <c r="E132" s="10">
        <f>SUMIFS(_stats[wins_on_date],_stats[player_id],_players[[#This Row],[player_id]])</f>
        <v>5</v>
      </c>
      <c r="F132" s="18">
        <f>SUMIFS(_stats[draws_on_date],_stats[player_id],_players[[#This Row],[player_id]])</f>
        <v>1</v>
      </c>
      <c r="G132" s="18">
        <f>SUMIFS(_stats[foul_on_date],_stats[player_id],_players[[#This Row],[player_id]])</f>
        <v>0</v>
      </c>
    </row>
    <row r="133" spans="1:7" x14ac:dyDescent="0.25">
      <c r="A133" s="36" t="s">
        <v>138</v>
      </c>
      <c r="B133" s="36" t="s">
        <v>138</v>
      </c>
      <c r="C133" s="10">
        <f>SUMIFS(_stats[goals_on_date],_stats[player_id],_players[[#This Row],[player_id]])</f>
        <v>8</v>
      </c>
      <c r="D133" s="10">
        <f>SUMIFS(_stats[assists_on_date],_stats[player_id],_players[[#This Row],[player_id]])</f>
        <v>0</v>
      </c>
      <c r="E133" s="10">
        <f>SUMIFS(_stats[wins_on_date],_stats[player_id],_players[[#This Row],[player_id]])</f>
        <v>9</v>
      </c>
      <c r="F133" s="18">
        <f>SUMIFS(_stats[draws_on_date],_stats[player_id],_players[[#This Row],[player_id]])</f>
        <v>1</v>
      </c>
      <c r="G133" s="18">
        <f>SUMIFS(_stats[foul_on_date],_stats[player_id],_players[[#This Row],[player_id]])</f>
        <v>0</v>
      </c>
    </row>
    <row r="134" spans="1:7" x14ac:dyDescent="0.25">
      <c r="A134" s="36" t="s">
        <v>139</v>
      </c>
      <c r="B134" s="36" t="s">
        <v>139</v>
      </c>
      <c r="C134" s="10">
        <f>SUMIFS(_stats[goals_on_date],_stats[player_id],_players[[#This Row],[player_id]])</f>
        <v>0</v>
      </c>
      <c r="D134" s="10">
        <f>SUMIFS(_stats[assists_on_date],_stats[player_id],_players[[#This Row],[player_id]])</f>
        <v>0</v>
      </c>
      <c r="E134" s="10">
        <f>SUMIFS(_stats[wins_on_date],_stats[player_id],_players[[#This Row],[player_id]])</f>
        <v>13</v>
      </c>
      <c r="F134" s="18">
        <f>SUMIFS(_stats[draws_on_date],_stats[player_id],_players[[#This Row],[player_id]])</f>
        <v>4</v>
      </c>
      <c r="G134" s="18">
        <f>SUMIFS(_stats[foul_on_date],_stats[player_id],_players[[#This Row],[player_id]])</f>
        <v>2</v>
      </c>
    </row>
    <row r="135" spans="1:7" x14ac:dyDescent="0.25">
      <c r="A135" s="36" t="s">
        <v>140</v>
      </c>
      <c r="B135" s="36" t="s">
        <v>140</v>
      </c>
      <c r="C135" s="10">
        <f>SUMIFS(_stats[goals_on_date],_stats[player_id],_players[[#This Row],[player_id]])</f>
        <v>0</v>
      </c>
      <c r="D135" s="10">
        <f>SUMIFS(_stats[assists_on_date],_stats[player_id],_players[[#This Row],[player_id]])</f>
        <v>0</v>
      </c>
      <c r="E135" s="10">
        <f>SUMIFS(_stats[wins_on_date],_stats[player_id],_players[[#This Row],[player_id]])</f>
        <v>0</v>
      </c>
      <c r="F135" s="18">
        <f>SUMIFS(_stats[draws_on_date],_stats[player_id],_players[[#This Row],[player_id]])</f>
        <v>1</v>
      </c>
      <c r="G135" s="18">
        <f>SUMIFS(_stats[foul_on_date],_stats[player_id],_players[[#This Row],[player_id]])</f>
        <v>0</v>
      </c>
    </row>
    <row r="136" spans="1:7" x14ac:dyDescent="0.25">
      <c r="A136" s="36" t="s">
        <v>141</v>
      </c>
      <c r="B136" s="36" t="s">
        <v>141</v>
      </c>
      <c r="C136" s="10">
        <f>SUMIFS(_stats[goals_on_date],_stats[player_id],_players[[#This Row],[player_id]])</f>
        <v>0</v>
      </c>
      <c r="D136" s="10">
        <f>SUMIFS(_stats[assists_on_date],_stats[player_id],_players[[#This Row],[player_id]])</f>
        <v>0</v>
      </c>
      <c r="E136" s="10">
        <f>SUMIFS(_stats[wins_on_date],_stats[player_id],_players[[#This Row],[player_id]])</f>
        <v>7</v>
      </c>
      <c r="F136" s="18">
        <f>SUMIFS(_stats[draws_on_date],_stats[player_id],_players[[#This Row],[player_id]])</f>
        <v>1</v>
      </c>
      <c r="G136" s="18">
        <f>SUMIFS(_stats[foul_on_date],_stats[player_id],_players[[#This Row],[player_id]])</f>
        <v>0</v>
      </c>
    </row>
    <row r="137" spans="1:7" x14ac:dyDescent="0.25">
      <c r="A137" s="36" t="s">
        <v>142</v>
      </c>
      <c r="B137" s="36" t="s">
        <v>142</v>
      </c>
      <c r="C137" s="10">
        <f>SUMIFS(_stats[goals_on_date],_stats[player_id],_players[[#This Row],[player_id]])</f>
        <v>2</v>
      </c>
      <c r="D137" s="10">
        <f>SUMIFS(_stats[assists_on_date],_stats[player_id],_players[[#This Row],[player_id]])</f>
        <v>3</v>
      </c>
      <c r="E137" s="10">
        <f>SUMIFS(_stats[wins_on_date],_stats[player_id],_players[[#This Row],[player_id]])</f>
        <v>27</v>
      </c>
      <c r="F137" s="18">
        <f>SUMIFS(_stats[draws_on_date],_stats[player_id],_players[[#This Row],[player_id]])</f>
        <v>8</v>
      </c>
      <c r="G137" s="18">
        <f>SUMIFS(_stats[foul_on_date],_stats[player_id],_players[[#This Row],[player_id]])</f>
        <v>1</v>
      </c>
    </row>
    <row r="138" spans="1:7" x14ac:dyDescent="0.25">
      <c r="A138" s="36" t="s">
        <v>143</v>
      </c>
      <c r="B138" s="36" t="s">
        <v>143</v>
      </c>
      <c r="C138" s="10">
        <f>SUMIFS(_stats[goals_on_date],_stats[player_id],_players[[#This Row],[player_id]])</f>
        <v>0</v>
      </c>
      <c r="D138" s="10">
        <f>SUMIFS(_stats[assists_on_date],_stats[player_id],_players[[#This Row],[player_id]])</f>
        <v>1</v>
      </c>
      <c r="E138" s="10">
        <f>SUMIFS(_stats[wins_on_date],_stats[player_id],_players[[#This Row],[player_id]])</f>
        <v>1</v>
      </c>
      <c r="F138" s="18">
        <f>SUMIFS(_stats[draws_on_date],_stats[player_id],_players[[#This Row],[player_id]])</f>
        <v>0</v>
      </c>
      <c r="G138" s="18">
        <f>SUMIFS(_stats[foul_on_date],_stats[player_id],_players[[#This Row],[player_id]])</f>
        <v>0</v>
      </c>
    </row>
    <row r="139" spans="1:7" x14ac:dyDescent="0.25">
      <c r="A139" s="36" t="s">
        <v>144</v>
      </c>
      <c r="B139" s="36" t="s">
        <v>144</v>
      </c>
      <c r="C139" s="10">
        <f>SUMIFS(_stats[goals_on_date],_stats[player_id],_players[[#This Row],[player_id]])</f>
        <v>0</v>
      </c>
      <c r="D139" s="10">
        <f>SUMIFS(_stats[assists_on_date],_stats[player_id],_players[[#This Row],[player_id]])</f>
        <v>0</v>
      </c>
      <c r="E139" s="10">
        <f>SUMIFS(_stats[wins_on_date],_stats[player_id],_players[[#This Row],[player_id]])</f>
        <v>3</v>
      </c>
      <c r="F139" s="18">
        <f>SUMIFS(_stats[draws_on_date],_stats[player_id],_players[[#This Row],[player_id]])</f>
        <v>2</v>
      </c>
      <c r="G139" s="18">
        <f>SUMIFS(_stats[foul_on_date],_stats[player_id],_players[[#This Row],[player_id]])</f>
        <v>0</v>
      </c>
    </row>
    <row r="140" spans="1:7" x14ac:dyDescent="0.25">
      <c r="A140" s="36" t="s">
        <v>145</v>
      </c>
      <c r="B140" s="36" t="s">
        <v>145</v>
      </c>
      <c r="C140" s="10">
        <f>SUMIFS(_stats[goals_on_date],_stats[player_id],_players[[#This Row],[player_id]])</f>
        <v>9</v>
      </c>
      <c r="D140" s="10">
        <f>SUMIFS(_stats[assists_on_date],_stats[player_id],_players[[#This Row],[player_id]])</f>
        <v>3</v>
      </c>
      <c r="E140" s="10">
        <f>SUMIFS(_stats[wins_on_date],_stats[player_id],_players[[#This Row],[player_id]])</f>
        <v>11</v>
      </c>
      <c r="F140" s="18">
        <f>SUMIFS(_stats[draws_on_date],_stats[player_id],_players[[#This Row],[player_id]])</f>
        <v>11</v>
      </c>
      <c r="G140" s="18">
        <f>SUMIFS(_stats[foul_on_date],_stats[player_id],_players[[#This Row],[player_id]])</f>
        <v>0</v>
      </c>
    </row>
    <row r="141" spans="1:7" x14ac:dyDescent="0.25">
      <c r="A141" s="36" t="s">
        <v>146</v>
      </c>
      <c r="B141" s="36" t="s">
        <v>146</v>
      </c>
      <c r="C141" s="10">
        <f>SUMIFS(_stats[goals_on_date],_stats[player_id],_players[[#This Row],[player_id]])</f>
        <v>0</v>
      </c>
      <c r="D141" s="10">
        <f>SUMIFS(_stats[assists_on_date],_stats[player_id],_players[[#This Row],[player_id]])</f>
        <v>1</v>
      </c>
      <c r="E141" s="10">
        <f>SUMIFS(_stats[wins_on_date],_stats[player_id],_players[[#This Row],[player_id]])</f>
        <v>2</v>
      </c>
      <c r="F141" s="18">
        <f>SUMIFS(_stats[draws_on_date],_stats[player_id],_players[[#This Row],[player_id]])</f>
        <v>1</v>
      </c>
      <c r="G141" s="18">
        <f>SUMIFS(_stats[foul_on_date],_stats[player_id],_players[[#This Row],[player_id]])</f>
        <v>0</v>
      </c>
    </row>
    <row r="142" spans="1:7" x14ac:dyDescent="0.25">
      <c r="A142" s="36" t="s">
        <v>147</v>
      </c>
      <c r="B142" s="36" t="s">
        <v>147</v>
      </c>
      <c r="C142" s="10">
        <f>SUMIFS(_stats[goals_on_date],_stats[player_id],_players[[#This Row],[player_id]])</f>
        <v>0</v>
      </c>
      <c r="D142" s="10">
        <f>SUMIFS(_stats[assists_on_date],_stats[player_id],_players[[#This Row],[player_id]])</f>
        <v>0</v>
      </c>
      <c r="E142" s="10">
        <f>SUMIFS(_stats[wins_on_date],_stats[player_id],_players[[#This Row],[player_id]])</f>
        <v>2</v>
      </c>
      <c r="F142" s="18">
        <f>SUMIFS(_stats[draws_on_date],_stats[player_id],_players[[#This Row],[player_id]])</f>
        <v>3</v>
      </c>
      <c r="G142" s="18">
        <f>SUMIFS(_stats[foul_on_date],_stats[player_id],_players[[#This Row],[player_id]])</f>
        <v>0</v>
      </c>
    </row>
    <row r="143" spans="1:7" x14ac:dyDescent="0.25">
      <c r="A143" s="36" t="s">
        <v>148</v>
      </c>
      <c r="B143" s="36" t="s">
        <v>148</v>
      </c>
      <c r="C143" s="10">
        <f>SUMIFS(_stats[goals_on_date],_stats[player_id],_players[[#This Row],[player_id]])</f>
        <v>1</v>
      </c>
      <c r="D143" s="10">
        <f>SUMIFS(_stats[assists_on_date],_stats[player_id],_players[[#This Row],[player_id]])</f>
        <v>0</v>
      </c>
      <c r="E143" s="10">
        <f>SUMIFS(_stats[wins_on_date],_stats[player_id],_players[[#This Row],[player_id]])</f>
        <v>8</v>
      </c>
      <c r="F143" s="18">
        <f>SUMIFS(_stats[draws_on_date],_stats[player_id],_players[[#This Row],[player_id]])</f>
        <v>2</v>
      </c>
      <c r="G143" s="18">
        <f>SUMIFS(_stats[foul_on_date],_stats[player_id],_players[[#This Row],[player_id]])</f>
        <v>0</v>
      </c>
    </row>
    <row r="144" spans="1:7" x14ac:dyDescent="0.25">
      <c r="A144" s="36" t="s">
        <v>149</v>
      </c>
      <c r="B144" s="36" t="s">
        <v>149</v>
      </c>
      <c r="C144" s="10">
        <f>SUMIFS(_stats[goals_on_date],_stats[player_id],_players[[#This Row],[player_id]])</f>
        <v>1</v>
      </c>
      <c r="D144" s="10">
        <f>SUMIFS(_stats[assists_on_date],_stats[player_id],_players[[#This Row],[player_id]])</f>
        <v>0</v>
      </c>
      <c r="E144" s="10">
        <f>SUMIFS(_stats[wins_on_date],_stats[player_id],_players[[#This Row],[player_id]])</f>
        <v>8</v>
      </c>
      <c r="F144" s="18">
        <f>SUMIFS(_stats[draws_on_date],_stats[player_id],_players[[#This Row],[player_id]])</f>
        <v>1</v>
      </c>
      <c r="G144" s="18">
        <f>SUMIFS(_stats[foul_on_date],_stats[player_id],_players[[#This Row],[player_id]])</f>
        <v>1</v>
      </c>
    </row>
    <row r="145" spans="1:7" x14ac:dyDescent="0.25">
      <c r="A145" s="36" t="s">
        <v>150</v>
      </c>
      <c r="B145" s="36" t="s">
        <v>150</v>
      </c>
      <c r="C145" s="10">
        <f>SUMIFS(_stats[goals_on_date],_stats[player_id],_players[[#This Row],[player_id]])</f>
        <v>5</v>
      </c>
      <c r="D145" s="10">
        <f>SUMIFS(_stats[assists_on_date],_stats[player_id],_players[[#This Row],[player_id]])</f>
        <v>4</v>
      </c>
      <c r="E145" s="10">
        <f>SUMIFS(_stats[wins_on_date],_stats[player_id],_players[[#This Row],[player_id]])</f>
        <v>17</v>
      </c>
      <c r="F145" s="18">
        <f>SUMIFS(_stats[draws_on_date],_stats[player_id],_players[[#This Row],[player_id]])</f>
        <v>8</v>
      </c>
      <c r="G145" s="18">
        <f>SUMIFS(_stats[foul_on_date],_stats[player_id],_players[[#This Row],[player_id]])</f>
        <v>0</v>
      </c>
    </row>
    <row r="146" spans="1:7" x14ac:dyDescent="0.25">
      <c r="A146" s="36" t="s">
        <v>151</v>
      </c>
      <c r="B146" s="36" t="s">
        <v>151</v>
      </c>
      <c r="C146" s="10">
        <f>SUMIFS(_stats[goals_on_date],_stats[player_id],_players[[#This Row],[player_id]])</f>
        <v>1</v>
      </c>
      <c r="D146" s="10">
        <f>SUMIFS(_stats[assists_on_date],_stats[player_id],_players[[#This Row],[player_id]])</f>
        <v>0</v>
      </c>
      <c r="E146" s="10">
        <f>SUMIFS(_stats[wins_on_date],_stats[player_id],_players[[#This Row],[player_id]])</f>
        <v>2</v>
      </c>
      <c r="F146" s="18">
        <f>SUMIFS(_stats[draws_on_date],_stats[player_id],_players[[#This Row],[player_id]])</f>
        <v>1</v>
      </c>
      <c r="G146" s="18">
        <f>SUMIFS(_stats[foul_on_date],_stats[player_id],_players[[#This Row],[player_id]])</f>
        <v>0</v>
      </c>
    </row>
    <row r="147" spans="1:7" x14ac:dyDescent="0.25">
      <c r="A147" s="36" t="s">
        <v>152</v>
      </c>
      <c r="B147" s="36" t="s">
        <v>152</v>
      </c>
      <c r="C147" s="10">
        <f>SUMIFS(_stats[goals_on_date],_stats[player_id],_players[[#This Row],[player_id]])</f>
        <v>0</v>
      </c>
      <c r="D147" s="10">
        <f>SUMIFS(_stats[assists_on_date],_stats[player_id],_players[[#This Row],[player_id]])</f>
        <v>0</v>
      </c>
      <c r="E147" s="10">
        <f>SUMIFS(_stats[wins_on_date],_stats[player_id],_players[[#This Row],[player_id]])</f>
        <v>4</v>
      </c>
      <c r="F147" s="18">
        <f>SUMIFS(_stats[draws_on_date],_stats[player_id],_players[[#This Row],[player_id]])</f>
        <v>2</v>
      </c>
      <c r="G147" s="18">
        <f>SUMIFS(_stats[foul_on_date],_stats[player_id],_players[[#This Row],[player_id]])</f>
        <v>2</v>
      </c>
    </row>
    <row r="148" spans="1:7" x14ac:dyDescent="0.25">
      <c r="A148" s="36" t="s">
        <v>153</v>
      </c>
      <c r="B148" s="36" t="s">
        <v>153</v>
      </c>
      <c r="C148" s="10">
        <f>SUMIFS(_stats[goals_on_date],_stats[player_id],_players[[#This Row],[player_id]])</f>
        <v>0</v>
      </c>
      <c r="D148" s="10">
        <f>SUMIFS(_stats[assists_on_date],_stats[player_id],_players[[#This Row],[player_id]])</f>
        <v>0</v>
      </c>
      <c r="E148" s="10">
        <f>SUMIFS(_stats[wins_on_date],_stats[player_id],_players[[#This Row],[player_id]])</f>
        <v>18</v>
      </c>
      <c r="F148" s="18">
        <f>SUMIFS(_stats[draws_on_date],_stats[player_id],_players[[#This Row],[player_id]])</f>
        <v>14</v>
      </c>
      <c r="G148" s="18">
        <f>SUMIFS(_stats[foul_on_date],_stats[player_id],_players[[#This Row],[player_id]])</f>
        <v>2</v>
      </c>
    </row>
    <row r="149" spans="1:7" x14ac:dyDescent="0.25">
      <c r="A149" s="36" t="s">
        <v>154</v>
      </c>
      <c r="B149" s="36" t="s">
        <v>154</v>
      </c>
      <c r="C149" s="10">
        <f>SUMIFS(_stats[goals_on_date],_stats[player_id],_players[[#This Row],[player_id]])</f>
        <v>3</v>
      </c>
      <c r="D149" s="10">
        <f>SUMIFS(_stats[assists_on_date],_stats[player_id],_players[[#This Row],[player_id]])</f>
        <v>0</v>
      </c>
      <c r="E149" s="10">
        <f>SUMIFS(_stats[wins_on_date],_stats[player_id],_players[[#This Row],[player_id]])</f>
        <v>4</v>
      </c>
      <c r="F149" s="18">
        <f>SUMIFS(_stats[draws_on_date],_stats[player_id],_players[[#This Row],[player_id]])</f>
        <v>3</v>
      </c>
      <c r="G149" s="18">
        <f>SUMIFS(_stats[foul_on_date],_stats[player_id],_players[[#This Row],[player_id]])</f>
        <v>0</v>
      </c>
    </row>
    <row r="150" spans="1:7" x14ac:dyDescent="0.25">
      <c r="A150" s="36" t="s">
        <v>155</v>
      </c>
      <c r="B150" s="36" t="s">
        <v>155</v>
      </c>
      <c r="C150" s="10">
        <f>SUMIFS(_stats[goals_on_date],_stats[player_id],_players[[#This Row],[player_id]])</f>
        <v>0</v>
      </c>
      <c r="D150" s="10">
        <f>SUMIFS(_stats[assists_on_date],_stats[player_id],_players[[#This Row],[player_id]])</f>
        <v>0</v>
      </c>
      <c r="E150" s="10">
        <f>SUMIFS(_stats[wins_on_date],_stats[player_id],_players[[#This Row],[player_id]])</f>
        <v>0</v>
      </c>
      <c r="F150" s="18">
        <f>SUMIFS(_stats[draws_on_date],_stats[player_id],_players[[#This Row],[player_id]])</f>
        <v>2</v>
      </c>
      <c r="G150" s="18">
        <f>SUMIFS(_stats[foul_on_date],_stats[player_id],_players[[#This Row],[player_id]])</f>
        <v>0</v>
      </c>
    </row>
    <row r="151" spans="1:7" x14ac:dyDescent="0.25">
      <c r="A151" s="36" t="s">
        <v>156</v>
      </c>
      <c r="B151" s="36" t="s">
        <v>156</v>
      </c>
      <c r="C151" s="10">
        <f>SUMIFS(_stats[goals_on_date],_stats[player_id],_players[[#This Row],[player_id]])</f>
        <v>0</v>
      </c>
      <c r="D151" s="10">
        <f>SUMIFS(_stats[assists_on_date],_stats[player_id],_players[[#This Row],[player_id]])</f>
        <v>0</v>
      </c>
      <c r="E151" s="10">
        <f>SUMIFS(_stats[wins_on_date],_stats[player_id],_players[[#This Row],[player_id]])</f>
        <v>3</v>
      </c>
      <c r="F151" s="18">
        <f>SUMIFS(_stats[draws_on_date],_stats[player_id],_players[[#This Row],[player_id]])</f>
        <v>3</v>
      </c>
      <c r="G151" s="18">
        <f>SUMIFS(_stats[foul_on_date],_stats[player_id],_players[[#This Row],[player_id]])</f>
        <v>1</v>
      </c>
    </row>
    <row r="152" spans="1:7" x14ac:dyDescent="0.25">
      <c r="A152" s="36" t="s">
        <v>157</v>
      </c>
      <c r="B152" s="36" t="s">
        <v>157</v>
      </c>
      <c r="C152" s="10">
        <f>SUMIFS(_stats[goals_on_date],_stats[player_id],_players[[#This Row],[player_id]])</f>
        <v>7</v>
      </c>
      <c r="D152" s="10">
        <f>SUMIFS(_stats[assists_on_date],_stats[player_id],_players[[#This Row],[player_id]])</f>
        <v>3</v>
      </c>
      <c r="E152" s="10">
        <f>SUMIFS(_stats[wins_on_date],_stats[player_id],_players[[#This Row],[player_id]])</f>
        <v>21</v>
      </c>
      <c r="F152" s="18">
        <f>SUMIFS(_stats[draws_on_date],_stats[player_id],_players[[#This Row],[player_id]])</f>
        <v>4</v>
      </c>
      <c r="G152" s="18">
        <f>SUMIFS(_stats[foul_on_date],_stats[player_id],_players[[#This Row],[player_id]])</f>
        <v>0</v>
      </c>
    </row>
    <row r="153" spans="1:7" x14ac:dyDescent="0.25">
      <c r="A153" s="36" t="s">
        <v>158</v>
      </c>
      <c r="B153" s="36" t="s">
        <v>158</v>
      </c>
      <c r="C153" s="10">
        <f>SUMIFS(_stats[goals_on_date],_stats[player_id],_players[[#This Row],[player_id]])</f>
        <v>0</v>
      </c>
      <c r="D153" s="10">
        <f>SUMIFS(_stats[assists_on_date],_stats[player_id],_players[[#This Row],[player_id]])</f>
        <v>0</v>
      </c>
      <c r="E153" s="10">
        <f>SUMIFS(_stats[wins_on_date],_stats[player_id],_players[[#This Row],[player_id]])</f>
        <v>4</v>
      </c>
      <c r="F153" s="18">
        <f>SUMIFS(_stats[draws_on_date],_stats[player_id],_players[[#This Row],[player_id]])</f>
        <v>1</v>
      </c>
      <c r="G153" s="18">
        <f>SUMIFS(_stats[foul_on_date],_stats[player_id],_players[[#This Row],[player_id]])</f>
        <v>0</v>
      </c>
    </row>
    <row r="154" spans="1:7" x14ac:dyDescent="0.25">
      <c r="A154" s="36" t="s">
        <v>159</v>
      </c>
      <c r="B154" s="36" t="s">
        <v>159</v>
      </c>
      <c r="C154" s="10">
        <f>SUMIFS(_stats[goals_on_date],_stats[player_id],_players[[#This Row],[player_id]])</f>
        <v>1</v>
      </c>
      <c r="D154" s="10">
        <f>SUMIFS(_stats[assists_on_date],_stats[player_id],_players[[#This Row],[player_id]])</f>
        <v>1</v>
      </c>
      <c r="E154" s="10">
        <f>SUMIFS(_stats[wins_on_date],_stats[player_id],_players[[#This Row],[player_id]])</f>
        <v>7</v>
      </c>
      <c r="F154" s="18">
        <f>SUMIFS(_stats[draws_on_date],_stats[player_id],_players[[#This Row],[player_id]])</f>
        <v>1</v>
      </c>
      <c r="G154" s="18">
        <f>SUMIFS(_stats[foul_on_date],_stats[player_id],_players[[#This Row],[player_id]])</f>
        <v>0</v>
      </c>
    </row>
    <row r="155" spans="1:7" x14ac:dyDescent="0.25">
      <c r="A155" s="36" t="s">
        <v>160</v>
      </c>
      <c r="B155" s="36" t="s">
        <v>160</v>
      </c>
      <c r="C155" s="10">
        <f>SUMIFS(_stats[goals_on_date],_stats[player_id],_players[[#This Row],[player_id]])</f>
        <v>0</v>
      </c>
      <c r="D155" s="10">
        <f>SUMIFS(_stats[assists_on_date],_stats[player_id],_players[[#This Row],[player_id]])</f>
        <v>0</v>
      </c>
      <c r="E155" s="10">
        <f>SUMIFS(_stats[wins_on_date],_stats[player_id],_players[[#This Row],[player_id]])</f>
        <v>0</v>
      </c>
      <c r="F155" s="18">
        <f>SUMIFS(_stats[draws_on_date],_stats[player_id],_players[[#This Row],[player_id]])</f>
        <v>2</v>
      </c>
      <c r="G155" s="18">
        <f>SUMIFS(_stats[foul_on_date],_stats[player_id],_players[[#This Row],[player_id]])</f>
        <v>0</v>
      </c>
    </row>
    <row r="156" spans="1:7" x14ac:dyDescent="0.25">
      <c r="A156" s="36" t="s">
        <v>161</v>
      </c>
      <c r="B156" s="36" t="s">
        <v>161</v>
      </c>
      <c r="C156" s="10">
        <f>SUMIFS(_stats[goals_on_date],_stats[player_id],_players[[#This Row],[player_id]])</f>
        <v>0</v>
      </c>
      <c r="D156" s="10">
        <f>SUMIFS(_stats[assists_on_date],_stats[player_id],_players[[#This Row],[player_id]])</f>
        <v>0</v>
      </c>
      <c r="E156" s="10">
        <f>SUMIFS(_stats[wins_on_date],_stats[player_id],_players[[#This Row],[player_id]])</f>
        <v>2</v>
      </c>
      <c r="F156" s="18">
        <f>SUMIFS(_stats[draws_on_date],_stats[player_id],_players[[#This Row],[player_id]])</f>
        <v>3</v>
      </c>
      <c r="G156" s="18">
        <f>SUMIFS(_stats[foul_on_date],_stats[player_id],_players[[#This Row],[player_id]])</f>
        <v>0</v>
      </c>
    </row>
    <row r="157" spans="1:7" x14ac:dyDescent="0.25">
      <c r="A157" s="36" t="s">
        <v>162</v>
      </c>
      <c r="B157" s="36" t="s">
        <v>162</v>
      </c>
      <c r="C157" s="10">
        <f>SUMIFS(_stats[goals_on_date],_stats[player_id],_players[[#This Row],[player_id]])</f>
        <v>0</v>
      </c>
      <c r="D157" s="10">
        <f>SUMIFS(_stats[assists_on_date],_stats[player_id],_players[[#This Row],[player_id]])</f>
        <v>2</v>
      </c>
      <c r="E157" s="10">
        <f>SUMIFS(_stats[wins_on_date],_stats[player_id],_players[[#This Row],[player_id]])</f>
        <v>2</v>
      </c>
      <c r="F157" s="18">
        <f>SUMIFS(_stats[draws_on_date],_stats[player_id],_players[[#This Row],[player_id]])</f>
        <v>3</v>
      </c>
      <c r="G157" s="18">
        <f>SUMIFS(_stats[foul_on_date],_stats[player_id],_players[[#This Row],[player_id]])</f>
        <v>0</v>
      </c>
    </row>
    <row r="158" spans="1:7" x14ac:dyDescent="0.25">
      <c r="A158" s="36" t="s">
        <v>163</v>
      </c>
      <c r="B158" s="36" t="s">
        <v>163</v>
      </c>
      <c r="C158" s="10">
        <f>SUMIFS(_stats[goals_on_date],_stats[player_id],_players[[#This Row],[player_id]])</f>
        <v>1</v>
      </c>
      <c r="D158" s="10">
        <f>SUMIFS(_stats[assists_on_date],_stats[player_id],_players[[#This Row],[player_id]])</f>
        <v>1</v>
      </c>
      <c r="E158" s="10">
        <f>SUMIFS(_stats[wins_on_date],_stats[player_id],_players[[#This Row],[player_id]])</f>
        <v>4</v>
      </c>
      <c r="F158" s="18">
        <f>SUMIFS(_stats[draws_on_date],_stats[player_id],_players[[#This Row],[player_id]])</f>
        <v>2</v>
      </c>
      <c r="G158" s="18">
        <f>SUMIFS(_stats[foul_on_date],_stats[player_id],_players[[#This Row],[player_id]])</f>
        <v>0</v>
      </c>
    </row>
    <row r="159" spans="1:7" x14ac:dyDescent="0.25">
      <c r="A159" s="36" t="s">
        <v>164</v>
      </c>
      <c r="B159" s="36" t="s">
        <v>164</v>
      </c>
      <c r="C159" s="10">
        <f>SUMIFS(_stats[goals_on_date],_stats[player_id],_players[[#This Row],[player_id]])</f>
        <v>0</v>
      </c>
      <c r="D159" s="10">
        <f>SUMIFS(_stats[assists_on_date],_stats[player_id],_players[[#This Row],[player_id]])</f>
        <v>0</v>
      </c>
      <c r="E159" s="10">
        <f>SUMIFS(_stats[wins_on_date],_stats[player_id],_players[[#This Row],[player_id]])</f>
        <v>10</v>
      </c>
      <c r="F159" s="18">
        <f>SUMIFS(_stats[draws_on_date],_stats[player_id],_players[[#This Row],[player_id]])</f>
        <v>1</v>
      </c>
      <c r="G159" s="18">
        <f>SUMIFS(_stats[foul_on_date],_stats[player_id],_players[[#This Row],[player_id]])</f>
        <v>0</v>
      </c>
    </row>
    <row r="160" spans="1:7" x14ac:dyDescent="0.25">
      <c r="A160" s="36" t="s">
        <v>165</v>
      </c>
      <c r="B160" s="36" t="s">
        <v>165</v>
      </c>
      <c r="C160" s="10">
        <f>SUMIFS(_stats[goals_on_date],_stats[player_id],_players[[#This Row],[player_id]])</f>
        <v>2</v>
      </c>
      <c r="D160" s="10">
        <f>SUMIFS(_stats[assists_on_date],_stats[player_id],_players[[#This Row],[player_id]])</f>
        <v>0</v>
      </c>
      <c r="E160" s="10">
        <f>SUMIFS(_stats[wins_on_date],_stats[player_id],_players[[#This Row],[player_id]])</f>
        <v>10</v>
      </c>
      <c r="F160" s="18">
        <f>SUMIFS(_stats[draws_on_date],_stats[player_id],_players[[#This Row],[player_id]])</f>
        <v>1</v>
      </c>
      <c r="G160" s="18">
        <f>SUMIFS(_stats[foul_on_date],_stats[player_id],_players[[#This Row],[player_id]])</f>
        <v>0</v>
      </c>
    </row>
    <row r="161" spans="1:7" x14ac:dyDescent="0.25">
      <c r="A161" s="36" t="s">
        <v>166</v>
      </c>
      <c r="B161" s="36" t="s">
        <v>166</v>
      </c>
      <c r="C161" s="10">
        <f>SUMIFS(_stats[goals_on_date],_stats[player_id],_players[[#This Row],[player_id]])</f>
        <v>4</v>
      </c>
      <c r="D161" s="10">
        <f>SUMIFS(_stats[assists_on_date],_stats[player_id],_players[[#This Row],[player_id]])</f>
        <v>3</v>
      </c>
      <c r="E161" s="10">
        <f>SUMIFS(_stats[wins_on_date],_stats[player_id],_players[[#This Row],[player_id]])</f>
        <v>10</v>
      </c>
      <c r="F161" s="18">
        <f>SUMIFS(_stats[draws_on_date],_stats[player_id],_players[[#This Row],[player_id]])</f>
        <v>1</v>
      </c>
      <c r="G161" s="18">
        <f>SUMIFS(_stats[foul_on_date],_stats[player_id],_players[[#This Row],[player_id]])</f>
        <v>0</v>
      </c>
    </row>
    <row r="162" spans="1:7" x14ac:dyDescent="0.25">
      <c r="A162" s="36" t="s">
        <v>167</v>
      </c>
      <c r="B162" s="36" t="s">
        <v>167</v>
      </c>
      <c r="C162" s="10">
        <f>SUMIFS(_stats[goals_on_date],_stats[player_id],_players[[#This Row],[player_id]])</f>
        <v>5</v>
      </c>
      <c r="D162" s="10">
        <f>SUMIFS(_stats[assists_on_date],_stats[player_id],_players[[#This Row],[player_id]])</f>
        <v>3</v>
      </c>
      <c r="E162" s="10">
        <f>SUMIFS(_stats[wins_on_date],_stats[player_id],_players[[#This Row],[player_id]])</f>
        <v>10</v>
      </c>
      <c r="F162" s="18">
        <f>SUMIFS(_stats[draws_on_date],_stats[player_id],_players[[#This Row],[player_id]])</f>
        <v>1</v>
      </c>
      <c r="G162" s="18">
        <f>SUMIFS(_stats[foul_on_date],_stats[player_id],_players[[#This Row],[player_id]])</f>
        <v>0</v>
      </c>
    </row>
    <row r="163" spans="1:7" x14ac:dyDescent="0.25">
      <c r="A163" s="36" t="s">
        <v>168</v>
      </c>
      <c r="B163" s="36" t="s">
        <v>168</v>
      </c>
      <c r="C163" s="10">
        <f>SUMIFS(_stats[goals_on_date],_stats[player_id],_players[[#This Row],[player_id]])</f>
        <v>3</v>
      </c>
      <c r="D163" s="10">
        <f>SUMIFS(_stats[assists_on_date],_stats[player_id],_players[[#This Row],[player_id]])</f>
        <v>3</v>
      </c>
      <c r="E163" s="10">
        <f>SUMIFS(_stats[wins_on_date],_stats[player_id],_players[[#This Row],[player_id]])</f>
        <v>5</v>
      </c>
      <c r="F163" s="18">
        <f>SUMIFS(_stats[draws_on_date],_stats[player_id],_players[[#This Row],[player_id]])</f>
        <v>1</v>
      </c>
      <c r="G163" s="18">
        <f>SUMIFS(_stats[foul_on_date],_stats[player_id],_players[[#This Row],[player_id]])</f>
        <v>0</v>
      </c>
    </row>
    <row r="164" spans="1:7" x14ac:dyDescent="0.25">
      <c r="A164" s="36" t="s">
        <v>169</v>
      </c>
      <c r="B164" s="36" t="s">
        <v>169</v>
      </c>
      <c r="C164" s="10">
        <f>SUMIFS(_stats[goals_on_date],_stats[player_id],_players[[#This Row],[player_id]])</f>
        <v>1</v>
      </c>
      <c r="D164" s="10">
        <f>SUMIFS(_stats[assists_on_date],_stats[player_id],_players[[#This Row],[player_id]])</f>
        <v>1</v>
      </c>
      <c r="E164" s="10">
        <f>SUMIFS(_stats[wins_on_date],_stats[player_id],_players[[#This Row],[player_id]])</f>
        <v>5</v>
      </c>
      <c r="F164" s="18">
        <f>SUMIFS(_stats[draws_on_date],_stats[player_id],_players[[#This Row],[player_id]])</f>
        <v>1</v>
      </c>
      <c r="G164" s="18">
        <f>SUMIFS(_stats[foul_on_date],_stats[player_id],_players[[#This Row],[player_id]])</f>
        <v>0</v>
      </c>
    </row>
    <row r="165" spans="1:7" x14ac:dyDescent="0.25">
      <c r="A165" s="36" t="s">
        <v>170</v>
      </c>
      <c r="B165" s="36" t="s">
        <v>170</v>
      </c>
      <c r="C165" s="10">
        <f>SUMIFS(_stats[goals_on_date],_stats[player_id],_players[[#This Row],[player_id]])</f>
        <v>1</v>
      </c>
      <c r="D165" s="10">
        <f>SUMIFS(_stats[assists_on_date],_stats[player_id],_players[[#This Row],[player_id]])</f>
        <v>0</v>
      </c>
      <c r="E165" s="10">
        <f>SUMIFS(_stats[wins_on_date],_stats[player_id],_players[[#This Row],[player_id]])</f>
        <v>5</v>
      </c>
      <c r="F165" s="18">
        <f>SUMIFS(_stats[draws_on_date],_stats[player_id],_players[[#This Row],[player_id]])</f>
        <v>1</v>
      </c>
      <c r="G165" s="18">
        <f>SUMIFS(_stats[foul_on_date],_stats[player_id],_players[[#This Row],[player_id]])</f>
        <v>0</v>
      </c>
    </row>
    <row r="166" spans="1:7" x14ac:dyDescent="0.25">
      <c r="A166" s="36" t="s">
        <v>171</v>
      </c>
      <c r="B166" s="36" t="s">
        <v>171</v>
      </c>
      <c r="C166" s="10">
        <f>SUMIFS(_stats[goals_on_date],_stats[player_id],_players[[#This Row],[player_id]])</f>
        <v>1</v>
      </c>
      <c r="D166" s="10">
        <f>SUMIFS(_stats[assists_on_date],_stats[player_id],_players[[#This Row],[player_id]])</f>
        <v>0</v>
      </c>
      <c r="E166" s="10">
        <f>SUMIFS(_stats[wins_on_date],_stats[player_id],_players[[#This Row],[player_id]])</f>
        <v>5</v>
      </c>
      <c r="F166" s="18">
        <f>SUMIFS(_stats[draws_on_date],_stats[player_id],_players[[#This Row],[player_id]])</f>
        <v>1</v>
      </c>
      <c r="G166" s="18">
        <f>SUMIFS(_stats[foul_on_date],_stats[player_id],_players[[#This Row],[player_id]])</f>
        <v>0</v>
      </c>
    </row>
    <row r="167" spans="1:7" x14ac:dyDescent="0.25">
      <c r="A167" s="36" t="s">
        <v>172</v>
      </c>
      <c r="B167" s="36" t="s">
        <v>172</v>
      </c>
      <c r="C167" s="10">
        <f>SUMIFS(_stats[goals_on_date],_stats[player_id],_players[[#This Row],[player_id]])</f>
        <v>0</v>
      </c>
      <c r="D167" s="10">
        <f>SUMIFS(_stats[assists_on_date],_stats[player_id],_players[[#This Row],[player_id]])</f>
        <v>0</v>
      </c>
      <c r="E167" s="10">
        <f>SUMIFS(_stats[wins_on_date],_stats[player_id],_players[[#This Row],[player_id]])</f>
        <v>5</v>
      </c>
      <c r="F167" s="18">
        <f>SUMIFS(_stats[draws_on_date],_stats[player_id],_players[[#This Row],[player_id]])</f>
        <v>1</v>
      </c>
      <c r="G167" s="18">
        <f>SUMIFS(_stats[foul_on_date],_stats[player_id],_players[[#This Row],[player_id]])</f>
        <v>0</v>
      </c>
    </row>
    <row r="168" spans="1:7" x14ac:dyDescent="0.25">
      <c r="A168" s="36" t="s">
        <v>173</v>
      </c>
      <c r="B168" s="36" t="s">
        <v>173</v>
      </c>
      <c r="C168" s="10">
        <f>SUMIFS(_stats[goals_on_date],_stats[player_id],_players[[#This Row],[player_id]])</f>
        <v>0</v>
      </c>
      <c r="D168" s="10">
        <f>SUMIFS(_stats[assists_on_date],_stats[player_id],_players[[#This Row],[player_id]])</f>
        <v>0</v>
      </c>
      <c r="E168" s="10">
        <f>SUMIFS(_stats[wins_on_date],_stats[player_id],_players[[#This Row],[player_id]])</f>
        <v>1</v>
      </c>
      <c r="F168" s="18">
        <f>SUMIFS(_stats[draws_on_date],_stats[player_id],_players[[#This Row],[player_id]])</f>
        <v>0</v>
      </c>
      <c r="G168" s="18">
        <f>SUMIFS(_stats[foul_on_date],_stats[player_id],_players[[#This Row],[player_id]])</f>
        <v>0</v>
      </c>
    </row>
    <row r="169" spans="1:7" x14ac:dyDescent="0.25">
      <c r="A169" s="36" t="s">
        <v>174</v>
      </c>
      <c r="B169" s="36" t="s">
        <v>174</v>
      </c>
      <c r="C169" s="10">
        <f>SUMIFS(_stats[goals_on_date],_stats[player_id],_players[[#This Row],[player_id]])</f>
        <v>0</v>
      </c>
      <c r="D169" s="10">
        <f>SUMIFS(_stats[assists_on_date],_stats[player_id],_players[[#This Row],[player_id]])</f>
        <v>0</v>
      </c>
      <c r="E169" s="10">
        <f>SUMIFS(_stats[wins_on_date],_stats[player_id],_players[[#This Row],[player_id]])</f>
        <v>1</v>
      </c>
      <c r="F169" s="18">
        <f>SUMIFS(_stats[draws_on_date],_stats[player_id],_players[[#This Row],[player_id]])</f>
        <v>0</v>
      </c>
      <c r="G169" s="18">
        <f>SUMIFS(_stats[foul_on_date],_stats[player_id],_players[[#This Row],[player_id]])</f>
        <v>0</v>
      </c>
    </row>
    <row r="170" spans="1:7" x14ac:dyDescent="0.25">
      <c r="A170" s="36" t="s">
        <v>175</v>
      </c>
      <c r="B170" s="36" t="s">
        <v>175</v>
      </c>
      <c r="C170" s="10">
        <f>SUMIFS(_stats[goals_on_date],_stats[player_id],_players[[#This Row],[player_id]])</f>
        <v>0</v>
      </c>
      <c r="D170" s="10">
        <f>SUMIFS(_stats[assists_on_date],_stats[player_id],_players[[#This Row],[player_id]])</f>
        <v>0</v>
      </c>
      <c r="E170" s="10">
        <f>SUMIFS(_stats[wins_on_date],_stats[player_id],_players[[#This Row],[player_id]])</f>
        <v>1</v>
      </c>
      <c r="F170" s="18">
        <f>SUMIFS(_stats[draws_on_date],_stats[player_id],_players[[#This Row],[player_id]])</f>
        <v>0</v>
      </c>
      <c r="G170" s="18">
        <f>SUMIFS(_stats[foul_on_date],_stats[player_id],_players[[#This Row],[player_id]])</f>
        <v>0</v>
      </c>
    </row>
    <row r="171" spans="1:7" x14ac:dyDescent="0.25">
      <c r="A171" s="36" t="s">
        <v>176</v>
      </c>
      <c r="B171" s="36" t="s">
        <v>176</v>
      </c>
      <c r="C171" s="10">
        <f>SUMIFS(_stats[goals_on_date],_stats[player_id],_players[[#This Row],[player_id]])</f>
        <v>0</v>
      </c>
      <c r="D171" s="10">
        <f>SUMIFS(_stats[assists_on_date],_stats[player_id],_players[[#This Row],[player_id]])</f>
        <v>0</v>
      </c>
      <c r="E171" s="10">
        <f>SUMIFS(_stats[wins_on_date],_stats[player_id],_players[[#This Row],[player_id]])</f>
        <v>1</v>
      </c>
      <c r="F171" s="18">
        <f>SUMIFS(_stats[draws_on_date],_stats[player_id],_players[[#This Row],[player_id]])</f>
        <v>0</v>
      </c>
      <c r="G171" s="18">
        <f>SUMIFS(_stats[foul_on_date],_stats[player_id],_players[[#This Row],[player_id]])</f>
        <v>0</v>
      </c>
    </row>
    <row r="172" spans="1:7" x14ac:dyDescent="0.25">
      <c r="A172" s="36" t="s">
        <v>177</v>
      </c>
      <c r="B172" s="36" t="s">
        <v>177</v>
      </c>
      <c r="C172" s="10">
        <f>SUMIFS(_stats[goals_on_date],_stats[player_id],_players[[#This Row],[player_id]])</f>
        <v>1</v>
      </c>
      <c r="D172" s="10">
        <f>SUMIFS(_stats[assists_on_date],_stats[player_id],_players[[#This Row],[player_id]])</f>
        <v>0</v>
      </c>
      <c r="E172" s="10">
        <f>SUMIFS(_stats[wins_on_date],_stats[player_id],_players[[#This Row],[player_id]])</f>
        <v>2</v>
      </c>
      <c r="F172" s="18">
        <f>SUMIFS(_stats[draws_on_date],_stats[player_id],_players[[#This Row],[player_id]])</f>
        <v>1</v>
      </c>
      <c r="G172" s="18">
        <f>SUMIFS(_stats[foul_on_date],_stats[player_id],_players[[#This Row],[player_id]])</f>
        <v>0</v>
      </c>
    </row>
    <row r="173" spans="1:7" x14ac:dyDescent="0.25">
      <c r="A173" s="36" t="s">
        <v>178</v>
      </c>
      <c r="B173" s="36" t="s">
        <v>178</v>
      </c>
      <c r="C173" s="10">
        <f>SUMIFS(_stats[goals_on_date],_stats[player_id],_players[[#This Row],[player_id]])</f>
        <v>0</v>
      </c>
      <c r="D173" s="10">
        <f>SUMIFS(_stats[assists_on_date],_stats[player_id],_players[[#This Row],[player_id]])</f>
        <v>0</v>
      </c>
      <c r="E173" s="10">
        <f>SUMIFS(_stats[wins_on_date],_stats[player_id],_players[[#This Row],[player_id]])</f>
        <v>1</v>
      </c>
      <c r="F173" s="18">
        <f>SUMIFS(_stats[draws_on_date],_stats[player_id],_players[[#This Row],[player_id]])</f>
        <v>0</v>
      </c>
      <c r="G173" s="18">
        <f>SUMIFS(_stats[foul_on_date],_stats[player_id],_players[[#This Row],[player_id]])</f>
        <v>0</v>
      </c>
    </row>
    <row r="174" spans="1:7" x14ac:dyDescent="0.25">
      <c r="A174" s="36" t="s">
        <v>179</v>
      </c>
      <c r="B174" s="36" t="s">
        <v>179</v>
      </c>
      <c r="C174" s="10">
        <f>SUMIFS(_stats[goals_on_date],_stats[player_id],_players[[#This Row],[player_id]])</f>
        <v>0</v>
      </c>
      <c r="D174" s="10">
        <f>SUMIFS(_stats[assists_on_date],_stats[player_id],_players[[#This Row],[player_id]])</f>
        <v>0</v>
      </c>
      <c r="E174" s="10">
        <f>SUMIFS(_stats[wins_on_date],_stats[player_id],_players[[#This Row],[player_id]])</f>
        <v>2</v>
      </c>
      <c r="F174" s="18">
        <f>SUMIFS(_stats[draws_on_date],_stats[player_id],_players[[#This Row],[player_id]])</f>
        <v>0</v>
      </c>
      <c r="G174" s="18">
        <f>SUMIFS(_stats[foul_on_date],_stats[player_id],_players[[#This Row],[player_id]])</f>
        <v>0</v>
      </c>
    </row>
    <row r="175" spans="1:7" x14ac:dyDescent="0.25">
      <c r="A175" s="36" t="s">
        <v>180</v>
      </c>
      <c r="B175" s="36" t="s">
        <v>180</v>
      </c>
      <c r="C175" s="10">
        <f>SUMIFS(_stats[goals_on_date],_stats[player_id],_players[[#This Row],[player_id]])</f>
        <v>0</v>
      </c>
      <c r="D175" s="10">
        <f>SUMIFS(_stats[assists_on_date],_stats[player_id],_players[[#This Row],[player_id]])</f>
        <v>0</v>
      </c>
      <c r="E175" s="10">
        <f>SUMIFS(_stats[wins_on_date],_stats[player_id],_players[[#This Row],[player_id]])</f>
        <v>2</v>
      </c>
      <c r="F175" s="18">
        <f>SUMIFS(_stats[draws_on_date],_stats[player_id],_players[[#This Row],[player_id]])</f>
        <v>0</v>
      </c>
      <c r="G175" s="18">
        <f>SUMIFS(_stats[foul_on_date],_stats[player_id],_players[[#This Row],[player_id]])</f>
        <v>0</v>
      </c>
    </row>
    <row r="176" spans="1:7" x14ac:dyDescent="0.25">
      <c r="A176" s="36" t="s">
        <v>181</v>
      </c>
      <c r="B176" s="36" t="s">
        <v>181</v>
      </c>
      <c r="C176" s="10">
        <f>SUMIFS(_stats[goals_on_date],_stats[player_id],_players[[#This Row],[player_id]])</f>
        <v>0</v>
      </c>
      <c r="D176" s="10">
        <f>SUMIFS(_stats[assists_on_date],_stats[player_id],_players[[#This Row],[player_id]])</f>
        <v>0</v>
      </c>
      <c r="E176" s="10">
        <f>SUMIFS(_stats[wins_on_date],_stats[player_id],_players[[#This Row],[player_id]])</f>
        <v>2</v>
      </c>
      <c r="F176" s="18">
        <f>SUMIFS(_stats[draws_on_date],_stats[player_id],_players[[#This Row],[player_id]])</f>
        <v>0</v>
      </c>
      <c r="G176" s="18">
        <f>SUMIFS(_stats[foul_on_date],_stats[player_id],_players[[#This Row],[player_id]])</f>
        <v>0</v>
      </c>
    </row>
    <row r="177" spans="1:7" x14ac:dyDescent="0.25">
      <c r="A177" s="36" t="s">
        <v>182</v>
      </c>
      <c r="B177" s="36" t="s">
        <v>182</v>
      </c>
      <c r="C177" s="10">
        <f>SUMIFS(_stats[goals_on_date],_stats[player_id],_players[[#This Row],[player_id]])</f>
        <v>1</v>
      </c>
      <c r="D177" s="10">
        <f>SUMIFS(_stats[assists_on_date],_stats[player_id],_players[[#This Row],[player_id]])</f>
        <v>0</v>
      </c>
      <c r="E177" s="10">
        <f>SUMIFS(_stats[wins_on_date],_stats[player_id],_players[[#This Row],[player_id]])</f>
        <v>2</v>
      </c>
      <c r="F177" s="18">
        <f>SUMIFS(_stats[draws_on_date],_stats[player_id],_players[[#This Row],[player_id]])</f>
        <v>0</v>
      </c>
      <c r="G177" s="18">
        <f>SUMIFS(_stats[foul_on_date],_stats[player_id],_players[[#This Row],[player_id]])</f>
        <v>0</v>
      </c>
    </row>
    <row r="178" spans="1:7" x14ac:dyDescent="0.25">
      <c r="A178" s="36" t="s">
        <v>183</v>
      </c>
      <c r="B178" s="36" t="s">
        <v>183</v>
      </c>
      <c r="C178" s="10">
        <f>SUMIFS(_stats[goals_on_date],_stats[player_id],_players[[#This Row],[player_id]])</f>
        <v>0</v>
      </c>
      <c r="D178" s="10">
        <f>SUMIFS(_stats[assists_on_date],_stats[player_id],_players[[#This Row],[player_id]])</f>
        <v>0</v>
      </c>
      <c r="E178" s="10">
        <f>SUMIFS(_stats[wins_on_date],_stats[player_id],_players[[#This Row],[player_id]])</f>
        <v>1</v>
      </c>
      <c r="F178" s="18">
        <f>SUMIFS(_stats[draws_on_date],_stats[player_id],_players[[#This Row],[player_id]])</f>
        <v>1</v>
      </c>
      <c r="G178" s="18">
        <f>SUMIFS(_stats[foul_on_date],_stats[player_id],_players[[#This Row],[player_id]])</f>
        <v>1</v>
      </c>
    </row>
    <row r="179" spans="1:7" x14ac:dyDescent="0.25">
      <c r="A179" s="36" t="s">
        <v>184</v>
      </c>
      <c r="B179" s="36" t="s">
        <v>184</v>
      </c>
      <c r="C179" s="10">
        <f>SUMIFS(_stats[goals_on_date],_stats[player_id],_players[[#This Row],[player_id]])</f>
        <v>0</v>
      </c>
      <c r="D179" s="10">
        <f>SUMIFS(_stats[assists_on_date],_stats[player_id],_players[[#This Row],[player_id]])</f>
        <v>0</v>
      </c>
      <c r="E179" s="10">
        <f>SUMIFS(_stats[wins_on_date],_stats[player_id],_players[[#This Row],[player_id]])</f>
        <v>0</v>
      </c>
      <c r="F179" s="18">
        <f>SUMIFS(_stats[draws_on_date],_stats[player_id],_players[[#This Row],[player_id]])</f>
        <v>0</v>
      </c>
      <c r="G179" s="18">
        <f>SUMIFS(_stats[foul_on_date],_stats[player_id],_players[[#This Row],[player_id]])</f>
        <v>0</v>
      </c>
    </row>
    <row r="180" spans="1:7" x14ac:dyDescent="0.25">
      <c r="A180" s="36" t="s">
        <v>185</v>
      </c>
      <c r="B180" s="36" t="s">
        <v>185</v>
      </c>
      <c r="C180" s="10">
        <f>SUMIFS(_stats[goals_on_date],_stats[player_id],_players[[#This Row],[player_id]])</f>
        <v>2</v>
      </c>
      <c r="D180" s="10">
        <f>SUMIFS(_stats[assists_on_date],_stats[player_id],_players[[#This Row],[player_id]])</f>
        <v>0</v>
      </c>
      <c r="E180" s="10">
        <f>SUMIFS(_stats[wins_on_date],_stats[player_id],_players[[#This Row],[player_id]])</f>
        <v>9</v>
      </c>
      <c r="F180" s="18">
        <f>SUMIFS(_stats[draws_on_date],_stats[player_id],_players[[#This Row],[player_id]])</f>
        <v>5</v>
      </c>
      <c r="G180" s="18">
        <f>SUMIFS(_stats[foul_on_date],_stats[player_id],_players[[#This Row],[player_id]])</f>
        <v>0</v>
      </c>
    </row>
    <row r="181" spans="1:7" x14ac:dyDescent="0.25">
      <c r="A181" s="36" t="s">
        <v>186</v>
      </c>
      <c r="B181" s="36" t="s">
        <v>186</v>
      </c>
      <c r="C181" s="10">
        <f>SUMIFS(_stats[goals_on_date],_stats[player_id],_players[[#This Row],[player_id]])</f>
        <v>0</v>
      </c>
      <c r="D181" s="10">
        <f>SUMIFS(_stats[assists_on_date],_stats[player_id],_players[[#This Row],[player_id]])</f>
        <v>0</v>
      </c>
      <c r="E181" s="10">
        <f>SUMIFS(_stats[wins_on_date],_stats[player_id],_players[[#This Row],[player_id]])</f>
        <v>3</v>
      </c>
      <c r="F181" s="18">
        <f>SUMIFS(_stats[draws_on_date],_stats[player_id],_players[[#This Row],[player_id]])</f>
        <v>1</v>
      </c>
      <c r="G181" s="18">
        <f>SUMIFS(_stats[foul_on_date],_stats[player_id],_players[[#This Row],[player_id]])</f>
        <v>0</v>
      </c>
    </row>
    <row r="182" spans="1:7" x14ac:dyDescent="0.25">
      <c r="A182" s="36" t="s">
        <v>187</v>
      </c>
      <c r="B182" s="36" t="s">
        <v>187</v>
      </c>
      <c r="C182" s="10">
        <f>SUMIFS(_stats[goals_on_date],_stats[player_id],_players[[#This Row],[player_id]])</f>
        <v>0</v>
      </c>
      <c r="D182" s="10">
        <f>SUMIFS(_stats[assists_on_date],_stats[player_id],_players[[#This Row],[player_id]])</f>
        <v>0</v>
      </c>
      <c r="E182" s="10">
        <f>SUMIFS(_stats[wins_on_date],_stats[player_id],_players[[#This Row],[player_id]])</f>
        <v>3</v>
      </c>
      <c r="F182" s="18">
        <f>SUMIFS(_stats[draws_on_date],_stats[player_id],_players[[#This Row],[player_id]])</f>
        <v>1</v>
      </c>
      <c r="G182" s="18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23"/>
  <sheetViews>
    <sheetView workbookViewId="0"/>
  </sheetViews>
  <sheetFormatPr defaultRowHeight="15" x14ac:dyDescent="0.25"/>
  <cols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3" t="s">
        <v>197</v>
      </c>
      <c r="M1" s="53" t="s">
        <v>198</v>
      </c>
      <c r="N1" s="54" t="s">
        <v>199</v>
      </c>
      <c r="O1" s="54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51" t="str">
        <f>VLOOKUP(_stats[[#This Row],[tournament]],tournaments_n_rules[],2,0)</f>
        <v>Барышиха</v>
      </c>
      <c r="M2" s="51" t="str">
        <f>VLOOKUP(_stats[[#This Row],[tournament]],tournaments_n_rules[],3,0)</f>
        <v>Весна 2025</v>
      </c>
      <c r="N2" s="52">
        <f>VLOOKUP(_stats[[#This Row],[tournament]],tournaments_n_rules[],4,0)</f>
        <v>45717</v>
      </c>
      <c r="O2" s="52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51" t="str">
        <f>VLOOKUP(_stats[[#This Row],[tournament]],tournaments_n_rules[],2,0)</f>
        <v>Барышиха</v>
      </c>
      <c r="M3" s="51" t="str">
        <f>VLOOKUP(_stats[[#This Row],[tournament]],tournaments_n_rules[],3,0)</f>
        <v>Весна 2025</v>
      </c>
      <c r="N3" s="52">
        <f>VLOOKUP(_stats[[#This Row],[tournament]],tournaments_n_rules[],4,0)</f>
        <v>45717</v>
      </c>
      <c r="O3" s="52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51" t="str">
        <f>VLOOKUP(_stats[[#This Row],[tournament]],tournaments_n_rules[],2,0)</f>
        <v>Барышиха</v>
      </c>
      <c r="M4" s="51" t="str">
        <f>VLOOKUP(_stats[[#This Row],[tournament]],tournaments_n_rules[],3,0)</f>
        <v>Весна 2025</v>
      </c>
      <c r="N4" s="52">
        <f>VLOOKUP(_stats[[#This Row],[tournament]],tournaments_n_rules[],4,0)</f>
        <v>45717</v>
      </c>
      <c r="O4" s="52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51" t="str">
        <f>VLOOKUP(_stats[[#This Row],[tournament]],tournaments_n_rules[],2,0)</f>
        <v>Барышиха</v>
      </c>
      <c r="M5" s="51" t="str">
        <f>VLOOKUP(_stats[[#This Row],[tournament]],tournaments_n_rules[],3,0)</f>
        <v>Весна 2025</v>
      </c>
      <c r="N5" s="52">
        <f>VLOOKUP(_stats[[#This Row],[tournament]],tournaments_n_rules[],4,0)</f>
        <v>45717</v>
      </c>
      <c r="O5" s="52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51" t="str">
        <f>VLOOKUP(_stats[[#This Row],[tournament]],tournaments_n_rules[],2,0)</f>
        <v>Барышиха</v>
      </c>
      <c r="M6" s="51" t="str">
        <f>VLOOKUP(_stats[[#This Row],[tournament]],tournaments_n_rules[],3,0)</f>
        <v>Весна 2025</v>
      </c>
      <c r="N6" s="52">
        <f>VLOOKUP(_stats[[#This Row],[tournament]],tournaments_n_rules[],4,0)</f>
        <v>45717</v>
      </c>
      <c r="O6" s="52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51" t="str">
        <f>VLOOKUP(_stats[[#This Row],[tournament]],tournaments_n_rules[],2,0)</f>
        <v>Барышиха</v>
      </c>
      <c r="M7" s="51" t="str">
        <f>VLOOKUP(_stats[[#This Row],[tournament]],tournaments_n_rules[],3,0)</f>
        <v>Весна 2025</v>
      </c>
      <c r="N7" s="52">
        <f>VLOOKUP(_stats[[#This Row],[tournament]],tournaments_n_rules[],4,0)</f>
        <v>45717</v>
      </c>
      <c r="O7" s="52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51" t="str">
        <f>VLOOKUP(_stats[[#This Row],[tournament]],tournaments_n_rules[],2,0)</f>
        <v>Барышиха</v>
      </c>
      <c r="M8" s="51" t="str">
        <f>VLOOKUP(_stats[[#This Row],[tournament]],tournaments_n_rules[],3,0)</f>
        <v>Весна 2025</v>
      </c>
      <c r="N8" s="52">
        <f>VLOOKUP(_stats[[#This Row],[tournament]],tournaments_n_rules[],4,0)</f>
        <v>45717</v>
      </c>
      <c r="O8" s="52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51" t="str">
        <f>VLOOKUP(_stats[[#This Row],[tournament]],tournaments_n_rules[],2,0)</f>
        <v>Барышиха</v>
      </c>
      <c r="M9" s="51" t="str">
        <f>VLOOKUP(_stats[[#This Row],[tournament]],tournaments_n_rules[],3,0)</f>
        <v>Весна 2025</v>
      </c>
      <c r="N9" s="52">
        <f>VLOOKUP(_stats[[#This Row],[tournament]],tournaments_n_rules[],4,0)</f>
        <v>45717</v>
      </c>
      <c r="O9" s="52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51" t="str">
        <f>VLOOKUP(_stats[[#This Row],[tournament]],tournaments_n_rules[],2,0)</f>
        <v>Барышиха</v>
      </c>
      <c r="M10" s="51" t="str">
        <f>VLOOKUP(_stats[[#This Row],[tournament]],tournaments_n_rules[],3,0)</f>
        <v>Весна 2025</v>
      </c>
      <c r="N10" s="52">
        <f>VLOOKUP(_stats[[#This Row],[tournament]],tournaments_n_rules[],4,0)</f>
        <v>45717</v>
      </c>
      <c r="O10" s="52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51" t="str">
        <f>VLOOKUP(_stats[[#This Row],[tournament]],tournaments_n_rules[],2,0)</f>
        <v>Барышиха</v>
      </c>
      <c r="M11" s="51" t="str">
        <f>VLOOKUP(_stats[[#This Row],[tournament]],tournaments_n_rules[],3,0)</f>
        <v>Весна 2025</v>
      </c>
      <c r="N11" s="52">
        <f>VLOOKUP(_stats[[#This Row],[tournament]],tournaments_n_rules[],4,0)</f>
        <v>45717</v>
      </c>
      <c r="O11" s="52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51" t="str">
        <f>VLOOKUP(_stats[[#This Row],[tournament]],tournaments_n_rules[],2,0)</f>
        <v>Барышиха</v>
      </c>
      <c r="M12" s="51" t="str">
        <f>VLOOKUP(_stats[[#This Row],[tournament]],tournaments_n_rules[],3,0)</f>
        <v>Весна 2025</v>
      </c>
      <c r="N12" s="52">
        <f>VLOOKUP(_stats[[#This Row],[tournament]],tournaments_n_rules[],4,0)</f>
        <v>45717</v>
      </c>
      <c r="O12" s="52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51" t="str">
        <f>VLOOKUP(_stats[[#This Row],[tournament]],tournaments_n_rules[],2,0)</f>
        <v>Барышиха</v>
      </c>
      <c r="M13" s="51" t="str">
        <f>VLOOKUP(_stats[[#This Row],[tournament]],tournaments_n_rules[],3,0)</f>
        <v>Весна 2025</v>
      </c>
      <c r="N13" s="52">
        <f>VLOOKUP(_stats[[#This Row],[tournament]],tournaments_n_rules[],4,0)</f>
        <v>45717</v>
      </c>
      <c r="O13" s="52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51" t="str">
        <f>VLOOKUP(_stats[[#This Row],[tournament]],tournaments_n_rules[],2,0)</f>
        <v>Барышиха</v>
      </c>
      <c r="M14" s="51" t="str">
        <f>VLOOKUP(_stats[[#This Row],[tournament]],tournaments_n_rules[],3,0)</f>
        <v>Весна 2025</v>
      </c>
      <c r="N14" s="52">
        <f>VLOOKUP(_stats[[#This Row],[tournament]],tournaments_n_rules[],4,0)</f>
        <v>45717</v>
      </c>
      <c r="O14" s="52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51" t="str">
        <f>VLOOKUP(_stats[[#This Row],[tournament]],tournaments_n_rules[],2,0)</f>
        <v>Барышиха</v>
      </c>
      <c r="M15" s="51" t="str">
        <f>VLOOKUP(_stats[[#This Row],[tournament]],tournaments_n_rules[],3,0)</f>
        <v>Весна 2025</v>
      </c>
      <c r="N15" s="52">
        <f>VLOOKUP(_stats[[#This Row],[tournament]],tournaments_n_rules[],4,0)</f>
        <v>45717</v>
      </c>
      <c r="O15" s="52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51" t="str">
        <f>VLOOKUP(_stats[[#This Row],[tournament]],tournaments_n_rules[],2,0)</f>
        <v>Барышиха</v>
      </c>
      <c r="M16" s="51" t="str">
        <f>VLOOKUP(_stats[[#This Row],[tournament]],tournaments_n_rules[],3,0)</f>
        <v>Весна 2025</v>
      </c>
      <c r="N16" s="52">
        <f>VLOOKUP(_stats[[#This Row],[tournament]],tournaments_n_rules[],4,0)</f>
        <v>45717</v>
      </c>
      <c r="O16" s="52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51" t="str">
        <f>VLOOKUP(_stats[[#This Row],[tournament]],tournaments_n_rules[],2,0)</f>
        <v>Барышиха</v>
      </c>
      <c r="M17" s="51" t="str">
        <f>VLOOKUP(_stats[[#This Row],[tournament]],tournaments_n_rules[],3,0)</f>
        <v>Весна 2025</v>
      </c>
      <c r="N17" s="52">
        <f>VLOOKUP(_stats[[#This Row],[tournament]],tournaments_n_rules[],4,0)</f>
        <v>45717</v>
      </c>
      <c r="O17" s="52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51" t="str">
        <f>VLOOKUP(_stats[[#This Row],[tournament]],tournaments_n_rules[],2,0)</f>
        <v>Барышиха</v>
      </c>
      <c r="M18" s="51" t="str">
        <f>VLOOKUP(_stats[[#This Row],[tournament]],tournaments_n_rules[],3,0)</f>
        <v>Весна 2025</v>
      </c>
      <c r="N18" s="52">
        <f>VLOOKUP(_stats[[#This Row],[tournament]],tournaments_n_rules[],4,0)</f>
        <v>45717</v>
      </c>
      <c r="O18" s="52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51" t="str">
        <f>VLOOKUP(_stats[[#This Row],[tournament]],tournaments_n_rules[],2,0)</f>
        <v>Барышиха</v>
      </c>
      <c r="M19" s="51" t="str">
        <f>VLOOKUP(_stats[[#This Row],[tournament]],tournaments_n_rules[],3,0)</f>
        <v>Лето 2025</v>
      </c>
      <c r="N19" s="52">
        <f>VLOOKUP(_stats[[#This Row],[tournament]],tournaments_n_rules[],4,0)</f>
        <v>45809</v>
      </c>
      <c r="O19" s="52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51" t="str">
        <f>VLOOKUP(_stats[[#This Row],[tournament]],tournaments_n_rules[],2,0)</f>
        <v>Барышиха</v>
      </c>
      <c r="M20" s="51" t="str">
        <f>VLOOKUP(_stats[[#This Row],[tournament]],tournaments_n_rules[],3,0)</f>
        <v>Лето 2025</v>
      </c>
      <c r="N20" s="52">
        <f>VLOOKUP(_stats[[#This Row],[tournament]],tournaments_n_rules[],4,0)</f>
        <v>45809</v>
      </c>
      <c r="O20" s="52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51" t="str">
        <f>VLOOKUP(_stats[[#This Row],[tournament]],tournaments_n_rules[],2,0)</f>
        <v>Барышиха</v>
      </c>
      <c r="M21" s="51" t="str">
        <f>VLOOKUP(_stats[[#This Row],[tournament]],tournaments_n_rules[],3,0)</f>
        <v>Лето 2025</v>
      </c>
      <c r="N21" s="52">
        <f>VLOOKUP(_stats[[#This Row],[tournament]],tournaments_n_rules[],4,0)</f>
        <v>45809</v>
      </c>
      <c r="O21" s="52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51" t="str">
        <f>VLOOKUP(_stats[[#This Row],[tournament]],tournaments_n_rules[],2,0)</f>
        <v>Барышиха</v>
      </c>
      <c r="M22" s="51" t="str">
        <f>VLOOKUP(_stats[[#This Row],[tournament]],tournaments_n_rules[],3,0)</f>
        <v>Лето 2025</v>
      </c>
      <c r="N22" s="52">
        <f>VLOOKUP(_stats[[#This Row],[tournament]],tournaments_n_rules[],4,0)</f>
        <v>45809</v>
      </c>
      <c r="O22" s="52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51" t="str">
        <f>VLOOKUP(_stats[[#This Row],[tournament]],tournaments_n_rules[],2,0)</f>
        <v>Барышиха</v>
      </c>
      <c r="M23" s="51" t="str">
        <f>VLOOKUP(_stats[[#This Row],[tournament]],tournaments_n_rules[],3,0)</f>
        <v>Лето 2025</v>
      </c>
      <c r="N23" s="52">
        <f>VLOOKUP(_stats[[#This Row],[tournament]],tournaments_n_rules[],4,0)</f>
        <v>45809</v>
      </c>
      <c r="O23" s="52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51" t="str">
        <f>VLOOKUP(_stats[[#This Row],[tournament]],tournaments_n_rules[],2,0)</f>
        <v>Барышиха</v>
      </c>
      <c r="M24" s="51" t="str">
        <f>VLOOKUP(_stats[[#This Row],[tournament]],tournaments_n_rules[],3,0)</f>
        <v>Лето 2025</v>
      </c>
      <c r="N24" s="52">
        <f>VLOOKUP(_stats[[#This Row],[tournament]],tournaments_n_rules[],4,0)</f>
        <v>45809</v>
      </c>
      <c r="O24" s="52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51" t="str">
        <f>VLOOKUP(_stats[[#This Row],[tournament]],tournaments_n_rules[],2,0)</f>
        <v>Барышиха</v>
      </c>
      <c r="M25" s="51" t="str">
        <f>VLOOKUP(_stats[[#This Row],[tournament]],tournaments_n_rules[],3,0)</f>
        <v>Лето 2025</v>
      </c>
      <c r="N25" s="52">
        <f>VLOOKUP(_stats[[#This Row],[tournament]],tournaments_n_rules[],4,0)</f>
        <v>45809</v>
      </c>
      <c r="O25" s="52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51" t="str">
        <f>VLOOKUP(_stats[[#This Row],[tournament]],tournaments_n_rules[],2,0)</f>
        <v>Барышиха</v>
      </c>
      <c r="M26" s="51" t="str">
        <f>VLOOKUP(_stats[[#This Row],[tournament]],tournaments_n_rules[],3,0)</f>
        <v>Лето 2025</v>
      </c>
      <c r="N26" s="52">
        <f>VLOOKUP(_stats[[#This Row],[tournament]],tournaments_n_rules[],4,0)</f>
        <v>45809</v>
      </c>
      <c r="O26" s="52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51" t="str">
        <f>VLOOKUP(_stats[[#This Row],[tournament]],tournaments_n_rules[],2,0)</f>
        <v>Барышиха</v>
      </c>
      <c r="M27" s="51" t="str">
        <f>VLOOKUP(_stats[[#This Row],[tournament]],tournaments_n_rules[],3,0)</f>
        <v>Лето 2025</v>
      </c>
      <c r="N27" s="52">
        <f>VLOOKUP(_stats[[#This Row],[tournament]],tournaments_n_rules[],4,0)</f>
        <v>45809</v>
      </c>
      <c r="O27" s="52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51" t="str">
        <f>VLOOKUP(_stats[[#This Row],[tournament]],tournaments_n_rules[],2,0)</f>
        <v>Барышиха</v>
      </c>
      <c r="M28" s="51" t="str">
        <f>VLOOKUP(_stats[[#This Row],[tournament]],tournaments_n_rules[],3,0)</f>
        <v>Лето 2025</v>
      </c>
      <c r="N28" s="52">
        <f>VLOOKUP(_stats[[#This Row],[tournament]],tournaments_n_rules[],4,0)</f>
        <v>45809</v>
      </c>
      <c r="O28" s="52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51" t="str">
        <f>VLOOKUP(_stats[[#This Row],[tournament]],tournaments_n_rules[],2,0)</f>
        <v>Барышиха</v>
      </c>
      <c r="M29" s="51" t="str">
        <f>VLOOKUP(_stats[[#This Row],[tournament]],tournaments_n_rules[],3,0)</f>
        <v>Лето 2025</v>
      </c>
      <c r="N29" s="52">
        <f>VLOOKUP(_stats[[#This Row],[tournament]],tournaments_n_rules[],4,0)</f>
        <v>45809</v>
      </c>
      <c r="O29" s="52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51" t="str">
        <f>VLOOKUP(_stats[[#This Row],[tournament]],tournaments_n_rules[],2,0)</f>
        <v>Барышиха</v>
      </c>
      <c r="M30" s="51" t="str">
        <f>VLOOKUP(_stats[[#This Row],[tournament]],tournaments_n_rules[],3,0)</f>
        <v>Лето 2025</v>
      </c>
      <c r="N30" s="52">
        <f>VLOOKUP(_stats[[#This Row],[tournament]],tournaments_n_rules[],4,0)</f>
        <v>45809</v>
      </c>
      <c r="O30" s="52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51" t="str">
        <f>VLOOKUP(_stats[[#This Row],[tournament]],tournaments_n_rules[],2,0)</f>
        <v>Барышиха</v>
      </c>
      <c r="M31" s="51" t="str">
        <f>VLOOKUP(_stats[[#This Row],[tournament]],tournaments_n_rules[],3,0)</f>
        <v>Лето 2025</v>
      </c>
      <c r="N31" s="52">
        <f>VLOOKUP(_stats[[#This Row],[tournament]],tournaments_n_rules[],4,0)</f>
        <v>45809</v>
      </c>
      <c r="O31" s="52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51" t="str">
        <f>VLOOKUP(_stats[[#This Row],[tournament]],tournaments_n_rules[],2,0)</f>
        <v>Барышиха</v>
      </c>
      <c r="M32" s="51" t="str">
        <f>VLOOKUP(_stats[[#This Row],[tournament]],tournaments_n_rules[],3,0)</f>
        <v>Лето 2025</v>
      </c>
      <c r="N32" s="52">
        <f>VLOOKUP(_stats[[#This Row],[tournament]],tournaments_n_rules[],4,0)</f>
        <v>45809</v>
      </c>
      <c r="O32" s="52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51" t="str">
        <f>VLOOKUP(_stats[[#This Row],[tournament]],tournaments_n_rules[],2,0)</f>
        <v>Барышиха</v>
      </c>
      <c r="M33" s="51" t="str">
        <f>VLOOKUP(_stats[[#This Row],[tournament]],tournaments_n_rules[],3,0)</f>
        <v>Лето 2025</v>
      </c>
      <c r="N33" s="52">
        <f>VLOOKUP(_stats[[#This Row],[tournament]],tournaments_n_rules[],4,0)</f>
        <v>45809</v>
      </c>
      <c r="O33" s="52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51" t="str">
        <f>VLOOKUP(_stats[[#This Row],[tournament]],tournaments_n_rules[],2,0)</f>
        <v>Барышиха</v>
      </c>
      <c r="M34" s="51" t="str">
        <f>VLOOKUP(_stats[[#This Row],[tournament]],tournaments_n_rules[],3,0)</f>
        <v>Лето 2025</v>
      </c>
      <c r="N34" s="52">
        <f>VLOOKUP(_stats[[#This Row],[tournament]],tournaments_n_rules[],4,0)</f>
        <v>45809</v>
      </c>
      <c r="O34" s="52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51" t="str">
        <f>VLOOKUP(_stats[[#This Row],[tournament]],tournaments_n_rules[],2,0)</f>
        <v>Барышиха</v>
      </c>
      <c r="M35" s="51" t="str">
        <f>VLOOKUP(_stats[[#This Row],[tournament]],tournaments_n_rules[],3,0)</f>
        <v>Лето 2025</v>
      </c>
      <c r="N35" s="52">
        <f>VLOOKUP(_stats[[#This Row],[tournament]],tournaments_n_rules[],4,0)</f>
        <v>45809</v>
      </c>
      <c r="O35" s="52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51" t="str">
        <f>VLOOKUP(_stats[[#This Row],[tournament]],tournaments_n_rules[],2,0)</f>
        <v>Барышиха</v>
      </c>
      <c r="M36" s="51" t="str">
        <f>VLOOKUP(_stats[[#This Row],[tournament]],tournaments_n_rules[],3,0)</f>
        <v>Лето 2025</v>
      </c>
      <c r="N36" s="52">
        <f>VLOOKUP(_stats[[#This Row],[tournament]],tournaments_n_rules[],4,0)</f>
        <v>45809</v>
      </c>
      <c r="O36" s="52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51" t="str">
        <f>VLOOKUP(_stats[[#This Row],[tournament]],tournaments_n_rules[],2,0)</f>
        <v>Барышиха</v>
      </c>
      <c r="M37" s="51" t="str">
        <f>VLOOKUP(_stats[[#This Row],[tournament]],tournaments_n_rules[],3,0)</f>
        <v>Лето 2025</v>
      </c>
      <c r="N37" s="52">
        <f>VLOOKUP(_stats[[#This Row],[tournament]],tournaments_n_rules[],4,0)</f>
        <v>45809</v>
      </c>
      <c r="O37" s="52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51" t="str">
        <f>VLOOKUP(_stats[[#This Row],[tournament]],tournaments_n_rules[],2,0)</f>
        <v>Барышиха</v>
      </c>
      <c r="M38" s="51" t="str">
        <f>VLOOKUP(_stats[[#This Row],[tournament]],tournaments_n_rules[],3,0)</f>
        <v>Лето 2025</v>
      </c>
      <c r="N38" s="52">
        <f>VLOOKUP(_stats[[#This Row],[tournament]],tournaments_n_rules[],4,0)</f>
        <v>45809</v>
      </c>
      <c r="O38" s="52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51" t="str">
        <f>VLOOKUP(_stats[[#This Row],[tournament]],tournaments_n_rules[],2,0)</f>
        <v>Барышиха</v>
      </c>
      <c r="M39" s="51" t="str">
        <f>VLOOKUP(_stats[[#This Row],[tournament]],tournaments_n_rules[],3,0)</f>
        <v>Лето 2025</v>
      </c>
      <c r="N39" s="52">
        <f>VLOOKUP(_stats[[#This Row],[tournament]],tournaments_n_rules[],4,0)</f>
        <v>45809</v>
      </c>
      <c r="O39" s="52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51" t="str">
        <f>VLOOKUP(_stats[[#This Row],[tournament]],tournaments_n_rules[],2,0)</f>
        <v>Барышиха</v>
      </c>
      <c r="M40" s="51" t="str">
        <f>VLOOKUP(_stats[[#This Row],[tournament]],tournaments_n_rules[],3,0)</f>
        <v>Лето 2025</v>
      </c>
      <c r="N40" s="52">
        <f>VLOOKUP(_stats[[#This Row],[tournament]],tournaments_n_rules[],4,0)</f>
        <v>45809</v>
      </c>
      <c r="O40" s="52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51" t="str">
        <f>VLOOKUP(_stats[[#This Row],[tournament]],tournaments_n_rules[],2,0)</f>
        <v>Барышиха</v>
      </c>
      <c r="M41" s="51" t="str">
        <f>VLOOKUP(_stats[[#This Row],[tournament]],tournaments_n_rules[],3,0)</f>
        <v>Лето 2025</v>
      </c>
      <c r="N41" s="52">
        <f>VLOOKUP(_stats[[#This Row],[tournament]],tournaments_n_rules[],4,0)</f>
        <v>45809</v>
      </c>
      <c r="O41" s="52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51" t="str">
        <f>VLOOKUP(_stats[[#This Row],[tournament]],tournaments_n_rules[],2,0)</f>
        <v>Барышиха</v>
      </c>
      <c r="M42" s="51" t="str">
        <f>VLOOKUP(_stats[[#This Row],[tournament]],tournaments_n_rules[],3,0)</f>
        <v>Лето 2025</v>
      </c>
      <c r="N42" s="52">
        <f>VLOOKUP(_stats[[#This Row],[tournament]],tournaments_n_rules[],4,0)</f>
        <v>45809</v>
      </c>
      <c r="O42" s="52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51" t="str">
        <f>VLOOKUP(_stats[[#This Row],[tournament]],tournaments_n_rules[],2,0)</f>
        <v>Барышиха</v>
      </c>
      <c r="M43" s="51" t="str">
        <f>VLOOKUP(_stats[[#This Row],[tournament]],tournaments_n_rules[],3,0)</f>
        <v>Лето 2025</v>
      </c>
      <c r="N43" s="52">
        <f>VLOOKUP(_stats[[#This Row],[tournament]],tournaments_n_rules[],4,0)</f>
        <v>45809</v>
      </c>
      <c r="O43" s="52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51" t="str">
        <f>VLOOKUP(_stats[[#This Row],[tournament]],tournaments_n_rules[],2,0)</f>
        <v>Барышиха</v>
      </c>
      <c r="M44" s="51" t="str">
        <f>VLOOKUP(_stats[[#This Row],[tournament]],tournaments_n_rules[],3,0)</f>
        <v>Лето 2025</v>
      </c>
      <c r="N44" s="52">
        <f>VLOOKUP(_stats[[#This Row],[tournament]],tournaments_n_rules[],4,0)</f>
        <v>45809</v>
      </c>
      <c r="O44" s="52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51" t="str">
        <f>VLOOKUP(_stats[[#This Row],[tournament]],tournaments_n_rules[],2,0)</f>
        <v>Барышиха</v>
      </c>
      <c r="M45" s="51" t="str">
        <f>VLOOKUP(_stats[[#This Row],[tournament]],tournaments_n_rules[],3,0)</f>
        <v>Лето 2025</v>
      </c>
      <c r="N45" s="52">
        <f>VLOOKUP(_stats[[#This Row],[tournament]],tournaments_n_rules[],4,0)</f>
        <v>45809</v>
      </c>
      <c r="O45" s="52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51" t="str">
        <f>VLOOKUP(_stats[[#This Row],[tournament]],tournaments_n_rules[],2,0)</f>
        <v>Барышиха</v>
      </c>
      <c r="M46" s="51" t="str">
        <f>VLOOKUP(_stats[[#This Row],[tournament]],tournaments_n_rules[],3,0)</f>
        <v>Лето 2025</v>
      </c>
      <c r="N46" s="52">
        <f>VLOOKUP(_stats[[#This Row],[tournament]],tournaments_n_rules[],4,0)</f>
        <v>45809</v>
      </c>
      <c r="O46" s="52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51" t="str">
        <f>VLOOKUP(_stats[[#This Row],[tournament]],tournaments_n_rules[],2,0)</f>
        <v>Барышиха</v>
      </c>
      <c r="M47" s="51" t="str">
        <f>VLOOKUP(_stats[[#This Row],[tournament]],tournaments_n_rules[],3,0)</f>
        <v>Лето 2025</v>
      </c>
      <c r="N47" s="52">
        <f>VLOOKUP(_stats[[#This Row],[tournament]],tournaments_n_rules[],4,0)</f>
        <v>45809</v>
      </c>
      <c r="O47" s="52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51" t="str">
        <f>VLOOKUP(_stats[[#This Row],[tournament]],tournaments_n_rules[],2,0)</f>
        <v>Барышиха</v>
      </c>
      <c r="M48" s="51" t="str">
        <f>VLOOKUP(_stats[[#This Row],[tournament]],tournaments_n_rules[],3,0)</f>
        <v>Лето 2025</v>
      </c>
      <c r="N48" s="52">
        <f>VLOOKUP(_stats[[#This Row],[tournament]],tournaments_n_rules[],4,0)</f>
        <v>45809</v>
      </c>
      <c r="O48" s="52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51" t="str">
        <f>VLOOKUP(_stats[[#This Row],[tournament]],tournaments_n_rules[],2,0)</f>
        <v>Барышиха</v>
      </c>
      <c r="M49" s="51" t="str">
        <f>VLOOKUP(_stats[[#This Row],[tournament]],tournaments_n_rules[],3,0)</f>
        <v>Лето 2025</v>
      </c>
      <c r="N49" s="52">
        <f>VLOOKUP(_stats[[#This Row],[tournament]],tournaments_n_rules[],4,0)</f>
        <v>45809</v>
      </c>
      <c r="O49" s="52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51" t="str">
        <f>VLOOKUP(_stats[[#This Row],[tournament]],tournaments_n_rules[],2,0)</f>
        <v>Барышиха</v>
      </c>
      <c r="M50" s="51" t="str">
        <f>VLOOKUP(_stats[[#This Row],[tournament]],tournaments_n_rules[],3,0)</f>
        <v>Лето 2025</v>
      </c>
      <c r="N50" s="52">
        <f>VLOOKUP(_stats[[#This Row],[tournament]],tournaments_n_rules[],4,0)</f>
        <v>45809</v>
      </c>
      <c r="O50" s="52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51" t="str">
        <f>VLOOKUP(_stats[[#This Row],[tournament]],tournaments_n_rules[],2,0)</f>
        <v>Барышиха</v>
      </c>
      <c r="M51" s="51" t="str">
        <f>VLOOKUP(_stats[[#This Row],[tournament]],tournaments_n_rules[],3,0)</f>
        <v>Лето 2025</v>
      </c>
      <c r="N51" s="52">
        <f>VLOOKUP(_stats[[#This Row],[tournament]],tournaments_n_rules[],4,0)</f>
        <v>45809</v>
      </c>
      <c r="O51" s="52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51" t="str">
        <f>VLOOKUP(_stats[[#This Row],[tournament]],tournaments_n_rules[],2,0)</f>
        <v>Барышиха</v>
      </c>
      <c r="M52" s="51" t="str">
        <f>VLOOKUP(_stats[[#This Row],[tournament]],tournaments_n_rules[],3,0)</f>
        <v>Лето 2025</v>
      </c>
      <c r="N52" s="52">
        <f>VLOOKUP(_stats[[#This Row],[tournament]],tournaments_n_rules[],4,0)</f>
        <v>45809</v>
      </c>
      <c r="O52" s="52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51" t="str">
        <f>VLOOKUP(_stats[[#This Row],[tournament]],tournaments_n_rules[],2,0)</f>
        <v>Барышиха</v>
      </c>
      <c r="M53" s="51" t="str">
        <f>VLOOKUP(_stats[[#This Row],[tournament]],tournaments_n_rules[],3,0)</f>
        <v>Лето 2025</v>
      </c>
      <c r="N53" s="52">
        <f>VLOOKUP(_stats[[#This Row],[tournament]],tournaments_n_rules[],4,0)</f>
        <v>45809</v>
      </c>
      <c r="O53" s="52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51" t="str">
        <f>VLOOKUP(_stats[[#This Row],[tournament]],tournaments_n_rules[],2,0)</f>
        <v>Барышиха</v>
      </c>
      <c r="M54" s="51" t="str">
        <f>VLOOKUP(_stats[[#This Row],[tournament]],tournaments_n_rules[],3,0)</f>
        <v>Лето 2025</v>
      </c>
      <c r="N54" s="52">
        <f>VLOOKUP(_stats[[#This Row],[tournament]],tournaments_n_rules[],4,0)</f>
        <v>45809</v>
      </c>
      <c r="O54" s="52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51" t="str">
        <f>VLOOKUP(_stats[[#This Row],[tournament]],tournaments_n_rules[],2,0)</f>
        <v>Барышиха</v>
      </c>
      <c r="M55" s="51" t="str">
        <f>VLOOKUP(_stats[[#This Row],[tournament]],tournaments_n_rules[],3,0)</f>
        <v>Лето 2025</v>
      </c>
      <c r="N55" s="52">
        <f>VLOOKUP(_stats[[#This Row],[tournament]],tournaments_n_rules[],4,0)</f>
        <v>45809</v>
      </c>
      <c r="O55" s="52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51" t="str">
        <f>VLOOKUP(_stats[[#This Row],[tournament]],tournaments_n_rules[],2,0)</f>
        <v>Барышиха</v>
      </c>
      <c r="M56" s="51" t="str">
        <f>VLOOKUP(_stats[[#This Row],[tournament]],tournaments_n_rules[],3,0)</f>
        <v>Лето 2025</v>
      </c>
      <c r="N56" s="52">
        <f>VLOOKUP(_stats[[#This Row],[tournament]],tournaments_n_rules[],4,0)</f>
        <v>45809</v>
      </c>
      <c r="O56" s="52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51" t="str">
        <f>VLOOKUP(_stats[[#This Row],[tournament]],tournaments_n_rules[],2,0)</f>
        <v>Барышиха</v>
      </c>
      <c r="M57" s="51" t="str">
        <f>VLOOKUP(_stats[[#This Row],[tournament]],tournaments_n_rules[],3,0)</f>
        <v>Лето 2025</v>
      </c>
      <c r="N57" s="52">
        <f>VLOOKUP(_stats[[#This Row],[tournament]],tournaments_n_rules[],4,0)</f>
        <v>45809</v>
      </c>
      <c r="O57" s="52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51" t="str">
        <f>VLOOKUP(_stats[[#This Row],[tournament]],tournaments_n_rules[],2,0)</f>
        <v>Барышиха</v>
      </c>
      <c r="M58" s="51" t="str">
        <f>VLOOKUP(_stats[[#This Row],[tournament]],tournaments_n_rules[],3,0)</f>
        <v>Лето 2025</v>
      </c>
      <c r="N58" s="52">
        <f>VLOOKUP(_stats[[#This Row],[tournament]],tournaments_n_rules[],4,0)</f>
        <v>45809</v>
      </c>
      <c r="O58" s="52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51" t="str">
        <f>VLOOKUP(_stats[[#This Row],[tournament]],tournaments_n_rules[],2,0)</f>
        <v>Барышиха</v>
      </c>
      <c r="M59" s="51" t="str">
        <f>VLOOKUP(_stats[[#This Row],[tournament]],tournaments_n_rules[],3,0)</f>
        <v>Лето 2025</v>
      </c>
      <c r="N59" s="52">
        <f>VLOOKUP(_stats[[#This Row],[tournament]],tournaments_n_rules[],4,0)</f>
        <v>45809</v>
      </c>
      <c r="O59" s="52">
        <f>VLOOKUP(_stats[[#This Row],[tournament]],tournaments_n_rules[],5,0)</f>
        <v>45900</v>
      </c>
    </row>
    <row r="60" spans="1:15" x14ac:dyDescent="0.25">
      <c r="A60" s="23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51" t="str">
        <f>VLOOKUP(_stats[[#This Row],[tournament]],tournaments_n_rules[],2,0)</f>
        <v>Барышиха</v>
      </c>
      <c r="M60" s="51" t="str">
        <f>VLOOKUP(_stats[[#This Row],[tournament]],tournaments_n_rules[],3,0)</f>
        <v>Лето 2025</v>
      </c>
      <c r="N60" s="52">
        <f>VLOOKUP(_stats[[#This Row],[tournament]],tournaments_n_rules[],4,0)</f>
        <v>45809</v>
      </c>
      <c r="O60" s="52">
        <f>VLOOKUP(_stats[[#This Row],[tournament]],tournaments_n_rules[],5,0)</f>
        <v>45900</v>
      </c>
    </row>
    <row r="61" spans="1:15" x14ac:dyDescent="0.25">
      <c r="A61" s="23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51" t="str">
        <f>VLOOKUP(_stats[[#This Row],[tournament]],tournaments_n_rules[],2,0)</f>
        <v>Барышиха</v>
      </c>
      <c r="M61" s="51" t="str">
        <f>VLOOKUP(_stats[[#This Row],[tournament]],tournaments_n_rules[],3,0)</f>
        <v>Лето 2025</v>
      </c>
      <c r="N61" s="52">
        <f>VLOOKUP(_stats[[#This Row],[tournament]],tournaments_n_rules[],4,0)</f>
        <v>45809</v>
      </c>
      <c r="O61" s="52">
        <f>VLOOKUP(_stats[[#This Row],[tournament]],tournaments_n_rules[],5,0)</f>
        <v>45900</v>
      </c>
    </row>
    <row r="62" spans="1:15" x14ac:dyDescent="0.25">
      <c r="A62" s="23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51" t="str">
        <f>VLOOKUP(_stats[[#This Row],[tournament]],tournaments_n_rules[],2,0)</f>
        <v>Барышиха</v>
      </c>
      <c r="M62" s="51" t="str">
        <f>VLOOKUP(_stats[[#This Row],[tournament]],tournaments_n_rules[],3,0)</f>
        <v>Лето 2025</v>
      </c>
      <c r="N62" s="52">
        <f>VLOOKUP(_stats[[#This Row],[tournament]],tournaments_n_rules[],4,0)</f>
        <v>45809</v>
      </c>
      <c r="O62" s="52">
        <f>VLOOKUP(_stats[[#This Row],[tournament]],tournaments_n_rules[],5,0)</f>
        <v>45900</v>
      </c>
    </row>
    <row r="63" spans="1:15" x14ac:dyDescent="0.25">
      <c r="A63" s="23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51" t="str">
        <f>VLOOKUP(_stats[[#This Row],[tournament]],tournaments_n_rules[],2,0)</f>
        <v>Барышиха</v>
      </c>
      <c r="M63" s="51" t="str">
        <f>VLOOKUP(_stats[[#This Row],[tournament]],tournaments_n_rules[],3,0)</f>
        <v>Лето 2025</v>
      </c>
      <c r="N63" s="52">
        <f>VLOOKUP(_stats[[#This Row],[tournament]],tournaments_n_rules[],4,0)</f>
        <v>45809</v>
      </c>
      <c r="O63" s="52">
        <f>VLOOKUP(_stats[[#This Row],[tournament]],tournaments_n_rules[],5,0)</f>
        <v>45900</v>
      </c>
    </row>
    <row r="64" spans="1:15" x14ac:dyDescent="0.25">
      <c r="A64" s="23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51" t="str">
        <f>VLOOKUP(_stats[[#This Row],[tournament]],tournaments_n_rules[],2,0)</f>
        <v>Барышиха</v>
      </c>
      <c r="M64" s="51" t="str">
        <f>VLOOKUP(_stats[[#This Row],[tournament]],tournaments_n_rules[],3,0)</f>
        <v>Лето 2025</v>
      </c>
      <c r="N64" s="52">
        <f>VLOOKUP(_stats[[#This Row],[tournament]],tournaments_n_rules[],4,0)</f>
        <v>45809</v>
      </c>
      <c r="O64" s="52">
        <f>VLOOKUP(_stats[[#This Row],[tournament]],tournaments_n_rules[],5,0)</f>
        <v>45900</v>
      </c>
    </row>
    <row r="65" spans="1:15" x14ac:dyDescent="0.25">
      <c r="A65" s="23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51" t="str">
        <f>VLOOKUP(_stats[[#This Row],[tournament]],tournaments_n_rules[],2,0)</f>
        <v>Барышиха</v>
      </c>
      <c r="M65" s="51" t="str">
        <f>VLOOKUP(_stats[[#This Row],[tournament]],tournaments_n_rules[],3,0)</f>
        <v>Лето 2025</v>
      </c>
      <c r="N65" s="52">
        <f>VLOOKUP(_stats[[#This Row],[tournament]],tournaments_n_rules[],4,0)</f>
        <v>45809</v>
      </c>
      <c r="O65" s="52">
        <f>VLOOKUP(_stats[[#This Row],[tournament]],tournaments_n_rules[],5,0)</f>
        <v>45900</v>
      </c>
    </row>
    <row r="66" spans="1:15" x14ac:dyDescent="0.25">
      <c r="A66" s="23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51" t="str">
        <f>VLOOKUP(_stats[[#This Row],[tournament]],tournaments_n_rules[],2,0)</f>
        <v>Барышиха</v>
      </c>
      <c r="M66" s="51" t="str">
        <f>VLOOKUP(_stats[[#This Row],[tournament]],tournaments_n_rules[],3,0)</f>
        <v>Лето 2025</v>
      </c>
      <c r="N66" s="52">
        <f>VLOOKUP(_stats[[#This Row],[tournament]],tournaments_n_rules[],4,0)</f>
        <v>45809</v>
      </c>
      <c r="O66" s="52">
        <f>VLOOKUP(_stats[[#This Row],[tournament]],tournaments_n_rules[],5,0)</f>
        <v>45900</v>
      </c>
    </row>
    <row r="67" spans="1:15" x14ac:dyDescent="0.25">
      <c r="A67" s="23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51" t="str">
        <f>VLOOKUP(_stats[[#This Row],[tournament]],tournaments_n_rules[],2,0)</f>
        <v>Барышиха</v>
      </c>
      <c r="M67" s="51" t="str">
        <f>VLOOKUP(_stats[[#This Row],[tournament]],tournaments_n_rules[],3,0)</f>
        <v>Лето 2025</v>
      </c>
      <c r="N67" s="52">
        <f>VLOOKUP(_stats[[#This Row],[tournament]],tournaments_n_rules[],4,0)</f>
        <v>45809</v>
      </c>
      <c r="O67" s="52">
        <f>VLOOKUP(_stats[[#This Row],[tournament]],tournaments_n_rules[],5,0)</f>
        <v>45900</v>
      </c>
    </row>
    <row r="68" spans="1:15" x14ac:dyDescent="0.25">
      <c r="A68" s="23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51" t="str">
        <f>VLOOKUP(_stats[[#This Row],[tournament]],tournaments_n_rules[],2,0)</f>
        <v>Барышиха</v>
      </c>
      <c r="M68" s="51" t="str">
        <f>VLOOKUP(_stats[[#This Row],[tournament]],tournaments_n_rules[],3,0)</f>
        <v>Лето 2025</v>
      </c>
      <c r="N68" s="52">
        <f>VLOOKUP(_stats[[#This Row],[tournament]],tournaments_n_rules[],4,0)</f>
        <v>45809</v>
      </c>
      <c r="O68" s="52">
        <f>VLOOKUP(_stats[[#This Row],[tournament]],tournaments_n_rules[],5,0)</f>
        <v>45900</v>
      </c>
    </row>
    <row r="69" spans="1:15" x14ac:dyDescent="0.25">
      <c r="A69" s="23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51" t="str">
        <f>VLOOKUP(_stats[[#This Row],[tournament]],tournaments_n_rules[],2,0)</f>
        <v>Барышиха</v>
      </c>
      <c r="M69" s="51" t="str">
        <f>VLOOKUP(_stats[[#This Row],[tournament]],tournaments_n_rules[],3,0)</f>
        <v>Лето 2025</v>
      </c>
      <c r="N69" s="52">
        <f>VLOOKUP(_stats[[#This Row],[tournament]],tournaments_n_rules[],4,0)</f>
        <v>45809</v>
      </c>
      <c r="O69" s="52">
        <f>VLOOKUP(_stats[[#This Row],[tournament]],tournaments_n_rules[],5,0)</f>
        <v>45900</v>
      </c>
    </row>
    <row r="70" spans="1:15" x14ac:dyDescent="0.25">
      <c r="A70" s="23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51" t="str">
        <f>VLOOKUP(_stats[[#This Row],[tournament]],tournaments_n_rules[],2,0)</f>
        <v>Барышиха</v>
      </c>
      <c r="M70" s="51" t="str">
        <f>VLOOKUP(_stats[[#This Row],[tournament]],tournaments_n_rules[],3,0)</f>
        <v>Лето 2025</v>
      </c>
      <c r="N70" s="52">
        <f>VLOOKUP(_stats[[#This Row],[tournament]],tournaments_n_rules[],4,0)</f>
        <v>45809</v>
      </c>
      <c r="O70" s="52">
        <f>VLOOKUP(_stats[[#This Row],[tournament]],tournaments_n_rules[],5,0)</f>
        <v>45900</v>
      </c>
    </row>
    <row r="71" spans="1:15" x14ac:dyDescent="0.25">
      <c r="A71" s="23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51" t="str">
        <f>VLOOKUP(_stats[[#This Row],[tournament]],tournaments_n_rules[],2,0)</f>
        <v>Барышиха</v>
      </c>
      <c r="M71" s="51" t="str">
        <f>VLOOKUP(_stats[[#This Row],[tournament]],tournaments_n_rules[],3,0)</f>
        <v>Лето 2025</v>
      </c>
      <c r="N71" s="52">
        <f>VLOOKUP(_stats[[#This Row],[tournament]],tournaments_n_rules[],4,0)</f>
        <v>45809</v>
      </c>
      <c r="O71" s="52">
        <f>VLOOKUP(_stats[[#This Row],[tournament]],tournaments_n_rules[],5,0)</f>
        <v>45900</v>
      </c>
    </row>
    <row r="72" spans="1:15" x14ac:dyDescent="0.25">
      <c r="A72" s="23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51" t="str">
        <f>VLOOKUP(_stats[[#This Row],[tournament]],tournaments_n_rules[],2,0)</f>
        <v>Барышиха</v>
      </c>
      <c r="M72" s="51" t="str">
        <f>VLOOKUP(_stats[[#This Row],[tournament]],tournaments_n_rules[],3,0)</f>
        <v>Лето 2025</v>
      </c>
      <c r="N72" s="52">
        <f>VLOOKUP(_stats[[#This Row],[tournament]],tournaments_n_rules[],4,0)</f>
        <v>45809</v>
      </c>
      <c r="O72" s="52">
        <f>VLOOKUP(_stats[[#This Row],[tournament]],tournaments_n_rules[],5,0)</f>
        <v>45900</v>
      </c>
    </row>
    <row r="73" spans="1:15" x14ac:dyDescent="0.25">
      <c r="A73" s="23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51" t="str">
        <f>VLOOKUP(_stats[[#This Row],[tournament]],tournaments_n_rules[],2,0)</f>
        <v>Барышиха</v>
      </c>
      <c r="M73" s="51" t="str">
        <f>VLOOKUP(_stats[[#This Row],[tournament]],tournaments_n_rules[],3,0)</f>
        <v>Лето 2025</v>
      </c>
      <c r="N73" s="52">
        <f>VLOOKUP(_stats[[#This Row],[tournament]],tournaments_n_rules[],4,0)</f>
        <v>45809</v>
      </c>
      <c r="O73" s="52">
        <f>VLOOKUP(_stats[[#This Row],[tournament]],tournaments_n_rules[],5,0)</f>
        <v>45900</v>
      </c>
    </row>
    <row r="74" spans="1:15" x14ac:dyDescent="0.25">
      <c r="A74" s="23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51" t="str">
        <f>VLOOKUP(_stats[[#This Row],[tournament]],tournaments_n_rules[],2,0)</f>
        <v>Барышиха</v>
      </c>
      <c r="M74" s="51" t="str">
        <f>VLOOKUP(_stats[[#This Row],[tournament]],tournaments_n_rules[],3,0)</f>
        <v>Лето 2025</v>
      </c>
      <c r="N74" s="52">
        <f>VLOOKUP(_stats[[#This Row],[tournament]],tournaments_n_rules[],4,0)</f>
        <v>45809</v>
      </c>
      <c r="O74" s="52">
        <f>VLOOKUP(_stats[[#This Row],[tournament]],tournaments_n_rules[],5,0)</f>
        <v>45900</v>
      </c>
    </row>
    <row r="75" spans="1:15" x14ac:dyDescent="0.25">
      <c r="A75" s="23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51" t="str">
        <f>VLOOKUP(_stats[[#This Row],[tournament]],tournaments_n_rules[],2,0)</f>
        <v>Барышиха</v>
      </c>
      <c r="M75" s="51" t="str">
        <f>VLOOKUP(_stats[[#This Row],[tournament]],tournaments_n_rules[],3,0)</f>
        <v>Лето 2025</v>
      </c>
      <c r="N75" s="52">
        <f>VLOOKUP(_stats[[#This Row],[tournament]],tournaments_n_rules[],4,0)</f>
        <v>45809</v>
      </c>
      <c r="O75" s="52">
        <f>VLOOKUP(_stats[[#This Row],[tournament]],tournaments_n_rules[],5,0)</f>
        <v>45900</v>
      </c>
    </row>
    <row r="76" spans="1:15" x14ac:dyDescent="0.25">
      <c r="A76" s="23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51" t="str">
        <f>VLOOKUP(_stats[[#This Row],[tournament]],tournaments_n_rules[],2,0)</f>
        <v>Барышиха</v>
      </c>
      <c r="M76" s="51" t="str">
        <f>VLOOKUP(_stats[[#This Row],[tournament]],tournaments_n_rules[],3,0)</f>
        <v>Лето 2025</v>
      </c>
      <c r="N76" s="52">
        <f>VLOOKUP(_stats[[#This Row],[tournament]],tournaments_n_rules[],4,0)</f>
        <v>45809</v>
      </c>
      <c r="O76" s="52">
        <f>VLOOKUP(_stats[[#This Row],[tournament]],tournaments_n_rules[],5,0)</f>
        <v>45900</v>
      </c>
    </row>
    <row r="77" spans="1:15" x14ac:dyDescent="0.25">
      <c r="A77" s="23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51" t="str">
        <f>VLOOKUP(_stats[[#This Row],[tournament]],tournaments_n_rules[],2,0)</f>
        <v>Барышиха</v>
      </c>
      <c r="M77" s="51" t="str">
        <f>VLOOKUP(_stats[[#This Row],[tournament]],tournaments_n_rules[],3,0)</f>
        <v>Лето 2025</v>
      </c>
      <c r="N77" s="52">
        <f>VLOOKUP(_stats[[#This Row],[tournament]],tournaments_n_rules[],4,0)</f>
        <v>45809</v>
      </c>
      <c r="O77" s="52">
        <f>VLOOKUP(_stats[[#This Row],[tournament]],tournaments_n_rules[],5,0)</f>
        <v>45900</v>
      </c>
    </row>
    <row r="78" spans="1:15" x14ac:dyDescent="0.25">
      <c r="A78" s="23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51" t="str">
        <f>VLOOKUP(_stats[[#This Row],[tournament]],tournaments_n_rules[],2,0)</f>
        <v>Барышиха</v>
      </c>
      <c r="M78" s="51" t="str">
        <f>VLOOKUP(_stats[[#This Row],[tournament]],tournaments_n_rules[],3,0)</f>
        <v>Лето 2025</v>
      </c>
      <c r="N78" s="52">
        <f>VLOOKUP(_stats[[#This Row],[tournament]],tournaments_n_rules[],4,0)</f>
        <v>45809</v>
      </c>
      <c r="O78" s="52">
        <f>VLOOKUP(_stats[[#This Row],[tournament]],tournaments_n_rules[],5,0)</f>
        <v>45900</v>
      </c>
    </row>
    <row r="79" spans="1:15" x14ac:dyDescent="0.25">
      <c r="A79" s="23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51" t="str">
        <f>VLOOKUP(_stats[[#This Row],[tournament]],tournaments_n_rules[],2,0)</f>
        <v>Барышиха</v>
      </c>
      <c r="M79" s="51" t="str">
        <f>VLOOKUP(_stats[[#This Row],[tournament]],tournaments_n_rules[],3,0)</f>
        <v>Лето 2025</v>
      </c>
      <c r="N79" s="52">
        <f>VLOOKUP(_stats[[#This Row],[tournament]],tournaments_n_rules[],4,0)</f>
        <v>45809</v>
      </c>
      <c r="O79" s="52">
        <f>VLOOKUP(_stats[[#This Row],[tournament]],tournaments_n_rules[],5,0)</f>
        <v>45900</v>
      </c>
    </row>
    <row r="80" spans="1:15" x14ac:dyDescent="0.25">
      <c r="A80" s="23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51" t="str">
        <f>VLOOKUP(_stats[[#This Row],[tournament]],tournaments_n_rules[],2,0)</f>
        <v>Барышиха</v>
      </c>
      <c r="M80" s="51" t="str">
        <f>VLOOKUP(_stats[[#This Row],[tournament]],tournaments_n_rules[],3,0)</f>
        <v>Лето 2025</v>
      </c>
      <c r="N80" s="52">
        <f>VLOOKUP(_stats[[#This Row],[tournament]],tournaments_n_rules[],4,0)</f>
        <v>45809</v>
      </c>
      <c r="O80" s="52">
        <f>VLOOKUP(_stats[[#This Row],[tournament]],tournaments_n_rules[],5,0)</f>
        <v>45900</v>
      </c>
    </row>
    <row r="81" spans="1:15" x14ac:dyDescent="0.25">
      <c r="A81" s="23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51" t="str">
        <f>VLOOKUP(_stats[[#This Row],[tournament]],tournaments_n_rules[],2,0)</f>
        <v>Барышиха</v>
      </c>
      <c r="M81" s="51" t="str">
        <f>VLOOKUP(_stats[[#This Row],[tournament]],tournaments_n_rules[],3,0)</f>
        <v>Лето 2025</v>
      </c>
      <c r="N81" s="52">
        <f>VLOOKUP(_stats[[#This Row],[tournament]],tournaments_n_rules[],4,0)</f>
        <v>45809</v>
      </c>
      <c r="O81" s="52">
        <f>VLOOKUP(_stats[[#This Row],[tournament]],tournaments_n_rules[],5,0)</f>
        <v>45900</v>
      </c>
    </row>
    <row r="82" spans="1:15" x14ac:dyDescent="0.25">
      <c r="A82" s="23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51" t="str">
        <f>VLOOKUP(_stats[[#This Row],[tournament]],tournaments_n_rules[],2,0)</f>
        <v>Барышиха</v>
      </c>
      <c r="M82" s="51" t="str">
        <f>VLOOKUP(_stats[[#This Row],[tournament]],tournaments_n_rules[],3,0)</f>
        <v>Лето 2025</v>
      </c>
      <c r="N82" s="52">
        <f>VLOOKUP(_stats[[#This Row],[tournament]],tournaments_n_rules[],4,0)</f>
        <v>45809</v>
      </c>
      <c r="O82" s="52">
        <f>VLOOKUP(_stats[[#This Row],[tournament]],tournaments_n_rules[],5,0)</f>
        <v>45900</v>
      </c>
    </row>
    <row r="83" spans="1:15" x14ac:dyDescent="0.25">
      <c r="A83" s="23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51" t="str">
        <f>VLOOKUP(_stats[[#This Row],[tournament]],tournaments_n_rules[],2,0)</f>
        <v>Барышиха</v>
      </c>
      <c r="M83" s="51" t="str">
        <f>VLOOKUP(_stats[[#This Row],[tournament]],tournaments_n_rules[],3,0)</f>
        <v>Лето 2025</v>
      </c>
      <c r="N83" s="52">
        <f>VLOOKUP(_stats[[#This Row],[tournament]],tournaments_n_rules[],4,0)</f>
        <v>45809</v>
      </c>
      <c r="O83" s="52">
        <f>VLOOKUP(_stats[[#This Row],[tournament]],tournaments_n_rules[],5,0)</f>
        <v>45900</v>
      </c>
    </row>
    <row r="84" spans="1:15" x14ac:dyDescent="0.25">
      <c r="A84" s="23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51" t="str">
        <f>VLOOKUP(_stats[[#This Row],[tournament]],tournaments_n_rules[],2,0)</f>
        <v>Барышиха</v>
      </c>
      <c r="M84" s="51" t="str">
        <f>VLOOKUP(_stats[[#This Row],[tournament]],tournaments_n_rules[],3,0)</f>
        <v>Лето 2025</v>
      </c>
      <c r="N84" s="52">
        <f>VLOOKUP(_stats[[#This Row],[tournament]],tournaments_n_rules[],4,0)</f>
        <v>45809</v>
      </c>
      <c r="O84" s="52">
        <f>VLOOKUP(_stats[[#This Row],[tournament]],tournaments_n_rules[],5,0)</f>
        <v>45900</v>
      </c>
    </row>
    <row r="85" spans="1:15" x14ac:dyDescent="0.25">
      <c r="A85" s="23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51" t="str">
        <f>VLOOKUP(_stats[[#This Row],[tournament]],tournaments_n_rules[],2,0)</f>
        <v>Барышиха</v>
      </c>
      <c r="M85" s="51" t="str">
        <f>VLOOKUP(_stats[[#This Row],[tournament]],tournaments_n_rules[],3,0)</f>
        <v>Лето 2025</v>
      </c>
      <c r="N85" s="52">
        <f>VLOOKUP(_stats[[#This Row],[tournament]],tournaments_n_rules[],4,0)</f>
        <v>45809</v>
      </c>
      <c r="O85" s="52">
        <f>VLOOKUP(_stats[[#This Row],[tournament]],tournaments_n_rules[],5,0)</f>
        <v>45900</v>
      </c>
    </row>
    <row r="86" spans="1:15" x14ac:dyDescent="0.25">
      <c r="A86" s="23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51" t="str">
        <f>VLOOKUP(_stats[[#This Row],[tournament]],tournaments_n_rules[],2,0)</f>
        <v>Барышиха</v>
      </c>
      <c r="M86" s="51" t="str">
        <f>VLOOKUP(_stats[[#This Row],[tournament]],tournaments_n_rules[],3,0)</f>
        <v>Лето 2025</v>
      </c>
      <c r="N86" s="52">
        <f>VLOOKUP(_stats[[#This Row],[tournament]],tournaments_n_rules[],4,0)</f>
        <v>45809</v>
      </c>
      <c r="O86" s="52">
        <f>VLOOKUP(_stats[[#This Row],[tournament]],tournaments_n_rules[],5,0)</f>
        <v>45900</v>
      </c>
    </row>
    <row r="87" spans="1:15" x14ac:dyDescent="0.25">
      <c r="A87" s="23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51" t="str">
        <f>VLOOKUP(_stats[[#This Row],[tournament]],tournaments_n_rules[],2,0)</f>
        <v>Барышиха</v>
      </c>
      <c r="M87" s="51" t="str">
        <f>VLOOKUP(_stats[[#This Row],[tournament]],tournaments_n_rules[],3,0)</f>
        <v>Лето 2025</v>
      </c>
      <c r="N87" s="52">
        <f>VLOOKUP(_stats[[#This Row],[tournament]],tournaments_n_rules[],4,0)</f>
        <v>45809</v>
      </c>
      <c r="O87" s="52">
        <f>VLOOKUP(_stats[[#This Row],[tournament]],tournaments_n_rules[],5,0)</f>
        <v>45900</v>
      </c>
    </row>
    <row r="88" spans="1:15" x14ac:dyDescent="0.25">
      <c r="A88" s="23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51" t="str">
        <f>VLOOKUP(_stats[[#This Row],[tournament]],tournaments_n_rules[],2,0)</f>
        <v>Барышиха</v>
      </c>
      <c r="M88" s="51" t="str">
        <f>VLOOKUP(_stats[[#This Row],[tournament]],tournaments_n_rules[],3,0)</f>
        <v>Лето 2025</v>
      </c>
      <c r="N88" s="52">
        <f>VLOOKUP(_stats[[#This Row],[tournament]],tournaments_n_rules[],4,0)</f>
        <v>45809</v>
      </c>
      <c r="O88" s="52">
        <f>VLOOKUP(_stats[[#This Row],[tournament]],tournaments_n_rules[],5,0)</f>
        <v>45900</v>
      </c>
    </row>
    <row r="89" spans="1:15" x14ac:dyDescent="0.25">
      <c r="A89" s="23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51" t="str">
        <f>VLOOKUP(_stats[[#This Row],[tournament]],tournaments_n_rules[],2,0)</f>
        <v>Барышиха</v>
      </c>
      <c r="M89" s="51" t="str">
        <f>VLOOKUP(_stats[[#This Row],[tournament]],tournaments_n_rules[],3,0)</f>
        <v>Лето 2025</v>
      </c>
      <c r="N89" s="52">
        <f>VLOOKUP(_stats[[#This Row],[tournament]],tournaments_n_rules[],4,0)</f>
        <v>45809</v>
      </c>
      <c r="O89" s="52">
        <f>VLOOKUP(_stats[[#This Row],[tournament]],tournaments_n_rules[],5,0)</f>
        <v>45900</v>
      </c>
    </row>
    <row r="90" spans="1:15" x14ac:dyDescent="0.25">
      <c r="A90" s="23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51" t="str">
        <f>VLOOKUP(_stats[[#This Row],[tournament]],tournaments_n_rules[],2,0)</f>
        <v>Барышиха</v>
      </c>
      <c r="M90" s="51" t="str">
        <f>VLOOKUP(_stats[[#This Row],[tournament]],tournaments_n_rules[],3,0)</f>
        <v>Лето 2025</v>
      </c>
      <c r="N90" s="52">
        <f>VLOOKUP(_stats[[#This Row],[tournament]],tournaments_n_rules[],4,0)</f>
        <v>45809</v>
      </c>
      <c r="O90" s="52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51" t="str">
        <f>VLOOKUP(_stats[[#This Row],[tournament]],tournaments_n_rules[],2,0)</f>
        <v>Барышиха</v>
      </c>
      <c r="M91" s="51" t="str">
        <f>VLOOKUP(_stats[[#This Row],[tournament]],tournaments_n_rules[],3,0)</f>
        <v>Лето 2025</v>
      </c>
      <c r="N91" s="52">
        <f>VLOOKUP(_stats[[#This Row],[tournament]],tournaments_n_rules[],4,0)</f>
        <v>45809</v>
      </c>
      <c r="O91" s="52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51" t="str">
        <f>VLOOKUP(_stats[[#This Row],[tournament]],tournaments_n_rules[],2,0)</f>
        <v>Барышиха</v>
      </c>
      <c r="M92" s="51" t="str">
        <f>VLOOKUP(_stats[[#This Row],[tournament]],tournaments_n_rules[],3,0)</f>
        <v>Лето 2025</v>
      </c>
      <c r="N92" s="52">
        <f>VLOOKUP(_stats[[#This Row],[tournament]],tournaments_n_rules[],4,0)</f>
        <v>45809</v>
      </c>
      <c r="O92" s="52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51" t="str">
        <f>VLOOKUP(_stats[[#This Row],[tournament]],tournaments_n_rules[],2,0)</f>
        <v>Барышиха</v>
      </c>
      <c r="M93" s="51" t="str">
        <f>VLOOKUP(_stats[[#This Row],[tournament]],tournaments_n_rules[],3,0)</f>
        <v>Лето 2025</v>
      </c>
      <c r="N93" s="52">
        <f>VLOOKUP(_stats[[#This Row],[tournament]],tournaments_n_rules[],4,0)</f>
        <v>45809</v>
      </c>
      <c r="O93" s="52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51" t="str">
        <f>VLOOKUP(_stats[[#This Row],[tournament]],tournaments_n_rules[],2,0)</f>
        <v>Барышиха</v>
      </c>
      <c r="M94" s="51" t="str">
        <f>VLOOKUP(_stats[[#This Row],[tournament]],tournaments_n_rules[],3,0)</f>
        <v>Лето 2025</v>
      </c>
      <c r="N94" s="52">
        <f>VLOOKUP(_stats[[#This Row],[tournament]],tournaments_n_rules[],4,0)</f>
        <v>45809</v>
      </c>
      <c r="O94" s="52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51" t="str">
        <f>VLOOKUP(_stats[[#This Row],[tournament]],tournaments_n_rules[],2,0)</f>
        <v>Барышиха</v>
      </c>
      <c r="M95" s="51" t="str">
        <f>VLOOKUP(_stats[[#This Row],[tournament]],tournaments_n_rules[],3,0)</f>
        <v>Лето 2025</v>
      </c>
      <c r="N95" s="52">
        <f>VLOOKUP(_stats[[#This Row],[tournament]],tournaments_n_rules[],4,0)</f>
        <v>45809</v>
      </c>
      <c r="O95" s="52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51" t="str">
        <f>VLOOKUP(_stats[[#This Row],[tournament]],tournaments_n_rules[],2,0)</f>
        <v>Барышиха</v>
      </c>
      <c r="M96" s="51" t="str">
        <f>VLOOKUP(_stats[[#This Row],[tournament]],tournaments_n_rules[],3,0)</f>
        <v>Лето 2025</v>
      </c>
      <c r="N96" s="52">
        <f>VLOOKUP(_stats[[#This Row],[tournament]],tournaments_n_rules[],4,0)</f>
        <v>45809</v>
      </c>
      <c r="O96" s="52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51" t="str">
        <f>VLOOKUP(_stats[[#This Row],[tournament]],tournaments_n_rules[],2,0)</f>
        <v>Барышиха</v>
      </c>
      <c r="M97" s="51" t="str">
        <f>VLOOKUP(_stats[[#This Row],[tournament]],tournaments_n_rules[],3,0)</f>
        <v>Лето 2025</v>
      </c>
      <c r="N97" s="52">
        <f>VLOOKUP(_stats[[#This Row],[tournament]],tournaments_n_rules[],4,0)</f>
        <v>45809</v>
      </c>
      <c r="O97" s="52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51" t="str">
        <f>VLOOKUP(_stats[[#This Row],[tournament]],tournaments_n_rules[],2,0)</f>
        <v>Барышиха</v>
      </c>
      <c r="M98" s="51" t="str">
        <f>VLOOKUP(_stats[[#This Row],[tournament]],tournaments_n_rules[],3,0)</f>
        <v>Лето 2025</v>
      </c>
      <c r="N98" s="52">
        <f>VLOOKUP(_stats[[#This Row],[tournament]],tournaments_n_rules[],4,0)</f>
        <v>45809</v>
      </c>
      <c r="O98" s="52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51" t="str">
        <f>VLOOKUP(_stats[[#This Row],[tournament]],tournaments_n_rules[],2,0)</f>
        <v>Барышиха</v>
      </c>
      <c r="M99" s="51" t="str">
        <f>VLOOKUP(_stats[[#This Row],[tournament]],tournaments_n_rules[],3,0)</f>
        <v>Лето 2025</v>
      </c>
      <c r="N99" s="52">
        <f>VLOOKUP(_stats[[#This Row],[tournament]],tournaments_n_rules[],4,0)</f>
        <v>45809</v>
      </c>
      <c r="O99" s="52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51" t="str">
        <f>VLOOKUP(_stats[[#This Row],[tournament]],tournaments_n_rules[],2,0)</f>
        <v>Барышиха</v>
      </c>
      <c r="M100" s="51" t="str">
        <f>VLOOKUP(_stats[[#This Row],[tournament]],tournaments_n_rules[],3,0)</f>
        <v>Лето 2025</v>
      </c>
      <c r="N100" s="52">
        <f>VLOOKUP(_stats[[#This Row],[tournament]],tournaments_n_rules[],4,0)</f>
        <v>45809</v>
      </c>
      <c r="O100" s="52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51" t="str">
        <f>VLOOKUP(_stats[[#This Row],[tournament]],tournaments_n_rules[],2,0)</f>
        <v>Барышиха</v>
      </c>
      <c r="M101" s="51" t="str">
        <f>VLOOKUP(_stats[[#This Row],[tournament]],tournaments_n_rules[],3,0)</f>
        <v>Лето 2025</v>
      </c>
      <c r="N101" s="52">
        <f>VLOOKUP(_stats[[#This Row],[tournament]],tournaments_n_rules[],4,0)</f>
        <v>45809</v>
      </c>
      <c r="O101" s="52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51" t="str">
        <f>VLOOKUP(_stats[[#This Row],[tournament]],tournaments_n_rules[],2,0)</f>
        <v>Барышиха</v>
      </c>
      <c r="M102" s="51" t="str">
        <f>VLOOKUP(_stats[[#This Row],[tournament]],tournaments_n_rules[],3,0)</f>
        <v>Лето 2025</v>
      </c>
      <c r="N102" s="52">
        <f>VLOOKUP(_stats[[#This Row],[tournament]],tournaments_n_rules[],4,0)</f>
        <v>45809</v>
      </c>
      <c r="O102" s="52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9">
        <v>1</v>
      </c>
      <c r="F103" s="20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51" t="str">
        <f>VLOOKUP(_stats[[#This Row],[tournament]],tournaments_n_rules[],2,0)</f>
        <v>Барышиха</v>
      </c>
      <c r="M103" s="51" t="str">
        <f>VLOOKUP(_stats[[#This Row],[tournament]],tournaments_n_rules[],3,0)</f>
        <v>Лето 2025</v>
      </c>
      <c r="N103" s="52">
        <f>VLOOKUP(_stats[[#This Row],[tournament]],tournaments_n_rules[],4,0)</f>
        <v>45809</v>
      </c>
      <c r="O103" s="52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51" t="str">
        <f>VLOOKUP(_stats[[#This Row],[tournament]],tournaments_n_rules[],2,0)</f>
        <v>Барышиха</v>
      </c>
      <c r="M104" s="51" t="str">
        <f>VLOOKUP(_stats[[#This Row],[tournament]],tournaments_n_rules[],3,0)</f>
        <v>Лето 2025</v>
      </c>
      <c r="N104" s="52">
        <f>VLOOKUP(_stats[[#This Row],[tournament]],tournaments_n_rules[],4,0)</f>
        <v>45809</v>
      </c>
      <c r="O104" s="52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51" t="str">
        <f>VLOOKUP(_stats[[#This Row],[tournament]],tournaments_n_rules[],2,0)</f>
        <v>Барышиха</v>
      </c>
      <c r="M105" s="51" t="str">
        <f>VLOOKUP(_stats[[#This Row],[tournament]],tournaments_n_rules[],3,0)</f>
        <v>Лето 2025</v>
      </c>
      <c r="N105" s="52">
        <f>VLOOKUP(_stats[[#This Row],[tournament]],tournaments_n_rules[],4,0)</f>
        <v>45809</v>
      </c>
      <c r="O105" s="52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51" t="str">
        <f>VLOOKUP(_stats[[#This Row],[tournament]],tournaments_n_rules[],2,0)</f>
        <v>Барышиха</v>
      </c>
      <c r="M106" s="51" t="str">
        <f>VLOOKUP(_stats[[#This Row],[tournament]],tournaments_n_rules[],3,0)</f>
        <v>Лето 2025</v>
      </c>
      <c r="N106" s="52">
        <f>VLOOKUP(_stats[[#This Row],[tournament]],tournaments_n_rules[],4,0)</f>
        <v>45809</v>
      </c>
      <c r="O106" s="52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51" t="str">
        <f>VLOOKUP(_stats[[#This Row],[tournament]],tournaments_n_rules[],2,0)</f>
        <v>Барышиха</v>
      </c>
      <c r="M107" s="51" t="str">
        <f>VLOOKUP(_stats[[#This Row],[tournament]],tournaments_n_rules[],3,0)</f>
        <v>Лето 2025</v>
      </c>
      <c r="N107" s="52">
        <f>VLOOKUP(_stats[[#This Row],[tournament]],tournaments_n_rules[],4,0)</f>
        <v>45809</v>
      </c>
      <c r="O107" s="52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51" t="str">
        <f>VLOOKUP(_stats[[#This Row],[tournament]],tournaments_n_rules[],2,0)</f>
        <v>Барышиха</v>
      </c>
      <c r="M108" s="51" t="str">
        <f>VLOOKUP(_stats[[#This Row],[tournament]],tournaments_n_rules[],3,0)</f>
        <v>Лето 2025</v>
      </c>
      <c r="N108" s="52">
        <f>VLOOKUP(_stats[[#This Row],[tournament]],tournaments_n_rules[],4,0)</f>
        <v>45809</v>
      </c>
      <c r="O108" s="52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51" t="str">
        <f>VLOOKUP(_stats[[#This Row],[tournament]],tournaments_n_rules[],2,0)</f>
        <v>Барышиха</v>
      </c>
      <c r="M109" s="51" t="str">
        <f>VLOOKUP(_stats[[#This Row],[tournament]],tournaments_n_rules[],3,0)</f>
        <v>Лето 2025</v>
      </c>
      <c r="N109" s="52">
        <f>VLOOKUP(_stats[[#This Row],[tournament]],tournaments_n_rules[],4,0)</f>
        <v>45809</v>
      </c>
      <c r="O109" s="52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51" t="str">
        <f>VLOOKUP(_stats[[#This Row],[tournament]],tournaments_n_rules[],2,0)</f>
        <v>Барышиха</v>
      </c>
      <c r="M110" s="51" t="str">
        <f>VLOOKUP(_stats[[#This Row],[tournament]],tournaments_n_rules[],3,0)</f>
        <v>Лето 2025</v>
      </c>
      <c r="N110" s="52">
        <f>VLOOKUP(_stats[[#This Row],[tournament]],tournaments_n_rules[],4,0)</f>
        <v>45809</v>
      </c>
      <c r="O110" s="52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51" t="str">
        <f>VLOOKUP(_stats[[#This Row],[tournament]],tournaments_n_rules[],2,0)</f>
        <v>Барышиха</v>
      </c>
      <c r="M111" s="51" t="str">
        <f>VLOOKUP(_stats[[#This Row],[tournament]],tournaments_n_rules[],3,0)</f>
        <v>Лето 2025</v>
      </c>
      <c r="N111" s="52">
        <f>VLOOKUP(_stats[[#This Row],[tournament]],tournaments_n_rules[],4,0)</f>
        <v>45809</v>
      </c>
      <c r="O111" s="52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51" t="str">
        <f>VLOOKUP(_stats[[#This Row],[tournament]],tournaments_n_rules[],2,0)</f>
        <v>Барышиха</v>
      </c>
      <c r="M112" s="51" t="str">
        <f>VLOOKUP(_stats[[#This Row],[tournament]],tournaments_n_rules[],3,0)</f>
        <v>Лето 2025</v>
      </c>
      <c r="N112" s="52">
        <f>VLOOKUP(_stats[[#This Row],[tournament]],tournaments_n_rules[],4,0)</f>
        <v>45809</v>
      </c>
      <c r="O112" s="52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51" t="str">
        <f>VLOOKUP(_stats[[#This Row],[tournament]],tournaments_n_rules[],2,0)</f>
        <v>Барышиха</v>
      </c>
      <c r="M113" s="51" t="str">
        <f>VLOOKUP(_stats[[#This Row],[tournament]],tournaments_n_rules[],3,0)</f>
        <v>Лето 2025</v>
      </c>
      <c r="N113" s="52">
        <f>VLOOKUP(_stats[[#This Row],[tournament]],tournaments_n_rules[],4,0)</f>
        <v>45809</v>
      </c>
      <c r="O113" s="52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51" t="str">
        <f>VLOOKUP(_stats[[#This Row],[tournament]],tournaments_n_rules[],2,0)</f>
        <v>Барышиха</v>
      </c>
      <c r="M114" s="51" t="str">
        <f>VLOOKUP(_stats[[#This Row],[tournament]],tournaments_n_rules[],3,0)</f>
        <v>Лето 2025</v>
      </c>
      <c r="N114" s="52">
        <f>VLOOKUP(_stats[[#This Row],[tournament]],tournaments_n_rules[],4,0)</f>
        <v>45809</v>
      </c>
      <c r="O114" s="52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51" t="str">
        <f>VLOOKUP(_stats[[#This Row],[tournament]],tournaments_n_rules[],2,0)</f>
        <v>Барышиха</v>
      </c>
      <c r="M115" s="51" t="str">
        <f>VLOOKUP(_stats[[#This Row],[tournament]],tournaments_n_rules[],3,0)</f>
        <v>Лето 2025</v>
      </c>
      <c r="N115" s="52">
        <f>VLOOKUP(_stats[[#This Row],[tournament]],tournaments_n_rules[],4,0)</f>
        <v>45809</v>
      </c>
      <c r="O115" s="52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51" t="str">
        <f>VLOOKUP(_stats[[#This Row],[tournament]],tournaments_n_rules[],2,0)</f>
        <v>Барышиха</v>
      </c>
      <c r="M116" s="51" t="str">
        <f>VLOOKUP(_stats[[#This Row],[tournament]],tournaments_n_rules[],3,0)</f>
        <v>Лето 2025</v>
      </c>
      <c r="N116" s="52">
        <f>VLOOKUP(_stats[[#This Row],[tournament]],tournaments_n_rules[],4,0)</f>
        <v>45809</v>
      </c>
      <c r="O116" s="52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51" t="str">
        <f>VLOOKUP(_stats[[#This Row],[tournament]],tournaments_n_rules[],2,0)</f>
        <v>Барышиха</v>
      </c>
      <c r="M117" s="51" t="str">
        <f>VLOOKUP(_stats[[#This Row],[tournament]],tournaments_n_rules[],3,0)</f>
        <v>Лето 2025</v>
      </c>
      <c r="N117" s="52">
        <f>VLOOKUP(_stats[[#This Row],[tournament]],tournaments_n_rules[],4,0)</f>
        <v>45809</v>
      </c>
      <c r="O117" s="52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51" t="str">
        <f>VLOOKUP(_stats[[#This Row],[tournament]],tournaments_n_rules[],2,0)</f>
        <v>Барышиха</v>
      </c>
      <c r="M118" s="51" t="str">
        <f>VLOOKUP(_stats[[#This Row],[tournament]],tournaments_n_rules[],3,0)</f>
        <v>Лето 2025</v>
      </c>
      <c r="N118" s="52">
        <f>VLOOKUP(_stats[[#This Row],[tournament]],tournaments_n_rules[],4,0)</f>
        <v>45809</v>
      </c>
      <c r="O118" s="52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51" t="str">
        <f>VLOOKUP(_stats[[#This Row],[tournament]],tournaments_n_rules[],2,0)</f>
        <v>Барышиха</v>
      </c>
      <c r="M119" s="51" t="str">
        <f>VLOOKUP(_stats[[#This Row],[tournament]],tournaments_n_rules[],3,0)</f>
        <v>Лето 2025</v>
      </c>
      <c r="N119" s="52">
        <f>VLOOKUP(_stats[[#This Row],[tournament]],tournaments_n_rules[],4,0)</f>
        <v>45809</v>
      </c>
      <c r="O119" s="52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51" t="str">
        <f>VLOOKUP(_stats[[#This Row],[tournament]],tournaments_n_rules[],2,0)</f>
        <v>Барышиха</v>
      </c>
      <c r="M120" s="51" t="str">
        <f>VLOOKUP(_stats[[#This Row],[tournament]],tournaments_n_rules[],3,0)</f>
        <v>Лето 2025</v>
      </c>
      <c r="N120" s="52">
        <f>VLOOKUP(_stats[[#This Row],[tournament]],tournaments_n_rules[],4,0)</f>
        <v>45809</v>
      </c>
      <c r="O120" s="52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51" t="str">
        <f>VLOOKUP(_stats[[#This Row],[tournament]],tournaments_n_rules[],2,0)</f>
        <v>Барышиха</v>
      </c>
      <c r="M121" s="51" t="str">
        <f>VLOOKUP(_stats[[#This Row],[tournament]],tournaments_n_rules[],3,0)</f>
        <v>Лето 2025</v>
      </c>
      <c r="N121" s="52">
        <f>VLOOKUP(_stats[[#This Row],[tournament]],tournaments_n_rules[],4,0)</f>
        <v>45809</v>
      </c>
      <c r="O121" s="52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51" t="str">
        <f>VLOOKUP(_stats[[#This Row],[tournament]],tournaments_n_rules[],2,0)</f>
        <v>Барышиха</v>
      </c>
      <c r="M122" s="51" t="str">
        <f>VLOOKUP(_stats[[#This Row],[tournament]],tournaments_n_rules[],3,0)</f>
        <v>Лето 2025</v>
      </c>
      <c r="N122" s="52">
        <f>VLOOKUP(_stats[[#This Row],[tournament]],tournaments_n_rules[],4,0)</f>
        <v>45809</v>
      </c>
      <c r="O122" s="52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51" t="str">
        <f>VLOOKUP(_stats[[#This Row],[tournament]],tournaments_n_rules[],2,0)</f>
        <v>Барышиха</v>
      </c>
      <c r="M123" s="51" t="str">
        <f>VLOOKUP(_stats[[#This Row],[tournament]],tournaments_n_rules[],3,0)</f>
        <v>Лето 2025</v>
      </c>
      <c r="N123" s="52">
        <f>VLOOKUP(_stats[[#This Row],[tournament]],tournaments_n_rules[],4,0)</f>
        <v>45809</v>
      </c>
      <c r="O123" s="52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51" t="str">
        <f>VLOOKUP(_stats[[#This Row],[tournament]],tournaments_n_rules[],2,0)</f>
        <v>Барышиха</v>
      </c>
      <c r="M124" s="51" t="str">
        <f>VLOOKUP(_stats[[#This Row],[tournament]],tournaments_n_rules[],3,0)</f>
        <v>Лето 2025</v>
      </c>
      <c r="N124" s="52">
        <f>VLOOKUP(_stats[[#This Row],[tournament]],tournaments_n_rules[],4,0)</f>
        <v>45809</v>
      </c>
      <c r="O124" s="52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51" t="str">
        <f>VLOOKUP(_stats[[#This Row],[tournament]],tournaments_n_rules[],2,0)</f>
        <v>Барышиха</v>
      </c>
      <c r="M125" s="51" t="str">
        <f>VLOOKUP(_stats[[#This Row],[tournament]],tournaments_n_rules[],3,0)</f>
        <v>Лето 2025</v>
      </c>
      <c r="N125" s="52">
        <f>VLOOKUP(_stats[[#This Row],[tournament]],tournaments_n_rules[],4,0)</f>
        <v>45809</v>
      </c>
      <c r="O125" s="52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51" t="str">
        <f>VLOOKUP(_stats[[#This Row],[tournament]],tournaments_n_rules[],2,0)</f>
        <v>Барышиха</v>
      </c>
      <c r="M126" s="51" t="str">
        <f>VLOOKUP(_stats[[#This Row],[tournament]],tournaments_n_rules[],3,0)</f>
        <v>Лето 2025</v>
      </c>
      <c r="N126" s="52">
        <f>VLOOKUP(_stats[[#This Row],[tournament]],tournaments_n_rules[],4,0)</f>
        <v>45809</v>
      </c>
      <c r="O126" s="52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51" t="str">
        <f>VLOOKUP(_stats[[#This Row],[tournament]],tournaments_n_rules[],2,0)</f>
        <v>Барышиха</v>
      </c>
      <c r="M127" s="51" t="str">
        <f>VLOOKUP(_stats[[#This Row],[tournament]],tournaments_n_rules[],3,0)</f>
        <v>Лето 2025</v>
      </c>
      <c r="N127" s="52">
        <f>VLOOKUP(_stats[[#This Row],[tournament]],tournaments_n_rules[],4,0)</f>
        <v>45809</v>
      </c>
      <c r="O127" s="52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51" t="str">
        <f>VLOOKUP(_stats[[#This Row],[tournament]],tournaments_n_rules[],2,0)</f>
        <v>Барышиха</v>
      </c>
      <c r="M128" s="51" t="str">
        <f>VLOOKUP(_stats[[#This Row],[tournament]],tournaments_n_rules[],3,0)</f>
        <v>Лето 2025</v>
      </c>
      <c r="N128" s="52">
        <f>VLOOKUP(_stats[[#This Row],[tournament]],tournaments_n_rules[],4,0)</f>
        <v>45809</v>
      </c>
      <c r="O128" s="52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51" t="str">
        <f>VLOOKUP(_stats[[#This Row],[tournament]],tournaments_n_rules[],2,0)</f>
        <v>Барышиха</v>
      </c>
      <c r="M129" s="51" t="str">
        <f>VLOOKUP(_stats[[#This Row],[tournament]],tournaments_n_rules[],3,0)</f>
        <v>Лето 2025</v>
      </c>
      <c r="N129" s="52">
        <f>VLOOKUP(_stats[[#This Row],[tournament]],tournaments_n_rules[],4,0)</f>
        <v>45809</v>
      </c>
      <c r="O129" s="52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51" t="str">
        <f>VLOOKUP(_stats[[#This Row],[tournament]],tournaments_n_rules[],2,0)</f>
        <v>Барышиха</v>
      </c>
      <c r="M130" s="51" t="str">
        <f>VLOOKUP(_stats[[#This Row],[tournament]],tournaments_n_rules[],3,0)</f>
        <v>Лето 2025</v>
      </c>
      <c r="N130" s="52">
        <f>VLOOKUP(_stats[[#This Row],[tournament]],tournaments_n_rules[],4,0)</f>
        <v>45809</v>
      </c>
      <c r="O130" s="52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51" t="str">
        <f>VLOOKUP(_stats[[#This Row],[tournament]],tournaments_n_rules[],2,0)</f>
        <v>Барышиха</v>
      </c>
      <c r="M131" s="51" t="str">
        <f>VLOOKUP(_stats[[#This Row],[tournament]],tournaments_n_rules[],3,0)</f>
        <v>Лето 2025</v>
      </c>
      <c r="N131" s="52">
        <f>VLOOKUP(_stats[[#This Row],[tournament]],tournaments_n_rules[],4,0)</f>
        <v>45809</v>
      </c>
      <c r="O131" s="52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51" t="str">
        <f>VLOOKUP(_stats[[#This Row],[tournament]],tournaments_n_rules[],2,0)</f>
        <v>Барышиха</v>
      </c>
      <c r="M132" s="51" t="str">
        <f>VLOOKUP(_stats[[#This Row],[tournament]],tournaments_n_rules[],3,0)</f>
        <v>Лето 2025</v>
      </c>
      <c r="N132" s="52">
        <f>VLOOKUP(_stats[[#This Row],[tournament]],tournaments_n_rules[],4,0)</f>
        <v>45809</v>
      </c>
      <c r="O132" s="52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51" t="str">
        <f>VLOOKUP(_stats[[#This Row],[tournament]],tournaments_n_rules[],2,0)</f>
        <v>Барышиха</v>
      </c>
      <c r="M133" s="51" t="str">
        <f>VLOOKUP(_stats[[#This Row],[tournament]],tournaments_n_rules[],3,0)</f>
        <v>Лето 2025</v>
      </c>
      <c r="N133" s="52">
        <f>VLOOKUP(_stats[[#This Row],[tournament]],tournaments_n_rules[],4,0)</f>
        <v>45809</v>
      </c>
      <c r="O133" s="52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51" t="str">
        <f>VLOOKUP(_stats[[#This Row],[tournament]],tournaments_n_rules[],2,0)</f>
        <v>Барышиха</v>
      </c>
      <c r="M134" s="51" t="str">
        <f>VLOOKUP(_stats[[#This Row],[tournament]],tournaments_n_rules[],3,0)</f>
        <v>Лето 2025</v>
      </c>
      <c r="N134" s="52">
        <f>VLOOKUP(_stats[[#This Row],[tournament]],tournaments_n_rules[],4,0)</f>
        <v>45809</v>
      </c>
      <c r="O134" s="52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51" t="str">
        <f>VLOOKUP(_stats[[#This Row],[tournament]],tournaments_n_rules[],2,0)</f>
        <v>Барышиха</v>
      </c>
      <c r="M135" s="51" t="str">
        <f>VLOOKUP(_stats[[#This Row],[tournament]],tournaments_n_rules[],3,0)</f>
        <v>Лето 2025</v>
      </c>
      <c r="N135" s="52">
        <f>VLOOKUP(_stats[[#This Row],[tournament]],tournaments_n_rules[],4,0)</f>
        <v>45809</v>
      </c>
      <c r="O135" s="52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51" t="str">
        <f>VLOOKUP(_stats[[#This Row],[tournament]],tournaments_n_rules[],2,0)</f>
        <v>Барышиха</v>
      </c>
      <c r="M136" s="51" t="str">
        <f>VLOOKUP(_stats[[#This Row],[tournament]],tournaments_n_rules[],3,0)</f>
        <v>Лето 2025</v>
      </c>
      <c r="N136" s="52">
        <f>VLOOKUP(_stats[[#This Row],[tournament]],tournaments_n_rules[],4,0)</f>
        <v>45809</v>
      </c>
      <c r="O136" s="52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51" t="str">
        <f>VLOOKUP(_stats[[#This Row],[tournament]],tournaments_n_rules[],2,0)</f>
        <v>Барышиха</v>
      </c>
      <c r="M137" s="51" t="str">
        <f>VLOOKUP(_stats[[#This Row],[tournament]],tournaments_n_rules[],3,0)</f>
        <v>Лето 2025</v>
      </c>
      <c r="N137" s="52">
        <f>VLOOKUP(_stats[[#This Row],[tournament]],tournaments_n_rules[],4,0)</f>
        <v>45809</v>
      </c>
      <c r="O137" s="52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51" t="str">
        <f>VLOOKUP(_stats[[#This Row],[tournament]],tournaments_n_rules[],2,0)</f>
        <v>Барышиха</v>
      </c>
      <c r="M138" s="51" t="str">
        <f>VLOOKUP(_stats[[#This Row],[tournament]],tournaments_n_rules[],3,0)</f>
        <v>Лето 2025</v>
      </c>
      <c r="N138" s="52">
        <f>VLOOKUP(_stats[[#This Row],[tournament]],tournaments_n_rules[],4,0)</f>
        <v>45809</v>
      </c>
      <c r="O138" s="52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51" t="str">
        <f>VLOOKUP(_stats[[#This Row],[tournament]],tournaments_n_rules[],2,0)</f>
        <v>Барышиха</v>
      </c>
      <c r="M139" s="51" t="str">
        <f>VLOOKUP(_stats[[#This Row],[tournament]],tournaments_n_rules[],3,0)</f>
        <v>Лето 2025</v>
      </c>
      <c r="N139" s="52">
        <f>VLOOKUP(_stats[[#This Row],[tournament]],tournaments_n_rules[],4,0)</f>
        <v>45809</v>
      </c>
      <c r="O139" s="52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51" t="str">
        <f>VLOOKUP(_stats[[#This Row],[tournament]],tournaments_n_rules[],2,0)</f>
        <v>Барышиха</v>
      </c>
      <c r="M140" s="51" t="str">
        <f>VLOOKUP(_stats[[#This Row],[tournament]],tournaments_n_rules[],3,0)</f>
        <v>Лето 2025</v>
      </c>
      <c r="N140" s="52">
        <f>VLOOKUP(_stats[[#This Row],[tournament]],tournaments_n_rules[],4,0)</f>
        <v>45809</v>
      </c>
      <c r="O140" s="52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51" t="str">
        <f>VLOOKUP(_stats[[#This Row],[tournament]],tournaments_n_rules[],2,0)</f>
        <v>Барышиха</v>
      </c>
      <c r="M141" s="51" t="str">
        <f>VLOOKUP(_stats[[#This Row],[tournament]],tournaments_n_rules[],3,0)</f>
        <v>Лето 2025</v>
      </c>
      <c r="N141" s="52">
        <f>VLOOKUP(_stats[[#This Row],[tournament]],tournaments_n_rules[],4,0)</f>
        <v>45809</v>
      </c>
      <c r="O141" s="52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51" t="str">
        <f>VLOOKUP(_stats[[#This Row],[tournament]],tournaments_n_rules[],2,0)</f>
        <v>Барышиха</v>
      </c>
      <c r="M142" s="51" t="str">
        <f>VLOOKUP(_stats[[#This Row],[tournament]],tournaments_n_rules[],3,0)</f>
        <v>Лето 2025</v>
      </c>
      <c r="N142" s="52">
        <f>VLOOKUP(_stats[[#This Row],[tournament]],tournaments_n_rules[],4,0)</f>
        <v>45809</v>
      </c>
      <c r="O142" s="52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51" t="str">
        <f>VLOOKUP(_stats[[#This Row],[tournament]],tournaments_n_rules[],2,0)</f>
        <v>Барышиха</v>
      </c>
      <c r="M143" s="51" t="str">
        <f>VLOOKUP(_stats[[#This Row],[tournament]],tournaments_n_rules[],3,0)</f>
        <v>Лето 2025</v>
      </c>
      <c r="N143" s="52">
        <f>VLOOKUP(_stats[[#This Row],[tournament]],tournaments_n_rules[],4,0)</f>
        <v>45809</v>
      </c>
      <c r="O143" s="52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51" t="str">
        <f>VLOOKUP(_stats[[#This Row],[tournament]],tournaments_n_rules[],2,0)</f>
        <v>Барышиха</v>
      </c>
      <c r="M144" s="51" t="str">
        <f>VLOOKUP(_stats[[#This Row],[tournament]],tournaments_n_rules[],3,0)</f>
        <v>Лето 2025</v>
      </c>
      <c r="N144" s="52">
        <f>VLOOKUP(_stats[[#This Row],[tournament]],tournaments_n_rules[],4,0)</f>
        <v>45809</v>
      </c>
      <c r="O144" s="52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51" t="str">
        <f>VLOOKUP(_stats[[#This Row],[tournament]],tournaments_n_rules[],2,0)</f>
        <v>Барышиха</v>
      </c>
      <c r="M145" s="51" t="str">
        <f>VLOOKUP(_stats[[#This Row],[tournament]],tournaments_n_rules[],3,0)</f>
        <v>Лето 2025</v>
      </c>
      <c r="N145" s="52">
        <f>VLOOKUP(_stats[[#This Row],[tournament]],tournaments_n_rules[],4,0)</f>
        <v>45809</v>
      </c>
      <c r="O145" s="52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51" t="str">
        <f>VLOOKUP(_stats[[#This Row],[tournament]],tournaments_n_rules[],2,0)</f>
        <v>Барышиха</v>
      </c>
      <c r="M146" s="51" t="str">
        <f>VLOOKUP(_stats[[#This Row],[tournament]],tournaments_n_rules[],3,0)</f>
        <v>Лето 2025</v>
      </c>
      <c r="N146" s="52">
        <f>VLOOKUP(_stats[[#This Row],[tournament]],tournaments_n_rules[],4,0)</f>
        <v>45809</v>
      </c>
      <c r="O146" s="52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51" t="str">
        <f>VLOOKUP(_stats[[#This Row],[tournament]],tournaments_n_rules[],2,0)</f>
        <v>Барышиха</v>
      </c>
      <c r="M147" s="51" t="str">
        <f>VLOOKUP(_stats[[#This Row],[tournament]],tournaments_n_rules[],3,0)</f>
        <v>Лето 2025</v>
      </c>
      <c r="N147" s="52">
        <f>VLOOKUP(_stats[[#This Row],[tournament]],tournaments_n_rules[],4,0)</f>
        <v>45809</v>
      </c>
      <c r="O147" s="52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51" t="str">
        <f>VLOOKUP(_stats[[#This Row],[tournament]],tournaments_n_rules[],2,0)</f>
        <v>Барышиха</v>
      </c>
      <c r="M148" s="51" t="str">
        <f>VLOOKUP(_stats[[#This Row],[tournament]],tournaments_n_rules[],3,0)</f>
        <v>Лето 2025</v>
      </c>
      <c r="N148" s="52">
        <f>VLOOKUP(_stats[[#This Row],[tournament]],tournaments_n_rules[],4,0)</f>
        <v>45809</v>
      </c>
      <c r="O148" s="52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51" t="str">
        <f>VLOOKUP(_stats[[#This Row],[tournament]],tournaments_n_rules[],2,0)</f>
        <v>Барышиха</v>
      </c>
      <c r="M149" s="51" t="str">
        <f>VLOOKUP(_stats[[#This Row],[tournament]],tournaments_n_rules[],3,0)</f>
        <v>Лето 2025</v>
      </c>
      <c r="N149" s="52">
        <f>VLOOKUP(_stats[[#This Row],[tournament]],tournaments_n_rules[],4,0)</f>
        <v>45809</v>
      </c>
      <c r="O149" s="52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51" t="str">
        <f>VLOOKUP(_stats[[#This Row],[tournament]],tournaments_n_rules[],2,0)</f>
        <v>Барышиха</v>
      </c>
      <c r="M150" s="51" t="str">
        <f>VLOOKUP(_stats[[#This Row],[tournament]],tournaments_n_rules[],3,0)</f>
        <v>Лето 2025</v>
      </c>
      <c r="N150" s="52">
        <f>VLOOKUP(_stats[[#This Row],[tournament]],tournaments_n_rules[],4,0)</f>
        <v>45809</v>
      </c>
      <c r="O150" s="52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51" t="str">
        <f>VLOOKUP(_stats[[#This Row],[tournament]],tournaments_n_rules[],2,0)</f>
        <v>Барышиха</v>
      </c>
      <c r="M151" s="51" t="str">
        <f>VLOOKUP(_stats[[#This Row],[tournament]],tournaments_n_rules[],3,0)</f>
        <v>Лето 2025</v>
      </c>
      <c r="N151" s="52">
        <f>VLOOKUP(_stats[[#This Row],[tournament]],tournaments_n_rules[],4,0)</f>
        <v>45809</v>
      </c>
      <c r="O151" s="52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51" t="str">
        <f>VLOOKUP(_stats[[#This Row],[tournament]],tournaments_n_rules[],2,0)</f>
        <v>Барышиха</v>
      </c>
      <c r="M152" s="51" t="str">
        <f>VLOOKUP(_stats[[#This Row],[tournament]],tournaments_n_rules[],3,0)</f>
        <v>Лето 2025</v>
      </c>
      <c r="N152" s="52">
        <f>VLOOKUP(_stats[[#This Row],[tournament]],tournaments_n_rules[],4,0)</f>
        <v>45809</v>
      </c>
      <c r="O152" s="52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51" t="str">
        <f>VLOOKUP(_stats[[#This Row],[tournament]],tournaments_n_rules[],2,0)</f>
        <v>Барышиха</v>
      </c>
      <c r="M153" s="51" t="str">
        <f>VLOOKUP(_stats[[#This Row],[tournament]],tournaments_n_rules[],3,0)</f>
        <v>Лето 2025</v>
      </c>
      <c r="N153" s="52">
        <f>VLOOKUP(_stats[[#This Row],[tournament]],tournaments_n_rules[],4,0)</f>
        <v>45809</v>
      </c>
      <c r="O153" s="52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51" t="str">
        <f>VLOOKUP(_stats[[#This Row],[tournament]],tournaments_n_rules[],2,0)</f>
        <v>Барышиха</v>
      </c>
      <c r="M154" s="51" t="str">
        <f>VLOOKUP(_stats[[#This Row],[tournament]],tournaments_n_rules[],3,0)</f>
        <v>Лето 2025</v>
      </c>
      <c r="N154" s="52">
        <f>VLOOKUP(_stats[[#This Row],[tournament]],tournaments_n_rules[],4,0)</f>
        <v>45809</v>
      </c>
      <c r="O154" s="52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51" t="str">
        <f>VLOOKUP(_stats[[#This Row],[tournament]],tournaments_n_rules[],2,0)</f>
        <v>Барышиха</v>
      </c>
      <c r="M155" s="51" t="str">
        <f>VLOOKUP(_stats[[#This Row],[tournament]],tournaments_n_rules[],3,0)</f>
        <v>Лето 2025</v>
      </c>
      <c r="N155" s="52">
        <f>VLOOKUP(_stats[[#This Row],[tournament]],tournaments_n_rules[],4,0)</f>
        <v>45809</v>
      </c>
      <c r="O155" s="52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51" t="str">
        <f>VLOOKUP(_stats[[#This Row],[tournament]],tournaments_n_rules[],2,0)</f>
        <v>Барышиха</v>
      </c>
      <c r="M156" s="51" t="str">
        <f>VLOOKUP(_stats[[#This Row],[tournament]],tournaments_n_rules[],3,0)</f>
        <v>Лето 2025</v>
      </c>
      <c r="N156" s="52">
        <f>VLOOKUP(_stats[[#This Row],[tournament]],tournaments_n_rules[],4,0)</f>
        <v>45809</v>
      </c>
      <c r="O156" s="52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51" t="str">
        <f>VLOOKUP(_stats[[#This Row],[tournament]],tournaments_n_rules[],2,0)</f>
        <v>Барышиха</v>
      </c>
      <c r="M157" s="51" t="str">
        <f>VLOOKUP(_stats[[#This Row],[tournament]],tournaments_n_rules[],3,0)</f>
        <v>Лето 2025</v>
      </c>
      <c r="N157" s="52">
        <f>VLOOKUP(_stats[[#This Row],[tournament]],tournaments_n_rules[],4,0)</f>
        <v>45809</v>
      </c>
      <c r="O157" s="52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51" t="str">
        <f>VLOOKUP(_stats[[#This Row],[tournament]],tournaments_n_rules[],2,0)</f>
        <v>Барышиха</v>
      </c>
      <c r="M158" s="51" t="str">
        <f>VLOOKUP(_stats[[#This Row],[tournament]],tournaments_n_rules[],3,0)</f>
        <v>Лето 2025</v>
      </c>
      <c r="N158" s="52">
        <f>VLOOKUP(_stats[[#This Row],[tournament]],tournaments_n_rules[],4,0)</f>
        <v>45809</v>
      </c>
      <c r="O158" s="52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51" t="str">
        <f>VLOOKUP(_stats[[#This Row],[tournament]],tournaments_n_rules[],2,0)</f>
        <v>Барышиха</v>
      </c>
      <c r="M159" s="51" t="str">
        <f>VLOOKUP(_stats[[#This Row],[tournament]],tournaments_n_rules[],3,0)</f>
        <v>Лето 2025</v>
      </c>
      <c r="N159" s="52">
        <f>VLOOKUP(_stats[[#This Row],[tournament]],tournaments_n_rules[],4,0)</f>
        <v>45809</v>
      </c>
      <c r="O159" s="52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51" t="str">
        <f>VLOOKUP(_stats[[#This Row],[tournament]],tournaments_n_rules[],2,0)</f>
        <v>Барышиха</v>
      </c>
      <c r="M160" s="51" t="str">
        <f>VLOOKUP(_stats[[#This Row],[tournament]],tournaments_n_rules[],3,0)</f>
        <v>Лето 2025</v>
      </c>
      <c r="N160" s="52">
        <f>VLOOKUP(_stats[[#This Row],[tournament]],tournaments_n_rules[],4,0)</f>
        <v>45809</v>
      </c>
      <c r="O160" s="52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51" t="str">
        <f>VLOOKUP(_stats[[#This Row],[tournament]],tournaments_n_rules[],2,0)</f>
        <v>Барышиха</v>
      </c>
      <c r="M161" s="51" t="str">
        <f>VLOOKUP(_stats[[#This Row],[tournament]],tournaments_n_rules[],3,0)</f>
        <v>Лето 2025</v>
      </c>
      <c r="N161" s="52">
        <f>VLOOKUP(_stats[[#This Row],[tournament]],tournaments_n_rules[],4,0)</f>
        <v>45809</v>
      </c>
      <c r="O161" s="52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51" t="str">
        <f>VLOOKUP(_stats[[#This Row],[tournament]],tournaments_n_rules[],2,0)</f>
        <v>Барышиха</v>
      </c>
      <c r="M162" s="51" t="str">
        <f>VLOOKUP(_stats[[#This Row],[tournament]],tournaments_n_rules[],3,0)</f>
        <v>Лето 2025</v>
      </c>
      <c r="N162" s="52">
        <f>VLOOKUP(_stats[[#This Row],[tournament]],tournaments_n_rules[],4,0)</f>
        <v>45809</v>
      </c>
      <c r="O162" s="52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51" t="str">
        <f>VLOOKUP(_stats[[#This Row],[tournament]],tournaments_n_rules[],2,0)</f>
        <v>Барышиха</v>
      </c>
      <c r="M163" s="51" t="str">
        <f>VLOOKUP(_stats[[#This Row],[tournament]],tournaments_n_rules[],3,0)</f>
        <v>Лето 2025</v>
      </c>
      <c r="N163" s="52">
        <f>VLOOKUP(_stats[[#This Row],[tournament]],tournaments_n_rules[],4,0)</f>
        <v>45809</v>
      </c>
      <c r="O163" s="52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51" t="str">
        <f>VLOOKUP(_stats[[#This Row],[tournament]],tournaments_n_rules[],2,0)</f>
        <v>Барышиха</v>
      </c>
      <c r="M164" s="51" t="str">
        <f>VLOOKUP(_stats[[#This Row],[tournament]],tournaments_n_rules[],3,0)</f>
        <v>Лето 2025</v>
      </c>
      <c r="N164" s="52">
        <f>VLOOKUP(_stats[[#This Row],[tournament]],tournaments_n_rules[],4,0)</f>
        <v>45809</v>
      </c>
      <c r="O164" s="52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51" t="str">
        <f>VLOOKUP(_stats[[#This Row],[tournament]],tournaments_n_rules[],2,0)</f>
        <v>Барышиха</v>
      </c>
      <c r="M165" s="51" t="str">
        <f>VLOOKUP(_stats[[#This Row],[tournament]],tournaments_n_rules[],3,0)</f>
        <v>Лето 2025</v>
      </c>
      <c r="N165" s="52">
        <f>VLOOKUP(_stats[[#This Row],[tournament]],tournaments_n_rules[],4,0)</f>
        <v>45809</v>
      </c>
      <c r="O165" s="52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51" t="str">
        <f>VLOOKUP(_stats[[#This Row],[tournament]],tournaments_n_rules[],2,0)</f>
        <v>Барышиха</v>
      </c>
      <c r="M166" s="51" t="str">
        <f>VLOOKUP(_stats[[#This Row],[tournament]],tournaments_n_rules[],3,0)</f>
        <v>Лето 2025</v>
      </c>
      <c r="N166" s="52">
        <f>VLOOKUP(_stats[[#This Row],[tournament]],tournaments_n_rules[],4,0)</f>
        <v>45809</v>
      </c>
      <c r="O166" s="52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51" t="str">
        <f>VLOOKUP(_stats[[#This Row],[tournament]],tournaments_n_rules[],2,0)</f>
        <v>Барышиха</v>
      </c>
      <c r="M167" s="51" t="str">
        <f>VLOOKUP(_stats[[#This Row],[tournament]],tournaments_n_rules[],3,0)</f>
        <v>Лето 2025</v>
      </c>
      <c r="N167" s="52">
        <f>VLOOKUP(_stats[[#This Row],[tournament]],tournaments_n_rules[],4,0)</f>
        <v>45809</v>
      </c>
      <c r="O167" s="52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51" t="str">
        <f>VLOOKUP(_stats[[#This Row],[tournament]],tournaments_n_rules[],2,0)</f>
        <v>Барышиха</v>
      </c>
      <c r="M168" s="51" t="str">
        <f>VLOOKUP(_stats[[#This Row],[tournament]],tournaments_n_rules[],3,0)</f>
        <v>Лето 2025</v>
      </c>
      <c r="N168" s="52">
        <f>VLOOKUP(_stats[[#This Row],[tournament]],tournaments_n_rules[],4,0)</f>
        <v>45809</v>
      </c>
      <c r="O168" s="52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51" t="str">
        <f>VLOOKUP(_stats[[#This Row],[tournament]],tournaments_n_rules[],2,0)</f>
        <v>Барышиха</v>
      </c>
      <c r="M169" s="51" t="str">
        <f>VLOOKUP(_stats[[#This Row],[tournament]],tournaments_n_rules[],3,0)</f>
        <v>Лето 2025</v>
      </c>
      <c r="N169" s="52">
        <f>VLOOKUP(_stats[[#This Row],[tournament]],tournaments_n_rules[],4,0)</f>
        <v>45809</v>
      </c>
      <c r="O169" s="52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51" t="str">
        <f>VLOOKUP(_stats[[#This Row],[tournament]],tournaments_n_rules[],2,0)</f>
        <v>Барышиха</v>
      </c>
      <c r="M170" s="51" t="str">
        <f>VLOOKUP(_stats[[#This Row],[tournament]],tournaments_n_rules[],3,0)</f>
        <v>Лето 2025</v>
      </c>
      <c r="N170" s="52">
        <f>VLOOKUP(_stats[[#This Row],[tournament]],tournaments_n_rules[],4,0)</f>
        <v>45809</v>
      </c>
      <c r="O170" s="52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51" t="str">
        <f>VLOOKUP(_stats[[#This Row],[tournament]],tournaments_n_rules[],2,0)</f>
        <v>Барышиха</v>
      </c>
      <c r="M171" s="51" t="str">
        <f>VLOOKUP(_stats[[#This Row],[tournament]],tournaments_n_rules[],3,0)</f>
        <v>Лето 2025</v>
      </c>
      <c r="N171" s="52">
        <f>VLOOKUP(_stats[[#This Row],[tournament]],tournaments_n_rules[],4,0)</f>
        <v>45809</v>
      </c>
      <c r="O171" s="52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51" t="str">
        <f>VLOOKUP(_stats[[#This Row],[tournament]],tournaments_n_rules[],2,0)</f>
        <v>Барышиха</v>
      </c>
      <c r="M172" s="51" t="str">
        <f>VLOOKUP(_stats[[#This Row],[tournament]],tournaments_n_rules[],3,0)</f>
        <v>Лето 2025</v>
      </c>
      <c r="N172" s="52">
        <f>VLOOKUP(_stats[[#This Row],[tournament]],tournaments_n_rules[],4,0)</f>
        <v>45809</v>
      </c>
      <c r="O172" s="52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51" t="str">
        <f>VLOOKUP(_stats[[#This Row],[tournament]],tournaments_n_rules[],2,0)</f>
        <v>Барышиха</v>
      </c>
      <c r="M173" s="51" t="str">
        <f>VLOOKUP(_stats[[#This Row],[tournament]],tournaments_n_rules[],3,0)</f>
        <v>Лето 2025</v>
      </c>
      <c r="N173" s="52">
        <f>VLOOKUP(_stats[[#This Row],[tournament]],tournaments_n_rules[],4,0)</f>
        <v>45809</v>
      </c>
      <c r="O173" s="52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51" t="str">
        <f>VLOOKUP(_stats[[#This Row],[tournament]],tournaments_n_rules[],2,0)</f>
        <v>Барышиха</v>
      </c>
      <c r="M174" s="51" t="str">
        <f>VLOOKUP(_stats[[#This Row],[tournament]],tournaments_n_rules[],3,0)</f>
        <v>Лето 2025</v>
      </c>
      <c r="N174" s="52">
        <f>VLOOKUP(_stats[[#This Row],[tournament]],tournaments_n_rules[],4,0)</f>
        <v>45809</v>
      </c>
      <c r="O174" s="52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51" t="str">
        <f>VLOOKUP(_stats[[#This Row],[tournament]],tournaments_n_rules[],2,0)</f>
        <v>Барышиха</v>
      </c>
      <c r="M175" s="51" t="str">
        <f>VLOOKUP(_stats[[#This Row],[tournament]],tournaments_n_rules[],3,0)</f>
        <v>Лето 2025</v>
      </c>
      <c r="N175" s="52">
        <f>VLOOKUP(_stats[[#This Row],[tournament]],tournaments_n_rules[],4,0)</f>
        <v>45809</v>
      </c>
      <c r="O175" s="52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51" t="str">
        <f>VLOOKUP(_stats[[#This Row],[tournament]],tournaments_n_rules[],2,0)</f>
        <v>Барышиха</v>
      </c>
      <c r="M176" s="51" t="str">
        <f>VLOOKUP(_stats[[#This Row],[tournament]],tournaments_n_rules[],3,0)</f>
        <v>Лето 2025</v>
      </c>
      <c r="N176" s="52">
        <f>VLOOKUP(_stats[[#This Row],[tournament]],tournaments_n_rules[],4,0)</f>
        <v>45809</v>
      </c>
      <c r="O176" s="52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51" t="str">
        <f>VLOOKUP(_stats[[#This Row],[tournament]],tournaments_n_rules[],2,0)</f>
        <v>Барышиха</v>
      </c>
      <c r="M177" s="51" t="str">
        <f>VLOOKUP(_stats[[#This Row],[tournament]],tournaments_n_rules[],3,0)</f>
        <v>Лето 2025</v>
      </c>
      <c r="N177" s="52">
        <f>VLOOKUP(_stats[[#This Row],[tournament]],tournaments_n_rules[],4,0)</f>
        <v>45809</v>
      </c>
      <c r="O177" s="52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51" t="str">
        <f>VLOOKUP(_stats[[#This Row],[tournament]],tournaments_n_rules[],2,0)</f>
        <v>Барышиха</v>
      </c>
      <c r="M178" s="51" t="str">
        <f>VLOOKUP(_stats[[#This Row],[tournament]],tournaments_n_rules[],3,0)</f>
        <v>Лето 2025</v>
      </c>
      <c r="N178" s="52">
        <f>VLOOKUP(_stats[[#This Row],[tournament]],tournaments_n_rules[],4,0)</f>
        <v>45809</v>
      </c>
      <c r="O178" s="52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51" t="str">
        <f>VLOOKUP(_stats[[#This Row],[tournament]],tournaments_n_rules[],2,0)</f>
        <v>Барышиха</v>
      </c>
      <c r="M179" s="51" t="str">
        <f>VLOOKUP(_stats[[#This Row],[tournament]],tournaments_n_rules[],3,0)</f>
        <v>Лето 2025</v>
      </c>
      <c r="N179" s="52">
        <f>VLOOKUP(_stats[[#This Row],[tournament]],tournaments_n_rules[],4,0)</f>
        <v>45809</v>
      </c>
      <c r="O179" s="52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51" t="str">
        <f>VLOOKUP(_stats[[#This Row],[tournament]],tournaments_n_rules[],2,0)</f>
        <v>Барышиха</v>
      </c>
      <c r="M180" s="51" t="str">
        <f>VLOOKUP(_stats[[#This Row],[tournament]],tournaments_n_rules[],3,0)</f>
        <v>Лето 2025</v>
      </c>
      <c r="N180" s="52">
        <f>VLOOKUP(_stats[[#This Row],[tournament]],tournaments_n_rules[],4,0)</f>
        <v>45809</v>
      </c>
      <c r="O180" s="52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51" t="str">
        <f>VLOOKUP(_stats[[#This Row],[tournament]],tournaments_n_rules[],2,0)</f>
        <v>Барышиха</v>
      </c>
      <c r="M181" s="51" t="str">
        <f>VLOOKUP(_stats[[#This Row],[tournament]],tournaments_n_rules[],3,0)</f>
        <v>Лето 2025</v>
      </c>
      <c r="N181" s="52">
        <f>VLOOKUP(_stats[[#This Row],[tournament]],tournaments_n_rules[],4,0)</f>
        <v>45809</v>
      </c>
      <c r="O181" s="52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51" t="str">
        <f>VLOOKUP(_stats[[#This Row],[tournament]],tournaments_n_rules[],2,0)</f>
        <v>Барышиха</v>
      </c>
      <c r="M182" s="51" t="str">
        <f>VLOOKUP(_stats[[#This Row],[tournament]],tournaments_n_rules[],3,0)</f>
        <v>Лето 2025</v>
      </c>
      <c r="N182" s="52">
        <f>VLOOKUP(_stats[[#This Row],[tournament]],tournaments_n_rules[],4,0)</f>
        <v>45809</v>
      </c>
      <c r="O182" s="52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51" t="str">
        <f>VLOOKUP(_stats[[#This Row],[tournament]],tournaments_n_rules[],2,0)</f>
        <v>Барышиха</v>
      </c>
      <c r="M183" s="51" t="str">
        <f>VLOOKUP(_stats[[#This Row],[tournament]],tournaments_n_rules[],3,0)</f>
        <v>Лето 2025</v>
      </c>
      <c r="N183" s="52">
        <f>VLOOKUP(_stats[[#This Row],[tournament]],tournaments_n_rules[],4,0)</f>
        <v>45809</v>
      </c>
      <c r="O183" s="52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51" t="str">
        <f>VLOOKUP(_stats[[#This Row],[tournament]],tournaments_n_rules[],2,0)</f>
        <v>Барышиха</v>
      </c>
      <c r="M184" s="51" t="str">
        <f>VLOOKUP(_stats[[#This Row],[tournament]],tournaments_n_rules[],3,0)</f>
        <v>Лето 2025</v>
      </c>
      <c r="N184" s="52">
        <f>VLOOKUP(_stats[[#This Row],[tournament]],tournaments_n_rules[],4,0)</f>
        <v>45809</v>
      </c>
      <c r="O184" s="52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51" t="str">
        <f>VLOOKUP(_stats[[#This Row],[tournament]],tournaments_n_rules[],2,0)</f>
        <v>Барышиха</v>
      </c>
      <c r="M185" s="51" t="str">
        <f>VLOOKUP(_stats[[#This Row],[tournament]],tournaments_n_rules[],3,0)</f>
        <v>Лето 2025</v>
      </c>
      <c r="N185" s="52">
        <f>VLOOKUP(_stats[[#This Row],[tournament]],tournaments_n_rules[],4,0)</f>
        <v>45809</v>
      </c>
      <c r="O185" s="52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51" t="str">
        <f>VLOOKUP(_stats[[#This Row],[tournament]],tournaments_n_rules[],2,0)</f>
        <v>Барышиха</v>
      </c>
      <c r="M186" s="51" t="str">
        <f>VLOOKUP(_stats[[#This Row],[tournament]],tournaments_n_rules[],3,0)</f>
        <v>Лето 2025</v>
      </c>
      <c r="N186" s="52">
        <f>VLOOKUP(_stats[[#This Row],[tournament]],tournaments_n_rules[],4,0)</f>
        <v>45809</v>
      </c>
      <c r="O186" s="52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51" t="str">
        <f>VLOOKUP(_stats[[#This Row],[tournament]],tournaments_n_rules[],2,0)</f>
        <v>Барышиха</v>
      </c>
      <c r="M187" s="51" t="str">
        <f>VLOOKUP(_stats[[#This Row],[tournament]],tournaments_n_rules[],3,0)</f>
        <v>Лето 2025</v>
      </c>
      <c r="N187" s="52">
        <f>VLOOKUP(_stats[[#This Row],[tournament]],tournaments_n_rules[],4,0)</f>
        <v>45809</v>
      </c>
      <c r="O187" s="52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51" t="str">
        <f>VLOOKUP(_stats[[#This Row],[tournament]],tournaments_n_rules[],2,0)</f>
        <v>Барышиха</v>
      </c>
      <c r="M188" s="51" t="str">
        <f>VLOOKUP(_stats[[#This Row],[tournament]],tournaments_n_rules[],3,0)</f>
        <v>Лето 2025</v>
      </c>
      <c r="N188" s="52">
        <f>VLOOKUP(_stats[[#This Row],[tournament]],tournaments_n_rules[],4,0)</f>
        <v>45809</v>
      </c>
      <c r="O188" s="52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51" t="str">
        <f>VLOOKUP(_stats[[#This Row],[tournament]],tournaments_n_rules[],2,0)</f>
        <v>Барышиха</v>
      </c>
      <c r="M189" s="51" t="str">
        <f>VLOOKUP(_stats[[#This Row],[tournament]],tournaments_n_rules[],3,0)</f>
        <v>Лето 2025</v>
      </c>
      <c r="N189" s="52">
        <f>VLOOKUP(_stats[[#This Row],[tournament]],tournaments_n_rules[],4,0)</f>
        <v>45809</v>
      </c>
      <c r="O189" s="52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51" t="str">
        <f>VLOOKUP(_stats[[#This Row],[tournament]],tournaments_n_rules[],2,0)</f>
        <v>Барышиха</v>
      </c>
      <c r="M190" s="51" t="str">
        <f>VLOOKUP(_stats[[#This Row],[tournament]],tournaments_n_rules[],3,0)</f>
        <v>Лето 2025</v>
      </c>
      <c r="N190" s="52">
        <f>VLOOKUP(_stats[[#This Row],[tournament]],tournaments_n_rules[],4,0)</f>
        <v>45809</v>
      </c>
      <c r="O190" s="52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51" t="str">
        <f>VLOOKUP(_stats[[#This Row],[tournament]],tournaments_n_rules[],2,0)</f>
        <v>Барышиха</v>
      </c>
      <c r="M191" s="51" t="str">
        <f>VLOOKUP(_stats[[#This Row],[tournament]],tournaments_n_rules[],3,0)</f>
        <v>Лето 2025</v>
      </c>
      <c r="N191" s="52">
        <f>VLOOKUP(_stats[[#This Row],[tournament]],tournaments_n_rules[],4,0)</f>
        <v>45809</v>
      </c>
      <c r="O191" s="52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51" t="str">
        <f>VLOOKUP(_stats[[#This Row],[tournament]],tournaments_n_rules[],2,0)</f>
        <v>Барышиха</v>
      </c>
      <c r="M192" s="51" t="str">
        <f>VLOOKUP(_stats[[#This Row],[tournament]],tournaments_n_rules[],3,0)</f>
        <v>Лето 2025</v>
      </c>
      <c r="N192" s="52">
        <f>VLOOKUP(_stats[[#This Row],[tournament]],tournaments_n_rules[],4,0)</f>
        <v>45809</v>
      </c>
      <c r="O192" s="52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51" t="str">
        <f>VLOOKUP(_stats[[#This Row],[tournament]],tournaments_n_rules[],2,0)</f>
        <v>Барышиха</v>
      </c>
      <c r="M193" s="51" t="str">
        <f>VLOOKUP(_stats[[#This Row],[tournament]],tournaments_n_rules[],3,0)</f>
        <v>Лето 2025</v>
      </c>
      <c r="N193" s="52">
        <f>VLOOKUP(_stats[[#This Row],[tournament]],tournaments_n_rules[],4,0)</f>
        <v>45809</v>
      </c>
      <c r="O193" s="52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51" t="str">
        <f>VLOOKUP(_stats[[#This Row],[tournament]],tournaments_n_rules[],2,0)</f>
        <v>Барышиха</v>
      </c>
      <c r="M194" s="51" t="str">
        <f>VLOOKUP(_stats[[#This Row],[tournament]],tournaments_n_rules[],3,0)</f>
        <v>Лето 2025</v>
      </c>
      <c r="N194" s="52">
        <f>VLOOKUP(_stats[[#This Row],[tournament]],tournaments_n_rules[],4,0)</f>
        <v>45809</v>
      </c>
      <c r="O194" s="52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51" t="str">
        <f>VLOOKUP(_stats[[#This Row],[tournament]],tournaments_n_rules[],2,0)</f>
        <v>Барышиха</v>
      </c>
      <c r="M195" s="51" t="str">
        <f>VLOOKUP(_stats[[#This Row],[tournament]],tournaments_n_rules[],3,0)</f>
        <v>Лето 2025</v>
      </c>
      <c r="N195" s="52">
        <f>VLOOKUP(_stats[[#This Row],[tournament]],tournaments_n_rules[],4,0)</f>
        <v>45809</v>
      </c>
      <c r="O195" s="52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51" t="str">
        <f>VLOOKUP(_stats[[#This Row],[tournament]],tournaments_n_rules[],2,0)</f>
        <v>Барышиха</v>
      </c>
      <c r="M196" s="51" t="str">
        <f>VLOOKUP(_stats[[#This Row],[tournament]],tournaments_n_rules[],3,0)</f>
        <v>Лето 2025</v>
      </c>
      <c r="N196" s="52">
        <f>VLOOKUP(_stats[[#This Row],[tournament]],tournaments_n_rules[],4,0)</f>
        <v>45809</v>
      </c>
      <c r="O196" s="52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51" t="str">
        <f>VLOOKUP(_stats[[#This Row],[tournament]],tournaments_n_rules[],2,0)</f>
        <v>Барышиха</v>
      </c>
      <c r="M197" s="51" t="str">
        <f>VLOOKUP(_stats[[#This Row],[tournament]],tournaments_n_rules[],3,0)</f>
        <v>Лето 2025</v>
      </c>
      <c r="N197" s="52">
        <f>VLOOKUP(_stats[[#This Row],[tournament]],tournaments_n_rules[],4,0)</f>
        <v>45809</v>
      </c>
      <c r="O197" s="52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51" t="str">
        <f>VLOOKUP(_stats[[#This Row],[tournament]],tournaments_n_rules[],2,0)</f>
        <v>Барышиха</v>
      </c>
      <c r="M198" s="51" t="str">
        <f>VLOOKUP(_stats[[#This Row],[tournament]],tournaments_n_rules[],3,0)</f>
        <v>Лето 2025</v>
      </c>
      <c r="N198" s="52">
        <f>VLOOKUP(_stats[[#This Row],[tournament]],tournaments_n_rules[],4,0)</f>
        <v>45809</v>
      </c>
      <c r="O198" s="52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51" t="str">
        <f>VLOOKUP(_stats[[#This Row],[tournament]],tournaments_n_rules[],2,0)</f>
        <v>Барышиха</v>
      </c>
      <c r="M199" s="51" t="str">
        <f>VLOOKUP(_stats[[#This Row],[tournament]],tournaments_n_rules[],3,0)</f>
        <v>Лето 2025</v>
      </c>
      <c r="N199" s="52">
        <f>VLOOKUP(_stats[[#This Row],[tournament]],tournaments_n_rules[],4,0)</f>
        <v>45809</v>
      </c>
      <c r="O199" s="52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51" t="str">
        <f>VLOOKUP(_stats[[#This Row],[tournament]],tournaments_n_rules[],2,0)</f>
        <v>Барышиха</v>
      </c>
      <c r="M200" s="51" t="str">
        <f>VLOOKUP(_stats[[#This Row],[tournament]],tournaments_n_rules[],3,0)</f>
        <v>Лето 2025</v>
      </c>
      <c r="N200" s="52">
        <f>VLOOKUP(_stats[[#This Row],[tournament]],tournaments_n_rules[],4,0)</f>
        <v>45809</v>
      </c>
      <c r="O200" s="52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51" t="str">
        <f>VLOOKUP(_stats[[#This Row],[tournament]],tournaments_n_rules[],2,0)</f>
        <v>Барышиха</v>
      </c>
      <c r="M201" s="51" t="str">
        <f>VLOOKUP(_stats[[#This Row],[tournament]],tournaments_n_rules[],3,0)</f>
        <v>Лето 2025</v>
      </c>
      <c r="N201" s="52">
        <f>VLOOKUP(_stats[[#This Row],[tournament]],tournaments_n_rules[],4,0)</f>
        <v>45809</v>
      </c>
      <c r="O201" s="52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51" t="str">
        <f>VLOOKUP(_stats[[#This Row],[tournament]],tournaments_n_rules[],2,0)</f>
        <v>Барышиха</v>
      </c>
      <c r="M202" s="51" t="str">
        <f>VLOOKUP(_stats[[#This Row],[tournament]],tournaments_n_rules[],3,0)</f>
        <v>Лето 2025</v>
      </c>
      <c r="N202" s="52">
        <f>VLOOKUP(_stats[[#This Row],[tournament]],tournaments_n_rules[],4,0)</f>
        <v>45809</v>
      </c>
      <c r="O202" s="52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51" t="str">
        <f>VLOOKUP(_stats[[#This Row],[tournament]],tournaments_n_rules[],2,0)</f>
        <v>Барышиха</v>
      </c>
      <c r="M203" s="51" t="str">
        <f>VLOOKUP(_stats[[#This Row],[tournament]],tournaments_n_rules[],3,0)</f>
        <v>Лето 2025</v>
      </c>
      <c r="N203" s="52">
        <f>VLOOKUP(_stats[[#This Row],[tournament]],tournaments_n_rules[],4,0)</f>
        <v>45809</v>
      </c>
      <c r="O203" s="52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51" t="str">
        <f>VLOOKUP(_stats[[#This Row],[tournament]],tournaments_n_rules[],2,0)</f>
        <v>Барышиха</v>
      </c>
      <c r="M204" s="51" t="str">
        <f>VLOOKUP(_stats[[#This Row],[tournament]],tournaments_n_rules[],3,0)</f>
        <v>Лето 2025</v>
      </c>
      <c r="N204" s="52">
        <f>VLOOKUP(_stats[[#This Row],[tournament]],tournaments_n_rules[],4,0)</f>
        <v>45809</v>
      </c>
      <c r="O204" s="52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51" t="str">
        <f>VLOOKUP(_stats[[#This Row],[tournament]],tournaments_n_rules[],2,0)</f>
        <v>Барышиха</v>
      </c>
      <c r="M205" s="51" t="str">
        <f>VLOOKUP(_stats[[#This Row],[tournament]],tournaments_n_rules[],3,0)</f>
        <v>Лето 2025</v>
      </c>
      <c r="N205" s="52">
        <f>VLOOKUP(_stats[[#This Row],[tournament]],tournaments_n_rules[],4,0)</f>
        <v>45809</v>
      </c>
      <c r="O205" s="52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51" t="str">
        <f>VLOOKUP(_stats[[#This Row],[tournament]],tournaments_n_rules[],2,0)</f>
        <v>Барышиха</v>
      </c>
      <c r="M206" s="51" t="str">
        <f>VLOOKUP(_stats[[#This Row],[tournament]],tournaments_n_rules[],3,0)</f>
        <v>Лето 2025</v>
      </c>
      <c r="N206" s="52">
        <f>VLOOKUP(_stats[[#This Row],[tournament]],tournaments_n_rules[],4,0)</f>
        <v>45809</v>
      </c>
      <c r="O206" s="52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51" t="str">
        <f>VLOOKUP(_stats[[#This Row],[tournament]],tournaments_n_rules[],2,0)</f>
        <v>Барышиха</v>
      </c>
      <c r="M207" s="51" t="str">
        <f>VLOOKUP(_stats[[#This Row],[tournament]],tournaments_n_rules[],3,0)</f>
        <v>Лето 2025</v>
      </c>
      <c r="N207" s="52">
        <f>VLOOKUP(_stats[[#This Row],[tournament]],tournaments_n_rules[],4,0)</f>
        <v>45809</v>
      </c>
      <c r="O207" s="52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51" t="str">
        <f>VLOOKUP(_stats[[#This Row],[tournament]],tournaments_n_rules[],2,0)</f>
        <v>Барышиха</v>
      </c>
      <c r="M208" s="51" t="str">
        <f>VLOOKUP(_stats[[#This Row],[tournament]],tournaments_n_rules[],3,0)</f>
        <v>Лето 2025</v>
      </c>
      <c r="N208" s="52">
        <f>VLOOKUP(_stats[[#This Row],[tournament]],tournaments_n_rules[],4,0)</f>
        <v>45809</v>
      </c>
      <c r="O208" s="52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51" t="str">
        <f>VLOOKUP(_stats[[#This Row],[tournament]],tournaments_n_rules[],2,0)</f>
        <v>Барышиха</v>
      </c>
      <c r="M209" s="51" t="str">
        <f>VLOOKUP(_stats[[#This Row],[tournament]],tournaments_n_rules[],3,0)</f>
        <v>Лето 2025</v>
      </c>
      <c r="N209" s="52">
        <f>VLOOKUP(_stats[[#This Row],[tournament]],tournaments_n_rules[],4,0)</f>
        <v>45809</v>
      </c>
      <c r="O209" s="52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51" t="str">
        <f>VLOOKUP(_stats[[#This Row],[tournament]],tournaments_n_rules[],2,0)</f>
        <v>Барышиха</v>
      </c>
      <c r="M210" s="51" t="str">
        <f>VLOOKUP(_stats[[#This Row],[tournament]],tournaments_n_rules[],3,0)</f>
        <v>Лето 2025</v>
      </c>
      <c r="N210" s="52">
        <f>VLOOKUP(_stats[[#This Row],[tournament]],tournaments_n_rules[],4,0)</f>
        <v>45809</v>
      </c>
      <c r="O210" s="52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51" t="str">
        <f>VLOOKUP(_stats[[#This Row],[tournament]],tournaments_n_rules[],2,0)</f>
        <v>Барышиха</v>
      </c>
      <c r="M211" s="51" t="str">
        <f>VLOOKUP(_stats[[#This Row],[tournament]],tournaments_n_rules[],3,0)</f>
        <v>Лето 2025</v>
      </c>
      <c r="N211" s="52">
        <f>VLOOKUP(_stats[[#This Row],[tournament]],tournaments_n_rules[],4,0)</f>
        <v>45809</v>
      </c>
      <c r="O211" s="52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51" t="str">
        <f>VLOOKUP(_stats[[#This Row],[tournament]],tournaments_n_rules[],2,0)</f>
        <v>Барышиха</v>
      </c>
      <c r="M212" s="51" t="str">
        <f>VLOOKUP(_stats[[#This Row],[tournament]],tournaments_n_rules[],3,0)</f>
        <v>Лето 2025</v>
      </c>
      <c r="N212" s="52">
        <f>VLOOKUP(_stats[[#This Row],[tournament]],tournaments_n_rules[],4,0)</f>
        <v>45809</v>
      </c>
      <c r="O212" s="52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51" t="str">
        <f>VLOOKUP(_stats[[#This Row],[tournament]],tournaments_n_rules[],2,0)</f>
        <v>Барышиха</v>
      </c>
      <c r="M213" s="51" t="str">
        <f>VLOOKUP(_stats[[#This Row],[tournament]],tournaments_n_rules[],3,0)</f>
        <v>Лето 2025</v>
      </c>
      <c r="N213" s="52">
        <f>VLOOKUP(_stats[[#This Row],[tournament]],tournaments_n_rules[],4,0)</f>
        <v>45809</v>
      </c>
      <c r="O213" s="52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51" t="str">
        <f>VLOOKUP(_stats[[#This Row],[tournament]],tournaments_n_rules[],2,0)</f>
        <v>Барышиха</v>
      </c>
      <c r="M214" s="51" t="str">
        <f>VLOOKUP(_stats[[#This Row],[tournament]],tournaments_n_rules[],3,0)</f>
        <v>Лето 2025</v>
      </c>
      <c r="N214" s="52">
        <f>VLOOKUP(_stats[[#This Row],[tournament]],tournaments_n_rules[],4,0)</f>
        <v>45809</v>
      </c>
      <c r="O214" s="52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51" t="str">
        <f>VLOOKUP(_stats[[#This Row],[tournament]],tournaments_n_rules[],2,0)</f>
        <v>Барышиха</v>
      </c>
      <c r="M215" s="51" t="str">
        <f>VLOOKUP(_stats[[#This Row],[tournament]],tournaments_n_rules[],3,0)</f>
        <v>Лето 2025</v>
      </c>
      <c r="N215" s="52">
        <f>VLOOKUP(_stats[[#This Row],[tournament]],tournaments_n_rules[],4,0)</f>
        <v>45809</v>
      </c>
      <c r="O215" s="52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51" t="str">
        <f>VLOOKUP(_stats[[#This Row],[tournament]],tournaments_n_rules[],2,0)</f>
        <v>Барышиха</v>
      </c>
      <c r="M216" s="51" t="str">
        <f>VLOOKUP(_stats[[#This Row],[tournament]],tournaments_n_rules[],3,0)</f>
        <v>Лето 2025</v>
      </c>
      <c r="N216" s="52">
        <f>VLOOKUP(_stats[[#This Row],[tournament]],tournaments_n_rules[],4,0)</f>
        <v>45809</v>
      </c>
      <c r="O216" s="52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51" t="str">
        <f>VLOOKUP(_stats[[#This Row],[tournament]],tournaments_n_rules[],2,0)</f>
        <v>Барышиха</v>
      </c>
      <c r="M217" s="51" t="str">
        <f>VLOOKUP(_stats[[#This Row],[tournament]],tournaments_n_rules[],3,0)</f>
        <v>Лето 2025</v>
      </c>
      <c r="N217" s="52">
        <f>VLOOKUP(_stats[[#This Row],[tournament]],tournaments_n_rules[],4,0)</f>
        <v>45809</v>
      </c>
      <c r="O217" s="52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51" t="str">
        <f>VLOOKUP(_stats[[#This Row],[tournament]],tournaments_n_rules[],2,0)</f>
        <v>Барышиха</v>
      </c>
      <c r="M218" s="51" t="str">
        <f>VLOOKUP(_stats[[#This Row],[tournament]],tournaments_n_rules[],3,0)</f>
        <v>Лето 2025</v>
      </c>
      <c r="N218" s="52">
        <f>VLOOKUP(_stats[[#This Row],[tournament]],tournaments_n_rules[],4,0)</f>
        <v>45809</v>
      </c>
      <c r="O218" s="52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51" t="str">
        <f>VLOOKUP(_stats[[#This Row],[tournament]],tournaments_n_rules[],2,0)</f>
        <v>Барышиха</v>
      </c>
      <c r="M219" s="51" t="str">
        <f>VLOOKUP(_stats[[#This Row],[tournament]],tournaments_n_rules[],3,0)</f>
        <v>Лето 2025</v>
      </c>
      <c r="N219" s="52">
        <f>VLOOKUP(_stats[[#This Row],[tournament]],tournaments_n_rules[],4,0)</f>
        <v>45809</v>
      </c>
      <c r="O219" s="52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51" t="str">
        <f>VLOOKUP(_stats[[#This Row],[tournament]],tournaments_n_rules[],2,0)</f>
        <v>Барышиха</v>
      </c>
      <c r="M220" s="51" t="str">
        <f>VLOOKUP(_stats[[#This Row],[tournament]],tournaments_n_rules[],3,0)</f>
        <v>Лето 2025</v>
      </c>
      <c r="N220" s="52">
        <f>VLOOKUP(_stats[[#This Row],[tournament]],tournaments_n_rules[],4,0)</f>
        <v>45809</v>
      </c>
      <c r="O220" s="52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51" t="str">
        <f>VLOOKUP(_stats[[#This Row],[tournament]],tournaments_n_rules[],2,0)</f>
        <v>Барышиха</v>
      </c>
      <c r="M221" s="51" t="str">
        <f>VLOOKUP(_stats[[#This Row],[tournament]],tournaments_n_rules[],3,0)</f>
        <v>Лето 2025</v>
      </c>
      <c r="N221" s="52">
        <f>VLOOKUP(_stats[[#This Row],[tournament]],tournaments_n_rules[],4,0)</f>
        <v>45809</v>
      </c>
      <c r="O221" s="52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51" t="str">
        <f>VLOOKUP(_stats[[#This Row],[tournament]],tournaments_n_rules[],2,0)</f>
        <v>Барышиха</v>
      </c>
      <c r="M222" s="51" t="str">
        <f>VLOOKUP(_stats[[#This Row],[tournament]],tournaments_n_rules[],3,0)</f>
        <v>Лето 2025</v>
      </c>
      <c r="N222" s="52">
        <f>VLOOKUP(_stats[[#This Row],[tournament]],tournaments_n_rules[],4,0)</f>
        <v>45809</v>
      </c>
      <c r="O222" s="52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51" t="str">
        <f>VLOOKUP(_stats[[#This Row],[tournament]],tournaments_n_rules[],2,0)</f>
        <v>Барышиха</v>
      </c>
      <c r="M223" s="51" t="str">
        <f>VLOOKUP(_stats[[#This Row],[tournament]],tournaments_n_rules[],3,0)</f>
        <v>Лето 2025</v>
      </c>
      <c r="N223" s="52">
        <f>VLOOKUP(_stats[[#This Row],[tournament]],tournaments_n_rules[],4,0)</f>
        <v>45809</v>
      </c>
      <c r="O223" s="52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51" t="str">
        <f>VLOOKUP(_stats[[#This Row],[tournament]],tournaments_n_rules[],2,0)</f>
        <v>Барышиха</v>
      </c>
      <c r="M224" s="51" t="str">
        <f>VLOOKUP(_stats[[#This Row],[tournament]],tournaments_n_rules[],3,0)</f>
        <v>Лето 2025</v>
      </c>
      <c r="N224" s="52">
        <f>VLOOKUP(_stats[[#This Row],[tournament]],tournaments_n_rules[],4,0)</f>
        <v>45809</v>
      </c>
      <c r="O224" s="52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51" t="str">
        <f>VLOOKUP(_stats[[#This Row],[tournament]],tournaments_n_rules[],2,0)</f>
        <v>Барышиха</v>
      </c>
      <c r="M225" s="51" t="str">
        <f>VLOOKUP(_stats[[#This Row],[tournament]],tournaments_n_rules[],3,0)</f>
        <v>Лето 2025</v>
      </c>
      <c r="N225" s="52">
        <f>VLOOKUP(_stats[[#This Row],[tournament]],tournaments_n_rules[],4,0)</f>
        <v>45809</v>
      </c>
      <c r="O225" s="52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51" t="str">
        <f>VLOOKUP(_stats[[#This Row],[tournament]],tournaments_n_rules[],2,0)</f>
        <v>Барышиха</v>
      </c>
      <c r="M226" s="51" t="str">
        <f>VLOOKUP(_stats[[#This Row],[tournament]],tournaments_n_rules[],3,0)</f>
        <v>Лето 2025</v>
      </c>
      <c r="N226" s="52">
        <f>VLOOKUP(_stats[[#This Row],[tournament]],tournaments_n_rules[],4,0)</f>
        <v>45809</v>
      </c>
      <c r="O226" s="52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51" t="str">
        <f>VLOOKUP(_stats[[#This Row],[tournament]],tournaments_n_rules[],2,0)</f>
        <v>Барышиха</v>
      </c>
      <c r="M227" s="51" t="str">
        <f>VLOOKUP(_stats[[#This Row],[tournament]],tournaments_n_rules[],3,0)</f>
        <v>Лето 2025</v>
      </c>
      <c r="N227" s="52">
        <f>VLOOKUP(_stats[[#This Row],[tournament]],tournaments_n_rules[],4,0)</f>
        <v>45809</v>
      </c>
      <c r="O227" s="52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51" t="str">
        <f>VLOOKUP(_stats[[#This Row],[tournament]],tournaments_n_rules[],2,0)</f>
        <v>Барышиха</v>
      </c>
      <c r="M228" s="51" t="str">
        <f>VLOOKUP(_stats[[#This Row],[tournament]],tournaments_n_rules[],3,0)</f>
        <v>Лето 2025</v>
      </c>
      <c r="N228" s="52">
        <f>VLOOKUP(_stats[[#This Row],[tournament]],tournaments_n_rules[],4,0)</f>
        <v>45809</v>
      </c>
      <c r="O228" s="52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51" t="str">
        <f>VLOOKUP(_stats[[#This Row],[tournament]],tournaments_n_rules[],2,0)</f>
        <v>Барышиха</v>
      </c>
      <c r="M229" s="51" t="str">
        <f>VLOOKUP(_stats[[#This Row],[tournament]],tournaments_n_rules[],3,0)</f>
        <v>Лето 2025</v>
      </c>
      <c r="N229" s="52">
        <f>VLOOKUP(_stats[[#This Row],[tournament]],tournaments_n_rules[],4,0)</f>
        <v>45809</v>
      </c>
      <c r="O229" s="52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51" t="str">
        <f>VLOOKUP(_stats[[#This Row],[tournament]],tournaments_n_rules[],2,0)</f>
        <v>Барышиха</v>
      </c>
      <c r="M230" s="51" t="str">
        <f>VLOOKUP(_stats[[#This Row],[tournament]],tournaments_n_rules[],3,0)</f>
        <v>Лето 2025</v>
      </c>
      <c r="N230" s="52">
        <f>VLOOKUP(_stats[[#This Row],[tournament]],tournaments_n_rules[],4,0)</f>
        <v>45809</v>
      </c>
      <c r="O230" s="52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51" t="str">
        <f>VLOOKUP(_stats[[#This Row],[tournament]],tournaments_n_rules[],2,0)</f>
        <v>Барышиха</v>
      </c>
      <c r="M231" s="51" t="str">
        <f>VLOOKUP(_stats[[#This Row],[tournament]],tournaments_n_rules[],3,0)</f>
        <v>Лето 2025</v>
      </c>
      <c r="N231" s="52">
        <f>VLOOKUP(_stats[[#This Row],[tournament]],tournaments_n_rules[],4,0)</f>
        <v>45809</v>
      </c>
      <c r="O231" s="52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51" t="str">
        <f>VLOOKUP(_stats[[#This Row],[tournament]],tournaments_n_rules[],2,0)</f>
        <v>Барышиха</v>
      </c>
      <c r="M232" s="51" t="str">
        <f>VLOOKUP(_stats[[#This Row],[tournament]],tournaments_n_rules[],3,0)</f>
        <v>Лето 2025</v>
      </c>
      <c r="N232" s="52">
        <f>VLOOKUP(_stats[[#This Row],[tournament]],tournaments_n_rules[],4,0)</f>
        <v>45809</v>
      </c>
      <c r="O232" s="52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51" t="str">
        <f>VLOOKUP(_stats[[#This Row],[tournament]],tournaments_n_rules[],2,0)</f>
        <v>Барышиха</v>
      </c>
      <c r="M233" s="51" t="str">
        <f>VLOOKUP(_stats[[#This Row],[tournament]],tournaments_n_rules[],3,0)</f>
        <v>Лето 2025</v>
      </c>
      <c r="N233" s="52">
        <f>VLOOKUP(_stats[[#This Row],[tournament]],tournaments_n_rules[],4,0)</f>
        <v>45809</v>
      </c>
      <c r="O233" s="52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51" t="str">
        <f>VLOOKUP(_stats[[#This Row],[tournament]],tournaments_n_rules[],2,0)</f>
        <v>Барышиха</v>
      </c>
      <c r="M234" s="51" t="str">
        <f>VLOOKUP(_stats[[#This Row],[tournament]],tournaments_n_rules[],3,0)</f>
        <v>Лето 2025</v>
      </c>
      <c r="N234" s="52">
        <f>VLOOKUP(_stats[[#This Row],[tournament]],tournaments_n_rules[],4,0)</f>
        <v>45809</v>
      </c>
      <c r="O234" s="52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51" t="str">
        <f>VLOOKUP(_stats[[#This Row],[tournament]],tournaments_n_rules[],2,0)</f>
        <v>Барышиха</v>
      </c>
      <c r="M235" s="51" t="str">
        <f>VLOOKUP(_stats[[#This Row],[tournament]],tournaments_n_rules[],3,0)</f>
        <v>Лето 2025</v>
      </c>
      <c r="N235" s="52">
        <f>VLOOKUP(_stats[[#This Row],[tournament]],tournaments_n_rules[],4,0)</f>
        <v>45809</v>
      </c>
      <c r="O235" s="52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51" t="str">
        <f>VLOOKUP(_stats[[#This Row],[tournament]],tournaments_n_rules[],2,0)</f>
        <v>Барышиха</v>
      </c>
      <c r="M236" s="51" t="str">
        <f>VLOOKUP(_stats[[#This Row],[tournament]],tournaments_n_rules[],3,0)</f>
        <v>Лето 2025</v>
      </c>
      <c r="N236" s="52">
        <f>VLOOKUP(_stats[[#This Row],[tournament]],tournaments_n_rules[],4,0)</f>
        <v>45809</v>
      </c>
      <c r="O236" s="52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51" t="str">
        <f>VLOOKUP(_stats[[#This Row],[tournament]],tournaments_n_rules[],2,0)</f>
        <v>Барышиха</v>
      </c>
      <c r="M237" s="51" t="str">
        <f>VLOOKUP(_stats[[#This Row],[tournament]],tournaments_n_rules[],3,0)</f>
        <v>Лето 2025</v>
      </c>
      <c r="N237" s="52">
        <f>VLOOKUP(_stats[[#This Row],[tournament]],tournaments_n_rules[],4,0)</f>
        <v>45809</v>
      </c>
      <c r="O237" s="52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51" t="str">
        <f>VLOOKUP(_stats[[#This Row],[tournament]],tournaments_n_rules[],2,0)</f>
        <v>Барышиха</v>
      </c>
      <c r="M238" s="51" t="str">
        <f>VLOOKUP(_stats[[#This Row],[tournament]],tournaments_n_rules[],3,0)</f>
        <v>Лето 2025</v>
      </c>
      <c r="N238" s="52">
        <f>VLOOKUP(_stats[[#This Row],[tournament]],tournaments_n_rules[],4,0)</f>
        <v>45809</v>
      </c>
      <c r="O238" s="52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51" t="str">
        <f>VLOOKUP(_stats[[#This Row],[tournament]],tournaments_n_rules[],2,0)</f>
        <v>Барышиха</v>
      </c>
      <c r="M239" s="51" t="str">
        <f>VLOOKUP(_stats[[#This Row],[tournament]],tournaments_n_rules[],3,0)</f>
        <v>Лето 2025</v>
      </c>
      <c r="N239" s="52">
        <f>VLOOKUP(_stats[[#This Row],[tournament]],tournaments_n_rules[],4,0)</f>
        <v>45809</v>
      </c>
      <c r="O239" s="52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51" t="str">
        <f>VLOOKUP(_stats[[#This Row],[tournament]],tournaments_n_rules[],2,0)</f>
        <v>Барышиха</v>
      </c>
      <c r="M240" s="51" t="str">
        <f>VLOOKUP(_stats[[#This Row],[tournament]],tournaments_n_rules[],3,0)</f>
        <v>Лето 2025</v>
      </c>
      <c r="N240" s="52">
        <f>VLOOKUP(_stats[[#This Row],[tournament]],tournaments_n_rules[],4,0)</f>
        <v>45809</v>
      </c>
      <c r="O240" s="52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51" t="str">
        <f>VLOOKUP(_stats[[#This Row],[tournament]],tournaments_n_rules[],2,0)</f>
        <v>Барышиха</v>
      </c>
      <c r="M241" s="51" t="str">
        <f>VLOOKUP(_stats[[#This Row],[tournament]],tournaments_n_rules[],3,0)</f>
        <v>Лето 2025</v>
      </c>
      <c r="N241" s="52">
        <f>VLOOKUP(_stats[[#This Row],[tournament]],tournaments_n_rules[],4,0)</f>
        <v>45809</v>
      </c>
      <c r="O241" s="52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51" t="str">
        <f>VLOOKUP(_stats[[#This Row],[tournament]],tournaments_n_rules[],2,0)</f>
        <v>Барышиха</v>
      </c>
      <c r="M242" s="51" t="str">
        <f>VLOOKUP(_stats[[#This Row],[tournament]],tournaments_n_rules[],3,0)</f>
        <v>Лето 2025</v>
      </c>
      <c r="N242" s="52">
        <f>VLOOKUP(_stats[[#This Row],[tournament]],tournaments_n_rules[],4,0)</f>
        <v>45809</v>
      </c>
      <c r="O242" s="52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51" t="str">
        <f>VLOOKUP(_stats[[#This Row],[tournament]],tournaments_n_rules[],2,0)</f>
        <v>Барышиха</v>
      </c>
      <c r="M243" s="51" t="str">
        <f>VLOOKUP(_stats[[#This Row],[tournament]],tournaments_n_rules[],3,0)</f>
        <v>Лето 2025</v>
      </c>
      <c r="N243" s="52">
        <f>VLOOKUP(_stats[[#This Row],[tournament]],tournaments_n_rules[],4,0)</f>
        <v>45809</v>
      </c>
      <c r="O243" s="52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51" t="str">
        <f>VLOOKUP(_stats[[#This Row],[tournament]],tournaments_n_rules[],2,0)</f>
        <v>Барышиха</v>
      </c>
      <c r="M244" s="51" t="str">
        <f>VLOOKUP(_stats[[#This Row],[tournament]],tournaments_n_rules[],3,0)</f>
        <v>Лето 2025</v>
      </c>
      <c r="N244" s="52">
        <f>VLOOKUP(_stats[[#This Row],[tournament]],tournaments_n_rules[],4,0)</f>
        <v>45809</v>
      </c>
      <c r="O244" s="52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51" t="str">
        <f>VLOOKUP(_stats[[#This Row],[tournament]],tournaments_n_rules[],2,0)</f>
        <v>Барышиха</v>
      </c>
      <c r="M245" s="51" t="str">
        <f>VLOOKUP(_stats[[#This Row],[tournament]],tournaments_n_rules[],3,0)</f>
        <v>Лето 2025</v>
      </c>
      <c r="N245" s="52">
        <f>VLOOKUP(_stats[[#This Row],[tournament]],tournaments_n_rules[],4,0)</f>
        <v>45809</v>
      </c>
      <c r="O245" s="52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51" t="str">
        <f>VLOOKUP(_stats[[#This Row],[tournament]],tournaments_n_rules[],2,0)</f>
        <v>Барышиха</v>
      </c>
      <c r="M246" s="51" t="str">
        <f>VLOOKUP(_stats[[#This Row],[tournament]],tournaments_n_rules[],3,0)</f>
        <v>Лето 2025</v>
      </c>
      <c r="N246" s="52">
        <f>VLOOKUP(_stats[[#This Row],[tournament]],tournaments_n_rules[],4,0)</f>
        <v>45809</v>
      </c>
      <c r="O246" s="52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51" t="str">
        <f>VLOOKUP(_stats[[#This Row],[tournament]],tournaments_n_rules[],2,0)</f>
        <v>Барышиха</v>
      </c>
      <c r="M247" s="51" t="str">
        <f>VLOOKUP(_stats[[#This Row],[tournament]],tournaments_n_rules[],3,0)</f>
        <v>Лето 2025</v>
      </c>
      <c r="N247" s="52">
        <f>VLOOKUP(_stats[[#This Row],[tournament]],tournaments_n_rules[],4,0)</f>
        <v>45809</v>
      </c>
      <c r="O247" s="52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51" t="str">
        <f>VLOOKUP(_stats[[#This Row],[tournament]],tournaments_n_rules[],2,0)</f>
        <v>Барышиха</v>
      </c>
      <c r="M248" s="51" t="str">
        <f>VLOOKUP(_stats[[#This Row],[tournament]],tournaments_n_rules[],3,0)</f>
        <v>Лето 2025</v>
      </c>
      <c r="N248" s="52">
        <f>VLOOKUP(_stats[[#This Row],[tournament]],tournaments_n_rules[],4,0)</f>
        <v>45809</v>
      </c>
      <c r="O248" s="52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51" t="str">
        <f>VLOOKUP(_stats[[#This Row],[tournament]],tournaments_n_rules[],2,0)</f>
        <v>Барышиха</v>
      </c>
      <c r="M249" s="51" t="str">
        <f>VLOOKUP(_stats[[#This Row],[tournament]],tournaments_n_rules[],3,0)</f>
        <v>Лето 2025</v>
      </c>
      <c r="N249" s="52">
        <f>VLOOKUP(_stats[[#This Row],[tournament]],tournaments_n_rules[],4,0)</f>
        <v>45809</v>
      </c>
      <c r="O249" s="52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51" t="str">
        <f>VLOOKUP(_stats[[#This Row],[tournament]],tournaments_n_rules[],2,0)</f>
        <v>Барышиха</v>
      </c>
      <c r="M250" s="51" t="str">
        <f>VLOOKUP(_stats[[#This Row],[tournament]],tournaments_n_rules[],3,0)</f>
        <v>Лето 2025</v>
      </c>
      <c r="N250" s="52">
        <f>VLOOKUP(_stats[[#This Row],[tournament]],tournaments_n_rules[],4,0)</f>
        <v>45809</v>
      </c>
      <c r="O250" s="52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51" t="str">
        <f>VLOOKUP(_stats[[#This Row],[tournament]],tournaments_n_rules[],2,0)</f>
        <v>Барышиха</v>
      </c>
      <c r="M251" s="51" t="str">
        <f>VLOOKUP(_stats[[#This Row],[tournament]],tournaments_n_rules[],3,0)</f>
        <v>Лето 2025</v>
      </c>
      <c r="N251" s="52">
        <f>VLOOKUP(_stats[[#This Row],[tournament]],tournaments_n_rules[],4,0)</f>
        <v>45809</v>
      </c>
      <c r="O251" s="52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51" t="str">
        <f>VLOOKUP(_stats[[#This Row],[tournament]],tournaments_n_rules[],2,0)</f>
        <v>Барышиха</v>
      </c>
      <c r="M252" s="51" t="str">
        <f>VLOOKUP(_stats[[#This Row],[tournament]],tournaments_n_rules[],3,0)</f>
        <v>Лето 2025</v>
      </c>
      <c r="N252" s="52">
        <f>VLOOKUP(_stats[[#This Row],[tournament]],tournaments_n_rules[],4,0)</f>
        <v>45809</v>
      </c>
      <c r="O252" s="52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51" t="str">
        <f>VLOOKUP(_stats[[#This Row],[tournament]],tournaments_n_rules[],2,0)</f>
        <v>Барышиха</v>
      </c>
      <c r="M253" s="51" t="str">
        <f>VLOOKUP(_stats[[#This Row],[tournament]],tournaments_n_rules[],3,0)</f>
        <v>Лето 2025</v>
      </c>
      <c r="N253" s="52">
        <f>VLOOKUP(_stats[[#This Row],[tournament]],tournaments_n_rules[],4,0)</f>
        <v>45809</v>
      </c>
      <c r="O253" s="52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51" t="str">
        <f>VLOOKUP(_stats[[#This Row],[tournament]],tournaments_n_rules[],2,0)</f>
        <v>Барышиха</v>
      </c>
      <c r="M254" s="51" t="str">
        <f>VLOOKUP(_stats[[#This Row],[tournament]],tournaments_n_rules[],3,0)</f>
        <v>Лето 2025</v>
      </c>
      <c r="N254" s="52">
        <f>VLOOKUP(_stats[[#This Row],[tournament]],tournaments_n_rules[],4,0)</f>
        <v>45809</v>
      </c>
      <c r="O254" s="52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51" t="str">
        <f>VLOOKUP(_stats[[#This Row],[tournament]],tournaments_n_rules[],2,0)</f>
        <v>Барышиха</v>
      </c>
      <c r="M255" s="51" t="str">
        <f>VLOOKUP(_stats[[#This Row],[tournament]],tournaments_n_rules[],3,0)</f>
        <v>Лето 2025</v>
      </c>
      <c r="N255" s="52">
        <f>VLOOKUP(_stats[[#This Row],[tournament]],tournaments_n_rules[],4,0)</f>
        <v>45809</v>
      </c>
      <c r="O255" s="52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51" t="str">
        <f>VLOOKUP(_stats[[#This Row],[tournament]],tournaments_n_rules[],2,0)</f>
        <v>Барышиха</v>
      </c>
      <c r="M256" s="51" t="str">
        <f>VLOOKUP(_stats[[#This Row],[tournament]],tournaments_n_rules[],3,0)</f>
        <v>Лето 2025</v>
      </c>
      <c r="N256" s="52">
        <f>VLOOKUP(_stats[[#This Row],[tournament]],tournaments_n_rules[],4,0)</f>
        <v>45809</v>
      </c>
      <c r="O256" s="52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51" t="str">
        <f>VLOOKUP(_stats[[#This Row],[tournament]],tournaments_n_rules[],2,0)</f>
        <v>Барышиха</v>
      </c>
      <c r="M257" s="51" t="str">
        <f>VLOOKUP(_stats[[#This Row],[tournament]],tournaments_n_rules[],3,0)</f>
        <v>Лето 2025</v>
      </c>
      <c r="N257" s="52">
        <f>VLOOKUP(_stats[[#This Row],[tournament]],tournaments_n_rules[],4,0)</f>
        <v>45809</v>
      </c>
      <c r="O257" s="52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51" t="str">
        <f>VLOOKUP(_stats[[#This Row],[tournament]],tournaments_n_rules[],2,0)</f>
        <v>Барышиха</v>
      </c>
      <c r="M258" s="51" t="str">
        <f>VLOOKUP(_stats[[#This Row],[tournament]],tournaments_n_rules[],3,0)</f>
        <v>Лето 2025</v>
      </c>
      <c r="N258" s="52">
        <f>VLOOKUP(_stats[[#This Row],[tournament]],tournaments_n_rules[],4,0)</f>
        <v>45809</v>
      </c>
      <c r="O258" s="52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51" t="str">
        <f>VLOOKUP(_stats[[#This Row],[tournament]],tournaments_n_rules[],2,0)</f>
        <v>Барышиха</v>
      </c>
      <c r="M259" s="51" t="str">
        <f>VLOOKUP(_stats[[#This Row],[tournament]],tournaments_n_rules[],3,0)</f>
        <v>Лето 2025</v>
      </c>
      <c r="N259" s="52">
        <f>VLOOKUP(_stats[[#This Row],[tournament]],tournaments_n_rules[],4,0)</f>
        <v>45809</v>
      </c>
      <c r="O259" s="52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51" t="str">
        <f>VLOOKUP(_stats[[#This Row],[tournament]],tournaments_n_rules[],2,0)</f>
        <v>Барышиха</v>
      </c>
      <c r="M260" s="51" t="str">
        <f>VLOOKUP(_stats[[#This Row],[tournament]],tournaments_n_rules[],3,0)</f>
        <v>Лето 2025</v>
      </c>
      <c r="N260" s="52">
        <f>VLOOKUP(_stats[[#This Row],[tournament]],tournaments_n_rules[],4,0)</f>
        <v>45809</v>
      </c>
      <c r="O260" s="52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51" t="str">
        <f>VLOOKUP(_stats[[#This Row],[tournament]],tournaments_n_rules[],2,0)</f>
        <v>Барышиха</v>
      </c>
      <c r="M261" s="51" t="str">
        <f>VLOOKUP(_stats[[#This Row],[tournament]],tournaments_n_rules[],3,0)</f>
        <v>Лето 2025</v>
      </c>
      <c r="N261" s="52">
        <f>VLOOKUP(_stats[[#This Row],[tournament]],tournaments_n_rules[],4,0)</f>
        <v>45809</v>
      </c>
      <c r="O261" s="52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51" t="str">
        <f>VLOOKUP(_stats[[#This Row],[tournament]],tournaments_n_rules[],2,0)</f>
        <v>Барышиха</v>
      </c>
      <c r="M262" s="51" t="str">
        <f>VLOOKUP(_stats[[#This Row],[tournament]],tournaments_n_rules[],3,0)</f>
        <v>Лето 2025</v>
      </c>
      <c r="N262" s="52">
        <f>VLOOKUP(_stats[[#This Row],[tournament]],tournaments_n_rules[],4,0)</f>
        <v>45809</v>
      </c>
      <c r="O262" s="52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51" t="str">
        <f>VLOOKUP(_stats[[#This Row],[tournament]],tournaments_n_rules[],2,0)</f>
        <v>Барышиха</v>
      </c>
      <c r="M263" s="51" t="str">
        <f>VLOOKUP(_stats[[#This Row],[tournament]],tournaments_n_rules[],3,0)</f>
        <v>Лето 2025</v>
      </c>
      <c r="N263" s="52">
        <f>VLOOKUP(_stats[[#This Row],[tournament]],tournaments_n_rules[],4,0)</f>
        <v>45809</v>
      </c>
      <c r="O263" s="52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51" t="str">
        <f>VLOOKUP(_stats[[#This Row],[tournament]],tournaments_n_rules[],2,0)</f>
        <v>Барышиха</v>
      </c>
      <c r="M264" s="51" t="str">
        <f>VLOOKUP(_stats[[#This Row],[tournament]],tournaments_n_rules[],3,0)</f>
        <v>Лето 2025</v>
      </c>
      <c r="N264" s="52">
        <f>VLOOKUP(_stats[[#This Row],[tournament]],tournaments_n_rules[],4,0)</f>
        <v>45809</v>
      </c>
      <c r="O264" s="52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51" t="str">
        <f>VLOOKUP(_stats[[#This Row],[tournament]],tournaments_n_rules[],2,0)</f>
        <v>Барышиха</v>
      </c>
      <c r="M265" s="51" t="str">
        <f>VLOOKUP(_stats[[#This Row],[tournament]],tournaments_n_rules[],3,0)</f>
        <v>Лето 2025</v>
      </c>
      <c r="N265" s="52">
        <f>VLOOKUP(_stats[[#This Row],[tournament]],tournaments_n_rules[],4,0)</f>
        <v>45809</v>
      </c>
      <c r="O265" s="52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51" t="str">
        <f>VLOOKUP(_stats[[#This Row],[tournament]],tournaments_n_rules[],2,0)</f>
        <v>Барышиха</v>
      </c>
      <c r="M266" s="51" t="str">
        <f>VLOOKUP(_stats[[#This Row],[tournament]],tournaments_n_rules[],3,0)</f>
        <v>Лето 2025</v>
      </c>
      <c r="N266" s="52">
        <f>VLOOKUP(_stats[[#This Row],[tournament]],tournaments_n_rules[],4,0)</f>
        <v>45809</v>
      </c>
      <c r="O266" s="52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51" t="str">
        <f>VLOOKUP(_stats[[#This Row],[tournament]],tournaments_n_rules[],2,0)</f>
        <v>Барышиха</v>
      </c>
      <c r="M267" s="51" t="str">
        <f>VLOOKUP(_stats[[#This Row],[tournament]],tournaments_n_rules[],3,0)</f>
        <v>Лето 2025</v>
      </c>
      <c r="N267" s="52">
        <f>VLOOKUP(_stats[[#This Row],[tournament]],tournaments_n_rules[],4,0)</f>
        <v>45809</v>
      </c>
      <c r="O267" s="52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51" t="str">
        <f>VLOOKUP(_stats[[#This Row],[tournament]],tournaments_n_rules[],2,0)</f>
        <v>Барышиха</v>
      </c>
      <c r="M268" s="51" t="str">
        <f>VLOOKUP(_stats[[#This Row],[tournament]],tournaments_n_rules[],3,0)</f>
        <v>Лето 2025</v>
      </c>
      <c r="N268" s="52">
        <f>VLOOKUP(_stats[[#This Row],[tournament]],tournaments_n_rules[],4,0)</f>
        <v>45809</v>
      </c>
      <c r="O268" s="52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51" t="str">
        <f>VLOOKUP(_stats[[#This Row],[tournament]],tournaments_n_rules[],2,0)</f>
        <v>Барышиха</v>
      </c>
      <c r="M269" s="51" t="str">
        <f>VLOOKUP(_stats[[#This Row],[tournament]],tournaments_n_rules[],3,0)</f>
        <v>Лето 2025</v>
      </c>
      <c r="N269" s="52">
        <f>VLOOKUP(_stats[[#This Row],[tournament]],tournaments_n_rules[],4,0)</f>
        <v>45809</v>
      </c>
      <c r="O269" s="52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51" t="str">
        <f>VLOOKUP(_stats[[#This Row],[tournament]],tournaments_n_rules[],2,0)</f>
        <v>Барышиха</v>
      </c>
      <c r="M270" s="51" t="str">
        <f>VLOOKUP(_stats[[#This Row],[tournament]],tournaments_n_rules[],3,0)</f>
        <v>Лето 2025</v>
      </c>
      <c r="N270" s="52">
        <f>VLOOKUP(_stats[[#This Row],[tournament]],tournaments_n_rules[],4,0)</f>
        <v>45809</v>
      </c>
      <c r="O270" s="52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51" t="str">
        <f>VLOOKUP(_stats[[#This Row],[tournament]],tournaments_n_rules[],2,0)</f>
        <v>Барышиха</v>
      </c>
      <c r="M271" s="51" t="str">
        <f>VLOOKUP(_stats[[#This Row],[tournament]],tournaments_n_rules[],3,0)</f>
        <v>Лето 2025</v>
      </c>
      <c r="N271" s="52">
        <f>VLOOKUP(_stats[[#This Row],[tournament]],tournaments_n_rules[],4,0)</f>
        <v>45809</v>
      </c>
      <c r="O271" s="52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51" t="str">
        <f>VLOOKUP(_stats[[#This Row],[tournament]],tournaments_n_rules[],2,0)</f>
        <v>Барышиха</v>
      </c>
      <c r="M272" s="51" t="str">
        <f>VLOOKUP(_stats[[#This Row],[tournament]],tournaments_n_rules[],3,0)</f>
        <v>Лето 2025</v>
      </c>
      <c r="N272" s="52">
        <f>VLOOKUP(_stats[[#This Row],[tournament]],tournaments_n_rules[],4,0)</f>
        <v>45809</v>
      </c>
      <c r="O272" s="52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51" t="str">
        <f>VLOOKUP(_stats[[#This Row],[tournament]],tournaments_n_rules[],2,0)</f>
        <v>Барышиха</v>
      </c>
      <c r="M273" s="51" t="str">
        <f>VLOOKUP(_stats[[#This Row],[tournament]],tournaments_n_rules[],3,0)</f>
        <v>Лето 2025</v>
      </c>
      <c r="N273" s="52">
        <f>VLOOKUP(_stats[[#This Row],[tournament]],tournaments_n_rules[],4,0)</f>
        <v>45809</v>
      </c>
      <c r="O273" s="52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51" t="str">
        <f>VLOOKUP(_stats[[#This Row],[tournament]],tournaments_n_rules[],2,0)</f>
        <v>Барышиха</v>
      </c>
      <c r="M274" s="51" t="str">
        <f>VLOOKUP(_stats[[#This Row],[tournament]],tournaments_n_rules[],3,0)</f>
        <v>Лето 2025</v>
      </c>
      <c r="N274" s="52">
        <f>VLOOKUP(_stats[[#This Row],[tournament]],tournaments_n_rules[],4,0)</f>
        <v>45809</v>
      </c>
      <c r="O274" s="52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51" t="str">
        <f>VLOOKUP(_stats[[#This Row],[tournament]],tournaments_n_rules[],2,0)</f>
        <v>Барышиха</v>
      </c>
      <c r="M275" s="51" t="str">
        <f>VLOOKUP(_stats[[#This Row],[tournament]],tournaments_n_rules[],3,0)</f>
        <v>Лето 2025</v>
      </c>
      <c r="N275" s="52">
        <f>VLOOKUP(_stats[[#This Row],[tournament]],tournaments_n_rules[],4,0)</f>
        <v>45809</v>
      </c>
      <c r="O275" s="52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51" t="str">
        <f>VLOOKUP(_stats[[#This Row],[tournament]],tournaments_n_rules[],2,0)</f>
        <v>Барышиха</v>
      </c>
      <c r="M276" s="51" t="str">
        <f>VLOOKUP(_stats[[#This Row],[tournament]],tournaments_n_rules[],3,0)</f>
        <v>Лето 2025</v>
      </c>
      <c r="N276" s="52">
        <f>VLOOKUP(_stats[[#This Row],[tournament]],tournaments_n_rules[],4,0)</f>
        <v>45809</v>
      </c>
      <c r="O276" s="52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51" t="str">
        <f>VLOOKUP(_stats[[#This Row],[tournament]],tournaments_n_rules[],2,0)</f>
        <v>Барышиха</v>
      </c>
      <c r="M277" s="51" t="str">
        <f>VLOOKUP(_stats[[#This Row],[tournament]],tournaments_n_rules[],3,0)</f>
        <v>Лето 2025</v>
      </c>
      <c r="N277" s="52">
        <f>VLOOKUP(_stats[[#This Row],[tournament]],tournaments_n_rules[],4,0)</f>
        <v>45809</v>
      </c>
      <c r="O277" s="52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51" t="str">
        <f>VLOOKUP(_stats[[#This Row],[tournament]],tournaments_n_rules[],2,0)</f>
        <v>Барышиха</v>
      </c>
      <c r="M278" s="51" t="str">
        <f>VLOOKUP(_stats[[#This Row],[tournament]],tournaments_n_rules[],3,0)</f>
        <v>Лето 2025</v>
      </c>
      <c r="N278" s="52">
        <f>VLOOKUP(_stats[[#This Row],[tournament]],tournaments_n_rules[],4,0)</f>
        <v>45809</v>
      </c>
      <c r="O278" s="52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51" t="str">
        <f>VLOOKUP(_stats[[#This Row],[tournament]],tournaments_n_rules[],2,0)</f>
        <v>Барышиха</v>
      </c>
      <c r="M279" s="51" t="str">
        <f>VLOOKUP(_stats[[#This Row],[tournament]],tournaments_n_rules[],3,0)</f>
        <v>Лето 2025</v>
      </c>
      <c r="N279" s="52">
        <f>VLOOKUP(_stats[[#This Row],[tournament]],tournaments_n_rules[],4,0)</f>
        <v>45809</v>
      </c>
      <c r="O279" s="52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51" t="str">
        <f>VLOOKUP(_stats[[#This Row],[tournament]],tournaments_n_rules[],2,0)</f>
        <v>Барышиха</v>
      </c>
      <c r="M280" s="51" t="str">
        <f>VLOOKUP(_stats[[#This Row],[tournament]],tournaments_n_rules[],3,0)</f>
        <v>Лето 2025</v>
      </c>
      <c r="N280" s="52">
        <f>VLOOKUP(_stats[[#This Row],[tournament]],tournaments_n_rules[],4,0)</f>
        <v>45809</v>
      </c>
      <c r="O280" s="52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51" t="str">
        <f>VLOOKUP(_stats[[#This Row],[tournament]],tournaments_n_rules[],2,0)</f>
        <v>Барышиха</v>
      </c>
      <c r="M281" s="51" t="str">
        <f>VLOOKUP(_stats[[#This Row],[tournament]],tournaments_n_rules[],3,0)</f>
        <v>Лето 2025</v>
      </c>
      <c r="N281" s="52">
        <f>VLOOKUP(_stats[[#This Row],[tournament]],tournaments_n_rules[],4,0)</f>
        <v>45809</v>
      </c>
      <c r="O281" s="52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51" t="str">
        <f>VLOOKUP(_stats[[#This Row],[tournament]],tournaments_n_rules[],2,0)</f>
        <v>Барышиха</v>
      </c>
      <c r="M282" s="51" t="str">
        <f>VLOOKUP(_stats[[#This Row],[tournament]],tournaments_n_rules[],3,0)</f>
        <v>Лето 2025</v>
      </c>
      <c r="N282" s="52">
        <f>VLOOKUP(_stats[[#This Row],[tournament]],tournaments_n_rules[],4,0)</f>
        <v>45809</v>
      </c>
      <c r="O282" s="52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51" t="str">
        <f>VLOOKUP(_stats[[#This Row],[tournament]],tournaments_n_rules[],2,0)</f>
        <v>Барышиха</v>
      </c>
      <c r="M283" s="51" t="str">
        <f>VLOOKUP(_stats[[#This Row],[tournament]],tournaments_n_rules[],3,0)</f>
        <v>Лето 2025</v>
      </c>
      <c r="N283" s="52">
        <f>VLOOKUP(_stats[[#This Row],[tournament]],tournaments_n_rules[],4,0)</f>
        <v>45809</v>
      </c>
      <c r="O283" s="52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51" t="str">
        <f>VLOOKUP(_stats[[#This Row],[tournament]],tournaments_n_rules[],2,0)</f>
        <v>Барышиха</v>
      </c>
      <c r="M284" s="51" t="str">
        <f>VLOOKUP(_stats[[#This Row],[tournament]],tournaments_n_rules[],3,0)</f>
        <v>Лето 2025</v>
      </c>
      <c r="N284" s="52">
        <f>VLOOKUP(_stats[[#This Row],[tournament]],tournaments_n_rules[],4,0)</f>
        <v>45809</v>
      </c>
      <c r="O284" s="52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51" t="str">
        <f>VLOOKUP(_stats[[#This Row],[tournament]],tournaments_n_rules[],2,0)</f>
        <v>Барышиха</v>
      </c>
      <c r="M285" s="51" t="str">
        <f>VLOOKUP(_stats[[#This Row],[tournament]],tournaments_n_rules[],3,0)</f>
        <v>Лето 2025</v>
      </c>
      <c r="N285" s="52">
        <f>VLOOKUP(_stats[[#This Row],[tournament]],tournaments_n_rules[],4,0)</f>
        <v>45809</v>
      </c>
      <c r="O285" s="52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51" t="str">
        <f>VLOOKUP(_stats[[#This Row],[tournament]],tournaments_n_rules[],2,0)</f>
        <v>Барышиха</v>
      </c>
      <c r="M286" s="51" t="str">
        <f>VLOOKUP(_stats[[#This Row],[tournament]],tournaments_n_rules[],3,0)</f>
        <v>Лето 2025</v>
      </c>
      <c r="N286" s="52">
        <f>VLOOKUP(_stats[[#This Row],[tournament]],tournaments_n_rules[],4,0)</f>
        <v>45809</v>
      </c>
      <c r="O286" s="52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51" t="str">
        <f>VLOOKUP(_stats[[#This Row],[tournament]],tournaments_n_rules[],2,0)</f>
        <v>Барышиха</v>
      </c>
      <c r="M287" s="51" t="str">
        <f>VLOOKUP(_stats[[#This Row],[tournament]],tournaments_n_rules[],3,0)</f>
        <v>Лето 2025</v>
      </c>
      <c r="N287" s="52">
        <f>VLOOKUP(_stats[[#This Row],[tournament]],tournaments_n_rules[],4,0)</f>
        <v>45809</v>
      </c>
      <c r="O287" s="52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51" t="str">
        <f>VLOOKUP(_stats[[#This Row],[tournament]],tournaments_n_rules[],2,0)</f>
        <v>Барышиха</v>
      </c>
      <c r="M288" s="51" t="str">
        <f>VLOOKUP(_stats[[#This Row],[tournament]],tournaments_n_rules[],3,0)</f>
        <v>Лето 2025</v>
      </c>
      <c r="N288" s="52">
        <f>VLOOKUP(_stats[[#This Row],[tournament]],tournaments_n_rules[],4,0)</f>
        <v>45809</v>
      </c>
      <c r="O288" s="52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51" t="str">
        <f>VLOOKUP(_stats[[#This Row],[tournament]],tournaments_n_rules[],2,0)</f>
        <v>Барышиха</v>
      </c>
      <c r="M289" s="51" t="str">
        <f>VLOOKUP(_stats[[#This Row],[tournament]],tournaments_n_rules[],3,0)</f>
        <v>Лето 2025</v>
      </c>
      <c r="N289" s="52">
        <f>VLOOKUP(_stats[[#This Row],[tournament]],tournaments_n_rules[],4,0)</f>
        <v>45809</v>
      </c>
      <c r="O289" s="52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51" t="str">
        <f>VLOOKUP(_stats[[#This Row],[tournament]],tournaments_n_rules[],2,0)</f>
        <v>Барышиха</v>
      </c>
      <c r="M290" s="51" t="str">
        <f>VLOOKUP(_stats[[#This Row],[tournament]],tournaments_n_rules[],3,0)</f>
        <v>Лето 2025</v>
      </c>
      <c r="N290" s="52">
        <f>VLOOKUP(_stats[[#This Row],[tournament]],tournaments_n_rules[],4,0)</f>
        <v>45809</v>
      </c>
      <c r="O290" s="52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51" t="str">
        <f>VLOOKUP(_stats[[#This Row],[tournament]],tournaments_n_rules[],2,0)</f>
        <v>Барышиха</v>
      </c>
      <c r="M291" s="51" t="str">
        <f>VLOOKUP(_stats[[#This Row],[tournament]],tournaments_n_rules[],3,0)</f>
        <v>Лето 2025</v>
      </c>
      <c r="N291" s="52">
        <f>VLOOKUP(_stats[[#This Row],[tournament]],tournaments_n_rules[],4,0)</f>
        <v>45809</v>
      </c>
      <c r="O291" s="52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51" t="str">
        <f>VLOOKUP(_stats[[#This Row],[tournament]],tournaments_n_rules[],2,0)</f>
        <v>Барышиха</v>
      </c>
      <c r="M292" s="51" t="str">
        <f>VLOOKUP(_stats[[#This Row],[tournament]],tournaments_n_rules[],3,0)</f>
        <v>Лето 2025</v>
      </c>
      <c r="N292" s="52">
        <f>VLOOKUP(_stats[[#This Row],[tournament]],tournaments_n_rules[],4,0)</f>
        <v>45809</v>
      </c>
      <c r="O292" s="52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51" t="str">
        <f>VLOOKUP(_stats[[#This Row],[tournament]],tournaments_n_rules[],2,0)</f>
        <v>Барышиха</v>
      </c>
      <c r="M293" s="51" t="str">
        <f>VLOOKUP(_stats[[#This Row],[tournament]],tournaments_n_rules[],3,0)</f>
        <v>Лето 2025</v>
      </c>
      <c r="N293" s="52">
        <f>VLOOKUP(_stats[[#This Row],[tournament]],tournaments_n_rules[],4,0)</f>
        <v>45809</v>
      </c>
      <c r="O293" s="52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51" t="str">
        <f>VLOOKUP(_stats[[#This Row],[tournament]],tournaments_n_rules[],2,0)</f>
        <v>Барышиха</v>
      </c>
      <c r="M294" s="51" t="str">
        <f>VLOOKUP(_stats[[#This Row],[tournament]],tournaments_n_rules[],3,0)</f>
        <v>Лето 2025</v>
      </c>
      <c r="N294" s="52">
        <f>VLOOKUP(_stats[[#This Row],[tournament]],tournaments_n_rules[],4,0)</f>
        <v>45809</v>
      </c>
      <c r="O294" s="52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51" t="str">
        <f>VLOOKUP(_stats[[#This Row],[tournament]],tournaments_n_rules[],2,0)</f>
        <v>Барышиха</v>
      </c>
      <c r="M295" s="51" t="str">
        <f>VLOOKUP(_stats[[#This Row],[tournament]],tournaments_n_rules[],3,0)</f>
        <v>Лето 2025</v>
      </c>
      <c r="N295" s="52">
        <f>VLOOKUP(_stats[[#This Row],[tournament]],tournaments_n_rules[],4,0)</f>
        <v>45809</v>
      </c>
      <c r="O295" s="52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51" t="str">
        <f>VLOOKUP(_stats[[#This Row],[tournament]],tournaments_n_rules[],2,0)</f>
        <v>Барышиха</v>
      </c>
      <c r="M296" s="51" t="str">
        <f>VLOOKUP(_stats[[#This Row],[tournament]],tournaments_n_rules[],3,0)</f>
        <v>Лето 2025</v>
      </c>
      <c r="N296" s="52">
        <f>VLOOKUP(_stats[[#This Row],[tournament]],tournaments_n_rules[],4,0)</f>
        <v>45809</v>
      </c>
      <c r="O296" s="52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51" t="str">
        <f>VLOOKUP(_stats[[#This Row],[tournament]],tournaments_n_rules[],2,0)</f>
        <v>Барышиха</v>
      </c>
      <c r="M297" s="51" t="str">
        <f>VLOOKUP(_stats[[#This Row],[tournament]],tournaments_n_rules[],3,0)</f>
        <v>Лето 2025</v>
      </c>
      <c r="N297" s="52">
        <f>VLOOKUP(_stats[[#This Row],[tournament]],tournaments_n_rules[],4,0)</f>
        <v>45809</v>
      </c>
      <c r="O297" s="52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51" t="str">
        <f>VLOOKUP(_stats[[#This Row],[tournament]],tournaments_n_rules[],2,0)</f>
        <v>Барышиха</v>
      </c>
      <c r="M298" s="51" t="str">
        <f>VLOOKUP(_stats[[#This Row],[tournament]],tournaments_n_rules[],3,0)</f>
        <v>Лето 2025</v>
      </c>
      <c r="N298" s="52">
        <f>VLOOKUP(_stats[[#This Row],[tournament]],tournaments_n_rules[],4,0)</f>
        <v>45809</v>
      </c>
      <c r="O298" s="52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51" t="str">
        <f>VLOOKUP(_stats[[#This Row],[tournament]],tournaments_n_rules[],2,0)</f>
        <v>Барышиха</v>
      </c>
      <c r="M299" s="51" t="str">
        <f>VLOOKUP(_stats[[#This Row],[tournament]],tournaments_n_rules[],3,0)</f>
        <v>Лето 2025</v>
      </c>
      <c r="N299" s="52">
        <f>VLOOKUP(_stats[[#This Row],[tournament]],tournaments_n_rules[],4,0)</f>
        <v>45809</v>
      </c>
      <c r="O299" s="52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51" t="str">
        <f>VLOOKUP(_stats[[#This Row],[tournament]],tournaments_n_rules[],2,0)</f>
        <v>Барышиха</v>
      </c>
      <c r="M300" s="51" t="str">
        <f>VLOOKUP(_stats[[#This Row],[tournament]],tournaments_n_rules[],3,0)</f>
        <v>Лето 2025</v>
      </c>
      <c r="N300" s="52">
        <f>VLOOKUP(_stats[[#This Row],[tournament]],tournaments_n_rules[],4,0)</f>
        <v>45809</v>
      </c>
      <c r="O300" s="52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51" t="str">
        <f>VLOOKUP(_stats[[#This Row],[tournament]],tournaments_n_rules[],2,0)</f>
        <v>Барышиха</v>
      </c>
      <c r="M301" s="51" t="str">
        <f>VLOOKUP(_stats[[#This Row],[tournament]],tournaments_n_rules[],3,0)</f>
        <v>Лето 2025</v>
      </c>
      <c r="N301" s="52">
        <f>VLOOKUP(_stats[[#This Row],[tournament]],tournaments_n_rules[],4,0)</f>
        <v>45809</v>
      </c>
      <c r="O301" s="52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51" t="str">
        <f>VLOOKUP(_stats[[#This Row],[tournament]],tournaments_n_rules[],2,0)</f>
        <v>Барышиха</v>
      </c>
      <c r="M302" s="51" t="str">
        <f>VLOOKUP(_stats[[#This Row],[tournament]],tournaments_n_rules[],3,0)</f>
        <v>Лето 2025</v>
      </c>
      <c r="N302" s="52">
        <f>VLOOKUP(_stats[[#This Row],[tournament]],tournaments_n_rules[],4,0)</f>
        <v>45809</v>
      </c>
      <c r="O302" s="52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51" t="str">
        <f>VLOOKUP(_stats[[#This Row],[tournament]],tournaments_n_rules[],2,0)</f>
        <v>Барышиха</v>
      </c>
      <c r="M303" s="51" t="str">
        <f>VLOOKUP(_stats[[#This Row],[tournament]],tournaments_n_rules[],3,0)</f>
        <v>Лето 2025</v>
      </c>
      <c r="N303" s="52">
        <f>VLOOKUP(_stats[[#This Row],[tournament]],tournaments_n_rules[],4,0)</f>
        <v>45809</v>
      </c>
      <c r="O303" s="52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51" t="str">
        <f>VLOOKUP(_stats[[#This Row],[tournament]],tournaments_n_rules[],2,0)</f>
        <v>Барышиха</v>
      </c>
      <c r="M304" s="51" t="str">
        <f>VLOOKUP(_stats[[#This Row],[tournament]],tournaments_n_rules[],3,0)</f>
        <v>Лето 2025</v>
      </c>
      <c r="N304" s="52">
        <f>VLOOKUP(_stats[[#This Row],[tournament]],tournaments_n_rules[],4,0)</f>
        <v>45809</v>
      </c>
      <c r="O304" s="52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51" t="str">
        <f>VLOOKUP(_stats[[#This Row],[tournament]],tournaments_n_rules[],2,0)</f>
        <v>Барышиха</v>
      </c>
      <c r="M305" s="51" t="str">
        <f>VLOOKUP(_stats[[#This Row],[tournament]],tournaments_n_rules[],3,0)</f>
        <v>Лето 2025</v>
      </c>
      <c r="N305" s="52">
        <f>VLOOKUP(_stats[[#This Row],[tournament]],tournaments_n_rules[],4,0)</f>
        <v>45809</v>
      </c>
      <c r="O305" s="52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51" t="str">
        <f>VLOOKUP(_stats[[#This Row],[tournament]],tournaments_n_rules[],2,0)</f>
        <v>Барышиха</v>
      </c>
      <c r="M306" s="51" t="str">
        <f>VLOOKUP(_stats[[#This Row],[tournament]],tournaments_n_rules[],3,0)</f>
        <v>Лето 2025</v>
      </c>
      <c r="N306" s="52">
        <f>VLOOKUP(_stats[[#This Row],[tournament]],tournaments_n_rules[],4,0)</f>
        <v>45809</v>
      </c>
      <c r="O306" s="52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51" t="str">
        <f>VLOOKUP(_stats[[#This Row],[tournament]],tournaments_n_rules[],2,0)</f>
        <v>Барышиха</v>
      </c>
      <c r="M307" s="51" t="str">
        <f>VLOOKUP(_stats[[#This Row],[tournament]],tournaments_n_rules[],3,0)</f>
        <v>Лето 2025</v>
      </c>
      <c r="N307" s="52">
        <f>VLOOKUP(_stats[[#This Row],[tournament]],tournaments_n_rules[],4,0)</f>
        <v>45809</v>
      </c>
      <c r="O307" s="52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51" t="str">
        <f>VLOOKUP(_stats[[#This Row],[tournament]],tournaments_n_rules[],2,0)</f>
        <v>Барышиха</v>
      </c>
      <c r="M308" s="51" t="str">
        <f>VLOOKUP(_stats[[#This Row],[tournament]],tournaments_n_rules[],3,0)</f>
        <v>Лето 2025</v>
      </c>
      <c r="N308" s="52">
        <f>VLOOKUP(_stats[[#This Row],[tournament]],tournaments_n_rules[],4,0)</f>
        <v>45809</v>
      </c>
      <c r="O308" s="52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51" t="str">
        <f>VLOOKUP(_stats[[#This Row],[tournament]],tournaments_n_rules[],2,0)</f>
        <v>Барышиха</v>
      </c>
      <c r="M309" s="51" t="str">
        <f>VLOOKUP(_stats[[#This Row],[tournament]],tournaments_n_rules[],3,0)</f>
        <v>Лето 2025</v>
      </c>
      <c r="N309" s="52">
        <f>VLOOKUP(_stats[[#This Row],[tournament]],tournaments_n_rules[],4,0)</f>
        <v>45809</v>
      </c>
      <c r="O309" s="52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51" t="str">
        <f>VLOOKUP(_stats[[#This Row],[tournament]],tournaments_n_rules[],2,0)</f>
        <v>Барышиха</v>
      </c>
      <c r="M310" s="51" t="str">
        <f>VLOOKUP(_stats[[#This Row],[tournament]],tournaments_n_rules[],3,0)</f>
        <v>Лето 2025</v>
      </c>
      <c r="N310" s="52">
        <f>VLOOKUP(_stats[[#This Row],[tournament]],tournaments_n_rules[],4,0)</f>
        <v>45809</v>
      </c>
      <c r="O310" s="52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51" t="str">
        <f>VLOOKUP(_stats[[#This Row],[tournament]],tournaments_n_rules[],2,0)</f>
        <v>Барышиха</v>
      </c>
      <c r="M311" s="51" t="str">
        <f>VLOOKUP(_stats[[#This Row],[tournament]],tournaments_n_rules[],3,0)</f>
        <v>Лето 2025</v>
      </c>
      <c r="N311" s="52">
        <f>VLOOKUP(_stats[[#This Row],[tournament]],tournaments_n_rules[],4,0)</f>
        <v>45809</v>
      </c>
      <c r="O311" s="52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51" t="str">
        <f>VLOOKUP(_stats[[#This Row],[tournament]],tournaments_n_rules[],2,0)</f>
        <v>Барышиха</v>
      </c>
      <c r="M312" s="51" t="str">
        <f>VLOOKUP(_stats[[#This Row],[tournament]],tournaments_n_rules[],3,0)</f>
        <v>Лето 2025</v>
      </c>
      <c r="N312" s="52">
        <f>VLOOKUP(_stats[[#This Row],[tournament]],tournaments_n_rules[],4,0)</f>
        <v>45809</v>
      </c>
      <c r="O312" s="52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51" t="str">
        <f>VLOOKUP(_stats[[#This Row],[tournament]],tournaments_n_rules[],2,0)</f>
        <v>Барышиха</v>
      </c>
      <c r="M313" s="51" t="str">
        <f>VLOOKUP(_stats[[#This Row],[tournament]],tournaments_n_rules[],3,0)</f>
        <v>Лето 2025</v>
      </c>
      <c r="N313" s="52">
        <f>VLOOKUP(_stats[[#This Row],[tournament]],tournaments_n_rules[],4,0)</f>
        <v>45809</v>
      </c>
      <c r="O313" s="52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51" t="str">
        <f>VLOOKUP(_stats[[#This Row],[tournament]],tournaments_n_rules[],2,0)</f>
        <v>Барышиха</v>
      </c>
      <c r="M314" s="51" t="str">
        <f>VLOOKUP(_stats[[#This Row],[tournament]],tournaments_n_rules[],3,0)</f>
        <v>Лето 2025</v>
      </c>
      <c r="N314" s="52">
        <f>VLOOKUP(_stats[[#This Row],[tournament]],tournaments_n_rules[],4,0)</f>
        <v>45809</v>
      </c>
      <c r="O314" s="52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51" t="str">
        <f>VLOOKUP(_stats[[#This Row],[tournament]],tournaments_n_rules[],2,0)</f>
        <v>Барышиха</v>
      </c>
      <c r="M315" s="51" t="str">
        <f>VLOOKUP(_stats[[#This Row],[tournament]],tournaments_n_rules[],3,0)</f>
        <v>Лето 2025</v>
      </c>
      <c r="N315" s="52">
        <f>VLOOKUP(_stats[[#This Row],[tournament]],tournaments_n_rules[],4,0)</f>
        <v>45809</v>
      </c>
      <c r="O315" s="52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51" t="str">
        <f>VLOOKUP(_stats[[#This Row],[tournament]],tournaments_n_rules[],2,0)</f>
        <v>Барышиха</v>
      </c>
      <c r="M316" s="51" t="str">
        <f>VLOOKUP(_stats[[#This Row],[tournament]],tournaments_n_rules[],3,0)</f>
        <v>Лето 2025</v>
      </c>
      <c r="N316" s="52">
        <f>VLOOKUP(_stats[[#This Row],[tournament]],tournaments_n_rules[],4,0)</f>
        <v>45809</v>
      </c>
      <c r="O316" s="52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51" t="str">
        <f>VLOOKUP(_stats[[#This Row],[tournament]],tournaments_n_rules[],2,0)</f>
        <v>Барышиха</v>
      </c>
      <c r="M317" s="51" t="str">
        <f>VLOOKUP(_stats[[#This Row],[tournament]],tournaments_n_rules[],3,0)</f>
        <v>Лето 2025</v>
      </c>
      <c r="N317" s="52">
        <f>VLOOKUP(_stats[[#This Row],[tournament]],tournaments_n_rules[],4,0)</f>
        <v>45809</v>
      </c>
      <c r="O317" s="52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51" t="str">
        <f>VLOOKUP(_stats[[#This Row],[tournament]],tournaments_n_rules[],2,0)</f>
        <v>Барышиха</v>
      </c>
      <c r="M318" s="51" t="str">
        <f>VLOOKUP(_stats[[#This Row],[tournament]],tournaments_n_rules[],3,0)</f>
        <v>Лето 2025</v>
      </c>
      <c r="N318" s="52">
        <f>VLOOKUP(_stats[[#This Row],[tournament]],tournaments_n_rules[],4,0)</f>
        <v>45809</v>
      </c>
      <c r="O318" s="52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51" t="str">
        <f>VLOOKUP(_stats[[#This Row],[tournament]],tournaments_n_rules[],2,0)</f>
        <v>Барышиха</v>
      </c>
      <c r="M319" s="51" t="str">
        <f>VLOOKUP(_stats[[#This Row],[tournament]],tournaments_n_rules[],3,0)</f>
        <v>Лето 2025</v>
      </c>
      <c r="N319" s="52">
        <f>VLOOKUP(_stats[[#This Row],[tournament]],tournaments_n_rules[],4,0)</f>
        <v>45809</v>
      </c>
      <c r="O319" s="52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51" t="str">
        <f>VLOOKUP(_stats[[#This Row],[tournament]],tournaments_n_rules[],2,0)</f>
        <v>Барышиха</v>
      </c>
      <c r="M320" s="51" t="str">
        <f>VLOOKUP(_stats[[#This Row],[tournament]],tournaments_n_rules[],3,0)</f>
        <v>Лето 2025</v>
      </c>
      <c r="N320" s="52">
        <f>VLOOKUP(_stats[[#This Row],[tournament]],tournaments_n_rules[],4,0)</f>
        <v>45809</v>
      </c>
      <c r="O320" s="52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51" t="str">
        <f>VLOOKUP(_stats[[#This Row],[tournament]],tournaments_n_rules[],2,0)</f>
        <v>Барышиха</v>
      </c>
      <c r="M321" s="51" t="str">
        <f>VLOOKUP(_stats[[#This Row],[tournament]],tournaments_n_rules[],3,0)</f>
        <v>Лето 2025</v>
      </c>
      <c r="N321" s="52">
        <f>VLOOKUP(_stats[[#This Row],[tournament]],tournaments_n_rules[],4,0)</f>
        <v>45809</v>
      </c>
      <c r="O321" s="52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51" t="str">
        <f>VLOOKUP(_stats[[#This Row],[tournament]],tournaments_n_rules[],2,0)</f>
        <v>Барышиха</v>
      </c>
      <c r="M322" s="51" t="str">
        <f>VLOOKUP(_stats[[#This Row],[tournament]],tournaments_n_rules[],3,0)</f>
        <v>Лето 2025</v>
      </c>
      <c r="N322" s="52">
        <f>VLOOKUP(_stats[[#This Row],[tournament]],tournaments_n_rules[],4,0)</f>
        <v>45809</v>
      </c>
      <c r="O322" s="52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51" t="str">
        <f>VLOOKUP(_stats[[#This Row],[tournament]],tournaments_n_rules[],2,0)</f>
        <v>Барышиха</v>
      </c>
      <c r="M323" s="51" t="str">
        <f>VLOOKUP(_stats[[#This Row],[tournament]],tournaments_n_rules[],3,0)</f>
        <v>Лето 2025</v>
      </c>
      <c r="N323" s="52">
        <f>VLOOKUP(_stats[[#This Row],[tournament]],tournaments_n_rules[],4,0)</f>
        <v>45809</v>
      </c>
      <c r="O323" s="52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51" t="str">
        <f>VLOOKUP(_stats[[#This Row],[tournament]],tournaments_n_rules[],2,0)</f>
        <v>Барышиха</v>
      </c>
      <c r="M324" s="51" t="str">
        <f>VLOOKUP(_stats[[#This Row],[tournament]],tournaments_n_rules[],3,0)</f>
        <v>Лето 2025</v>
      </c>
      <c r="N324" s="52">
        <f>VLOOKUP(_stats[[#This Row],[tournament]],tournaments_n_rules[],4,0)</f>
        <v>45809</v>
      </c>
      <c r="O324" s="52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51" t="str">
        <f>VLOOKUP(_stats[[#This Row],[tournament]],tournaments_n_rules[],2,0)</f>
        <v>Барышиха</v>
      </c>
      <c r="M325" s="51" t="str">
        <f>VLOOKUP(_stats[[#This Row],[tournament]],tournaments_n_rules[],3,0)</f>
        <v>Лето 2025</v>
      </c>
      <c r="N325" s="52">
        <f>VLOOKUP(_stats[[#This Row],[tournament]],tournaments_n_rules[],4,0)</f>
        <v>45809</v>
      </c>
      <c r="O325" s="52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51" t="str">
        <f>VLOOKUP(_stats[[#This Row],[tournament]],tournaments_n_rules[],2,0)</f>
        <v>Барышиха</v>
      </c>
      <c r="M326" s="51" t="str">
        <f>VLOOKUP(_stats[[#This Row],[tournament]],tournaments_n_rules[],3,0)</f>
        <v>Лето 2025</v>
      </c>
      <c r="N326" s="52">
        <f>VLOOKUP(_stats[[#This Row],[tournament]],tournaments_n_rules[],4,0)</f>
        <v>45809</v>
      </c>
      <c r="O326" s="52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51" t="str">
        <f>VLOOKUP(_stats[[#This Row],[tournament]],tournaments_n_rules[],2,0)</f>
        <v>Барышиха</v>
      </c>
      <c r="M327" s="51" t="str">
        <f>VLOOKUP(_stats[[#This Row],[tournament]],tournaments_n_rules[],3,0)</f>
        <v>Лето 2025</v>
      </c>
      <c r="N327" s="52">
        <f>VLOOKUP(_stats[[#This Row],[tournament]],tournaments_n_rules[],4,0)</f>
        <v>45809</v>
      </c>
      <c r="O327" s="52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51" t="str">
        <f>VLOOKUP(_stats[[#This Row],[tournament]],tournaments_n_rules[],2,0)</f>
        <v>Барышиха</v>
      </c>
      <c r="M328" s="51" t="str">
        <f>VLOOKUP(_stats[[#This Row],[tournament]],tournaments_n_rules[],3,0)</f>
        <v>Лето 2025</v>
      </c>
      <c r="N328" s="52">
        <f>VLOOKUP(_stats[[#This Row],[tournament]],tournaments_n_rules[],4,0)</f>
        <v>45809</v>
      </c>
      <c r="O328" s="52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51" t="str">
        <f>VLOOKUP(_stats[[#This Row],[tournament]],tournaments_n_rules[],2,0)</f>
        <v>Барышиха</v>
      </c>
      <c r="M329" s="51" t="str">
        <f>VLOOKUP(_stats[[#This Row],[tournament]],tournaments_n_rules[],3,0)</f>
        <v>Лето 2025</v>
      </c>
      <c r="N329" s="52">
        <f>VLOOKUP(_stats[[#This Row],[tournament]],tournaments_n_rules[],4,0)</f>
        <v>45809</v>
      </c>
      <c r="O329" s="52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51" t="str">
        <f>VLOOKUP(_stats[[#This Row],[tournament]],tournaments_n_rules[],2,0)</f>
        <v>Барышиха</v>
      </c>
      <c r="M330" s="51" t="str">
        <f>VLOOKUP(_stats[[#This Row],[tournament]],tournaments_n_rules[],3,0)</f>
        <v>Лето 2025</v>
      </c>
      <c r="N330" s="52">
        <f>VLOOKUP(_stats[[#This Row],[tournament]],tournaments_n_rules[],4,0)</f>
        <v>45809</v>
      </c>
      <c r="O330" s="52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51" t="str">
        <f>VLOOKUP(_stats[[#This Row],[tournament]],tournaments_n_rules[],2,0)</f>
        <v>Барышиха</v>
      </c>
      <c r="M331" s="51" t="str">
        <f>VLOOKUP(_stats[[#This Row],[tournament]],tournaments_n_rules[],3,0)</f>
        <v>Лето 2025</v>
      </c>
      <c r="N331" s="52">
        <f>VLOOKUP(_stats[[#This Row],[tournament]],tournaments_n_rules[],4,0)</f>
        <v>45809</v>
      </c>
      <c r="O331" s="52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51" t="str">
        <f>VLOOKUP(_stats[[#This Row],[tournament]],tournaments_n_rules[],2,0)</f>
        <v>Барышиха</v>
      </c>
      <c r="M332" s="51" t="str">
        <f>VLOOKUP(_stats[[#This Row],[tournament]],tournaments_n_rules[],3,0)</f>
        <v>Лето 2025</v>
      </c>
      <c r="N332" s="52">
        <f>VLOOKUP(_stats[[#This Row],[tournament]],tournaments_n_rules[],4,0)</f>
        <v>45809</v>
      </c>
      <c r="O332" s="52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51" t="str">
        <f>VLOOKUP(_stats[[#This Row],[tournament]],tournaments_n_rules[],2,0)</f>
        <v>Барышиха</v>
      </c>
      <c r="M333" s="51" t="str">
        <f>VLOOKUP(_stats[[#This Row],[tournament]],tournaments_n_rules[],3,0)</f>
        <v>Лето 2025</v>
      </c>
      <c r="N333" s="52">
        <f>VLOOKUP(_stats[[#This Row],[tournament]],tournaments_n_rules[],4,0)</f>
        <v>45809</v>
      </c>
      <c r="O333" s="52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51" t="str">
        <f>VLOOKUP(_stats[[#This Row],[tournament]],tournaments_n_rules[],2,0)</f>
        <v>Барышиха</v>
      </c>
      <c r="M334" s="51" t="str">
        <f>VLOOKUP(_stats[[#This Row],[tournament]],tournaments_n_rules[],3,0)</f>
        <v>Лето 2025</v>
      </c>
      <c r="N334" s="52">
        <f>VLOOKUP(_stats[[#This Row],[tournament]],tournaments_n_rules[],4,0)</f>
        <v>45809</v>
      </c>
      <c r="O334" s="52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51" t="str">
        <f>VLOOKUP(_stats[[#This Row],[tournament]],tournaments_n_rules[],2,0)</f>
        <v>Барышиха</v>
      </c>
      <c r="M335" s="51" t="str">
        <f>VLOOKUP(_stats[[#This Row],[tournament]],tournaments_n_rules[],3,0)</f>
        <v>Лето 2025</v>
      </c>
      <c r="N335" s="52">
        <f>VLOOKUP(_stats[[#This Row],[tournament]],tournaments_n_rules[],4,0)</f>
        <v>45809</v>
      </c>
      <c r="O335" s="52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51" t="str">
        <f>VLOOKUP(_stats[[#This Row],[tournament]],tournaments_n_rules[],2,0)</f>
        <v>Барышиха</v>
      </c>
      <c r="M336" s="51" t="str">
        <f>VLOOKUP(_stats[[#This Row],[tournament]],tournaments_n_rules[],3,0)</f>
        <v>Лето 2025</v>
      </c>
      <c r="N336" s="52">
        <f>VLOOKUP(_stats[[#This Row],[tournament]],tournaments_n_rules[],4,0)</f>
        <v>45809</v>
      </c>
      <c r="O336" s="52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51" t="str">
        <f>VLOOKUP(_stats[[#This Row],[tournament]],tournaments_n_rules[],2,0)</f>
        <v>Барышиха</v>
      </c>
      <c r="M337" s="51" t="str">
        <f>VLOOKUP(_stats[[#This Row],[tournament]],tournaments_n_rules[],3,0)</f>
        <v>Лето 2025</v>
      </c>
      <c r="N337" s="52">
        <f>VLOOKUP(_stats[[#This Row],[tournament]],tournaments_n_rules[],4,0)</f>
        <v>45809</v>
      </c>
      <c r="O337" s="52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51" t="str">
        <f>VLOOKUP(_stats[[#This Row],[tournament]],tournaments_n_rules[],2,0)</f>
        <v>Барышиха</v>
      </c>
      <c r="M338" s="51" t="str">
        <f>VLOOKUP(_stats[[#This Row],[tournament]],tournaments_n_rules[],3,0)</f>
        <v>Лето 2025</v>
      </c>
      <c r="N338" s="52">
        <f>VLOOKUP(_stats[[#This Row],[tournament]],tournaments_n_rules[],4,0)</f>
        <v>45809</v>
      </c>
      <c r="O338" s="52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51" t="str">
        <f>VLOOKUP(_stats[[#This Row],[tournament]],tournaments_n_rules[],2,0)</f>
        <v>Барышиха</v>
      </c>
      <c r="M339" s="51" t="str">
        <f>VLOOKUP(_stats[[#This Row],[tournament]],tournaments_n_rules[],3,0)</f>
        <v>Лето 2025</v>
      </c>
      <c r="N339" s="52">
        <f>VLOOKUP(_stats[[#This Row],[tournament]],tournaments_n_rules[],4,0)</f>
        <v>45809</v>
      </c>
      <c r="O339" s="52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51" t="str">
        <f>VLOOKUP(_stats[[#This Row],[tournament]],tournaments_n_rules[],2,0)</f>
        <v>Барышиха</v>
      </c>
      <c r="M340" s="51" t="str">
        <f>VLOOKUP(_stats[[#This Row],[tournament]],tournaments_n_rules[],3,0)</f>
        <v>Лето 2025</v>
      </c>
      <c r="N340" s="52">
        <f>VLOOKUP(_stats[[#This Row],[tournament]],tournaments_n_rules[],4,0)</f>
        <v>45809</v>
      </c>
      <c r="O340" s="52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51" t="str">
        <f>VLOOKUP(_stats[[#This Row],[tournament]],tournaments_n_rules[],2,0)</f>
        <v>Барышиха</v>
      </c>
      <c r="M341" s="51" t="str">
        <f>VLOOKUP(_stats[[#This Row],[tournament]],tournaments_n_rules[],3,0)</f>
        <v>Лето 2025</v>
      </c>
      <c r="N341" s="52">
        <f>VLOOKUP(_stats[[#This Row],[tournament]],tournaments_n_rules[],4,0)</f>
        <v>45809</v>
      </c>
      <c r="O341" s="52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51" t="str">
        <f>VLOOKUP(_stats[[#This Row],[tournament]],tournaments_n_rules[],2,0)</f>
        <v>Барышиха</v>
      </c>
      <c r="M342" s="51" t="str">
        <f>VLOOKUP(_stats[[#This Row],[tournament]],tournaments_n_rules[],3,0)</f>
        <v>Лето 2025</v>
      </c>
      <c r="N342" s="52">
        <f>VLOOKUP(_stats[[#This Row],[tournament]],tournaments_n_rules[],4,0)</f>
        <v>45809</v>
      </c>
      <c r="O342" s="52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51" t="str">
        <f>VLOOKUP(_stats[[#This Row],[tournament]],tournaments_n_rules[],2,0)</f>
        <v>Барышиха</v>
      </c>
      <c r="M343" s="51" t="str">
        <f>VLOOKUP(_stats[[#This Row],[tournament]],tournaments_n_rules[],3,0)</f>
        <v>Лето 2025</v>
      </c>
      <c r="N343" s="52">
        <f>VLOOKUP(_stats[[#This Row],[tournament]],tournaments_n_rules[],4,0)</f>
        <v>45809</v>
      </c>
      <c r="O343" s="52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51" t="str">
        <f>VLOOKUP(_stats[[#This Row],[tournament]],tournaments_n_rules[],2,0)</f>
        <v>Барышиха</v>
      </c>
      <c r="M344" s="51" t="str">
        <f>VLOOKUP(_stats[[#This Row],[tournament]],tournaments_n_rules[],3,0)</f>
        <v>Лето 2025</v>
      </c>
      <c r="N344" s="52">
        <f>VLOOKUP(_stats[[#This Row],[tournament]],tournaments_n_rules[],4,0)</f>
        <v>45809</v>
      </c>
      <c r="O344" s="52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51" t="str">
        <f>VLOOKUP(_stats[[#This Row],[tournament]],tournaments_n_rules[],2,0)</f>
        <v>Барышиха</v>
      </c>
      <c r="M345" s="51" t="str">
        <f>VLOOKUP(_stats[[#This Row],[tournament]],tournaments_n_rules[],3,0)</f>
        <v>Лето 2025</v>
      </c>
      <c r="N345" s="52">
        <f>VLOOKUP(_stats[[#This Row],[tournament]],tournaments_n_rules[],4,0)</f>
        <v>45809</v>
      </c>
      <c r="O345" s="52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51" t="str">
        <f>VLOOKUP(_stats[[#This Row],[tournament]],tournaments_n_rules[],2,0)</f>
        <v>Барышиха</v>
      </c>
      <c r="M346" s="51" t="str">
        <f>VLOOKUP(_stats[[#This Row],[tournament]],tournaments_n_rules[],3,0)</f>
        <v>Лето 2025</v>
      </c>
      <c r="N346" s="52">
        <f>VLOOKUP(_stats[[#This Row],[tournament]],tournaments_n_rules[],4,0)</f>
        <v>45809</v>
      </c>
      <c r="O346" s="52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51" t="str">
        <f>VLOOKUP(_stats[[#This Row],[tournament]],tournaments_n_rules[],2,0)</f>
        <v>Барышиха</v>
      </c>
      <c r="M347" s="51" t="str">
        <f>VLOOKUP(_stats[[#This Row],[tournament]],tournaments_n_rules[],3,0)</f>
        <v>Лето 2025</v>
      </c>
      <c r="N347" s="52">
        <f>VLOOKUP(_stats[[#This Row],[tournament]],tournaments_n_rules[],4,0)</f>
        <v>45809</v>
      </c>
      <c r="O347" s="52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51" t="str">
        <f>VLOOKUP(_stats[[#This Row],[tournament]],tournaments_n_rules[],2,0)</f>
        <v>Барышиха</v>
      </c>
      <c r="M348" s="51" t="str">
        <f>VLOOKUP(_stats[[#This Row],[tournament]],tournaments_n_rules[],3,0)</f>
        <v>Лето 2025</v>
      </c>
      <c r="N348" s="52">
        <f>VLOOKUP(_stats[[#This Row],[tournament]],tournaments_n_rules[],4,0)</f>
        <v>45809</v>
      </c>
      <c r="O348" s="52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51" t="str">
        <f>VLOOKUP(_stats[[#This Row],[tournament]],tournaments_n_rules[],2,0)</f>
        <v>Барышиха</v>
      </c>
      <c r="M349" s="51" t="str">
        <f>VLOOKUP(_stats[[#This Row],[tournament]],tournaments_n_rules[],3,0)</f>
        <v>Лето 2025</v>
      </c>
      <c r="N349" s="52">
        <f>VLOOKUP(_stats[[#This Row],[tournament]],tournaments_n_rules[],4,0)</f>
        <v>45809</v>
      </c>
      <c r="O349" s="52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51" t="str">
        <f>VLOOKUP(_stats[[#This Row],[tournament]],tournaments_n_rules[],2,0)</f>
        <v>Барышиха</v>
      </c>
      <c r="M350" s="51" t="str">
        <f>VLOOKUP(_stats[[#This Row],[tournament]],tournaments_n_rules[],3,0)</f>
        <v>Лето 2025</v>
      </c>
      <c r="N350" s="52">
        <f>VLOOKUP(_stats[[#This Row],[tournament]],tournaments_n_rules[],4,0)</f>
        <v>45809</v>
      </c>
      <c r="O350" s="52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51" t="str">
        <f>VLOOKUP(_stats[[#This Row],[tournament]],tournaments_n_rules[],2,0)</f>
        <v>Барышиха</v>
      </c>
      <c r="M351" s="51" t="str">
        <f>VLOOKUP(_stats[[#This Row],[tournament]],tournaments_n_rules[],3,0)</f>
        <v>Лето 2025</v>
      </c>
      <c r="N351" s="52">
        <f>VLOOKUP(_stats[[#This Row],[tournament]],tournaments_n_rules[],4,0)</f>
        <v>45809</v>
      </c>
      <c r="O351" s="52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51" t="str">
        <f>VLOOKUP(_stats[[#This Row],[tournament]],tournaments_n_rules[],2,0)</f>
        <v>Барышиха</v>
      </c>
      <c r="M352" s="51" t="str">
        <f>VLOOKUP(_stats[[#This Row],[tournament]],tournaments_n_rules[],3,0)</f>
        <v>Лето 2025</v>
      </c>
      <c r="N352" s="52">
        <f>VLOOKUP(_stats[[#This Row],[tournament]],tournaments_n_rules[],4,0)</f>
        <v>45809</v>
      </c>
      <c r="O352" s="52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51" t="str">
        <f>VLOOKUP(_stats[[#This Row],[tournament]],tournaments_n_rules[],2,0)</f>
        <v>Барышиха</v>
      </c>
      <c r="M353" s="51" t="str">
        <f>VLOOKUP(_stats[[#This Row],[tournament]],tournaments_n_rules[],3,0)</f>
        <v>Лето 2025</v>
      </c>
      <c r="N353" s="52">
        <f>VLOOKUP(_stats[[#This Row],[tournament]],tournaments_n_rules[],4,0)</f>
        <v>45809</v>
      </c>
      <c r="O353" s="52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51" t="str">
        <f>VLOOKUP(_stats[[#This Row],[tournament]],tournaments_n_rules[],2,0)</f>
        <v>Барышиха</v>
      </c>
      <c r="M354" s="51" t="str">
        <f>VLOOKUP(_stats[[#This Row],[tournament]],tournaments_n_rules[],3,0)</f>
        <v>Лето 2025</v>
      </c>
      <c r="N354" s="52">
        <f>VLOOKUP(_stats[[#This Row],[tournament]],tournaments_n_rules[],4,0)</f>
        <v>45809</v>
      </c>
      <c r="O354" s="52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51" t="str">
        <f>VLOOKUP(_stats[[#This Row],[tournament]],tournaments_n_rules[],2,0)</f>
        <v>Барышиха</v>
      </c>
      <c r="M355" s="51" t="str">
        <f>VLOOKUP(_stats[[#This Row],[tournament]],tournaments_n_rules[],3,0)</f>
        <v>Лето 2025</v>
      </c>
      <c r="N355" s="52">
        <f>VLOOKUP(_stats[[#This Row],[tournament]],tournaments_n_rules[],4,0)</f>
        <v>45809</v>
      </c>
      <c r="O355" s="52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51" t="str">
        <f>VLOOKUP(_stats[[#This Row],[tournament]],tournaments_n_rules[],2,0)</f>
        <v>Барышиха</v>
      </c>
      <c r="M356" s="51" t="str">
        <f>VLOOKUP(_stats[[#This Row],[tournament]],tournaments_n_rules[],3,0)</f>
        <v>Лето 2025</v>
      </c>
      <c r="N356" s="52">
        <f>VLOOKUP(_stats[[#This Row],[tournament]],tournaments_n_rules[],4,0)</f>
        <v>45809</v>
      </c>
      <c r="O356" s="52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51" t="str">
        <f>VLOOKUP(_stats[[#This Row],[tournament]],tournaments_n_rules[],2,0)</f>
        <v>Барышиха</v>
      </c>
      <c r="M357" s="51" t="str">
        <f>VLOOKUP(_stats[[#This Row],[tournament]],tournaments_n_rules[],3,0)</f>
        <v>Лето 2025</v>
      </c>
      <c r="N357" s="52">
        <f>VLOOKUP(_stats[[#This Row],[tournament]],tournaments_n_rules[],4,0)</f>
        <v>45809</v>
      </c>
      <c r="O357" s="52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51" t="str">
        <f>VLOOKUP(_stats[[#This Row],[tournament]],tournaments_n_rules[],2,0)</f>
        <v>Барышиха</v>
      </c>
      <c r="M358" s="51" t="str">
        <f>VLOOKUP(_stats[[#This Row],[tournament]],tournaments_n_rules[],3,0)</f>
        <v>Лето 2025</v>
      </c>
      <c r="N358" s="52">
        <f>VLOOKUP(_stats[[#This Row],[tournament]],tournaments_n_rules[],4,0)</f>
        <v>45809</v>
      </c>
      <c r="O358" s="52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51" t="str">
        <f>VLOOKUP(_stats[[#This Row],[tournament]],tournaments_n_rules[],2,0)</f>
        <v>Барышиха</v>
      </c>
      <c r="M359" s="51" t="str">
        <f>VLOOKUP(_stats[[#This Row],[tournament]],tournaments_n_rules[],3,0)</f>
        <v>Лето 2025</v>
      </c>
      <c r="N359" s="52">
        <f>VLOOKUP(_stats[[#This Row],[tournament]],tournaments_n_rules[],4,0)</f>
        <v>45809</v>
      </c>
      <c r="O359" s="52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51" t="str">
        <f>VLOOKUP(_stats[[#This Row],[tournament]],tournaments_n_rules[],2,0)</f>
        <v>Барышиха</v>
      </c>
      <c r="M360" s="51" t="str">
        <f>VLOOKUP(_stats[[#This Row],[tournament]],tournaments_n_rules[],3,0)</f>
        <v>Лето 2025</v>
      </c>
      <c r="N360" s="52">
        <f>VLOOKUP(_stats[[#This Row],[tournament]],tournaments_n_rules[],4,0)</f>
        <v>45809</v>
      </c>
      <c r="O360" s="52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51" t="str">
        <f>VLOOKUP(_stats[[#This Row],[tournament]],tournaments_n_rules[],2,0)</f>
        <v>Барышиха</v>
      </c>
      <c r="M361" s="51" t="str">
        <f>VLOOKUP(_stats[[#This Row],[tournament]],tournaments_n_rules[],3,0)</f>
        <v>Лето 2025</v>
      </c>
      <c r="N361" s="52">
        <f>VLOOKUP(_stats[[#This Row],[tournament]],tournaments_n_rules[],4,0)</f>
        <v>45809</v>
      </c>
      <c r="O361" s="52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51" t="str">
        <f>VLOOKUP(_stats[[#This Row],[tournament]],tournaments_n_rules[],2,0)</f>
        <v>Барышиха</v>
      </c>
      <c r="M362" s="51" t="str">
        <f>VLOOKUP(_stats[[#This Row],[tournament]],tournaments_n_rules[],3,0)</f>
        <v>Лето 2025</v>
      </c>
      <c r="N362" s="52">
        <f>VLOOKUP(_stats[[#This Row],[tournament]],tournaments_n_rules[],4,0)</f>
        <v>45809</v>
      </c>
      <c r="O362" s="52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51" t="str">
        <f>VLOOKUP(_stats[[#This Row],[tournament]],tournaments_n_rules[],2,0)</f>
        <v>Барышиха</v>
      </c>
      <c r="M363" s="51" t="str">
        <f>VLOOKUP(_stats[[#This Row],[tournament]],tournaments_n_rules[],3,0)</f>
        <v>Лето 2025</v>
      </c>
      <c r="N363" s="52">
        <f>VLOOKUP(_stats[[#This Row],[tournament]],tournaments_n_rules[],4,0)</f>
        <v>45809</v>
      </c>
      <c r="O363" s="52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51" t="str">
        <f>VLOOKUP(_stats[[#This Row],[tournament]],tournaments_n_rules[],2,0)</f>
        <v>Барышиха</v>
      </c>
      <c r="M364" s="51" t="str">
        <f>VLOOKUP(_stats[[#This Row],[tournament]],tournaments_n_rules[],3,0)</f>
        <v>Лето 2025</v>
      </c>
      <c r="N364" s="52">
        <f>VLOOKUP(_stats[[#This Row],[tournament]],tournaments_n_rules[],4,0)</f>
        <v>45809</v>
      </c>
      <c r="O364" s="52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51" t="str">
        <f>VLOOKUP(_stats[[#This Row],[tournament]],tournaments_n_rules[],2,0)</f>
        <v>Барышиха</v>
      </c>
      <c r="M365" s="51" t="str">
        <f>VLOOKUP(_stats[[#This Row],[tournament]],tournaments_n_rules[],3,0)</f>
        <v>Лето 2025</v>
      </c>
      <c r="N365" s="52">
        <f>VLOOKUP(_stats[[#This Row],[tournament]],tournaments_n_rules[],4,0)</f>
        <v>45809</v>
      </c>
      <c r="O365" s="52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51" t="str">
        <f>VLOOKUP(_stats[[#This Row],[tournament]],tournaments_n_rules[],2,0)</f>
        <v>Барышиха</v>
      </c>
      <c r="M366" s="51" t="str">
        <f>VLOOKUP(_stats[[#This Row],[tournament]],tournaments_n_rules[],3,0)</f>
        <v>Лето 2025</v>
      </c>
      <c r="N366" s="52">
        <f>VLOOKUP(_stats[[#This Row],[tournament]],tournaments_n_rules[],4,0)</f>
        <v>45809</v>
      </c>
      <c r="O366" s="52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51" t="str">
        <f>VLOOKUP(_stats[[#This Row],[tournament]],tournaments_n_rules[],2,0)</f>
        <v>Барышиха</v>
      </c>
      <c r="M367" s="51" t="str">
        <f>VLOOKUP(_stats[[#This Row],[tournament]],tournaments_n_rules[],3,0)</f>
        <v>Лето 2025</v>
      </c>
      <c r="N367" s="52">
        <f>VLOOKUP(_stats[[#This Row],[tournament]],tournaments_n_rules[],4,0)</f>
        <v>45809</v>
      </c>
      <c r="O367" s="52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51" t="str">
        <f>VLOOKUP(_stats[[#This Row],[tournament]],tournaments_n_rules[],2,0)</f>
        <v>Барышиха</v>
      </c>
      <c r="M368" s="51" t="str">
        <f>VLOOKUP(_stats[[#This Row],[tournament]],tournaments_n_rules[],3,0)</f>
        <v>Лето 2025</v>
      </c>
      <c r="N368" s="52">
        <f>VLOOKUP(_stats[[#This Row],[tournament]],tournaments_n_rules[],4,0)</f>
        <v>45809</v>
      </c>
      <c r="O368" s="52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51" t="str">
        <f>VLOOKUP(_stats[[#This Row],[tournament]],tournaments_n_rules[],2,0)</f>
        <v>Барышиха</v>
      </c>
      <c r="M369" s="51" t="str">
        <f>VLOOKUP(_stats[[#This Row],[tournament]],tournaments_n_rules[],3,0)</f>
        <v>Лето 2025</v>
      </c>
      <c r="N369" s="52">
        <f>VLOOKUP(_stats[[#This Row],[tournament]],tournaments_n_rules[],4,0)</f>
        <v>45809</v>
      </c>
      <c r="O369" s="52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51" t="str">
        <f>VLOOKUP(_stats[[#This Row],[tournament]],tournaments_n_rules[],2,0)</f>
        <v>Барышиха</v>
      </c>
      <c r="M370" s="51" t="str">
        <f>VLOOKUP(_stats[[#This Row],[tournament]],tournaments_n_rules[],3,0)</f>
        <v>Лето 2025</v>
      </c>
      <c r="N370" s="52">
        <f>VLOOKUP(_stats[[#This Row],[tournament]],tournaments_n_rules[],4,0)</f>
        <v>45809</v>
      </c>
      <c r="O370" s="52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51" t="str">
        <f>VLOOKUP(_stats[[#This Row],[tournament]],tournaments_n_rules[],2,0)</f>
        <v>Барышиха</v>
      </c>
      <c r="M371" s="51" t="str">
        <f>VLOOKUP(_stats[[#This Row],[tournament]],tournaments_n_rules[],3,0)</f>
        <v>Лето 2025</v>
      </c>
      <c r="N371" s="52">
        <f>VLOOKUP(_stats[[#This Row],[tournament]],tournaments_n_rules[],4,0)</f>
        <v>45809</v>
      </c>
      <c r="O371" s="52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51" t="str">
        <f>VLOOKUP(_stats[[#This Row],[tournament]],tournaments_n_rules[],2,0)</f>
        <v>Барышиха</v>
      </c>
      <c r="M372" s="51" t="str">
        <f>VLOOKUP(_stats[[#This Row],[tournament]],tournaments_n_rules[],3,0)</f>
        <v>Лето 2025</v>
      </c>
      <c r="N372" s="52">
        <f>VLOOKUP(_stats[[#This Row],[tournament]],tournaments_n_rules[],4,0)</f>
        <v>45809</v>
      </c>
      <c r="O372" s="52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51" t="str">
        <f>VLOOKUP(_stats[[#This Row],[tournament]],tournaments_n_rules[],2,0)</f>
        <v>Барышиха</v>
      </c>
      <c r="M373" s="51" t="str">
        <f>VLOOKUP(_stats[[#This Row],[tournament]],tournaments_n_rules[],3,0)</f>
        <v>Лето 2025</v>
      </c>
      <c r="N373" s="52">
        <f>VLOOKUP(_stats[[#This Row],[tournament]],tournaments_n_rules[],4,0)</f>
        <v>45809</v>
      </c>
      <c r="O373" s="52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51" t="str">
        <f>VLOOKUP(_stats[[#This Row],[tournament]],tournaments_n_rules[],2,0)</f>
        <v>Барышиха</v>
      </c>
      <c r="M374" s="51" t="str">
        <f>VLOOKUP(_stats[[#This Row],[tournament]],tournaments_n_rules[],3,0)</f>
        <v>Лето 2025</v>
      </c>
      <c r="N374" s="52">
        <f>VLOOKUP(_stats[[#This Row],[tournament]],tournaments_n_rules[],4,0)</f>
        <v>45809</v>
      </c>
      <c r="O374" s="52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51" t="str">
        <f>VLOOKUP(_stats[[#This Row],[tournament]],tournaments_n_rules[],2,0)</f>
        <v>Барышиха</v>
      </c>
      <c r="M375" s="51" t="str">
        <f>VLOOKUP(_stats[[#This Row],[tournament]],tournaments_n_rules[],3,0)</f>
        <v>Лето 2025</v>
      </c>
      <c r="N375" s="52">
        <f>VLOOKUP(_stats[[#This Row],[tournament]],tournaments_n_rules[],4,0)</f>
        <v>45809</v>
      </c>
      <c r="O375" s="52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51" t="str">
        <f>VLOOKUP(_stats[[#This Row],[tournament]],tournaments_n_rules[],2,0)</f>
        <v>Барышиха</v>
      </c>
      <c r="M376" s="51" t="str">
        <f>VLOOKUP(_stats[[#This Row],[tournament]],tournaments_n_rules[],3,0)</f>
        <v>Лето 2025</v>
      </c>
      <c r="N376" s="52">
        <f>VLOOKUP(_stats[[#This Row],[tournament]],tournaments_n_rules[],4,0)</f>
        <v>45809</v>
      </c>
      <c r="O376" s="52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51" t="str">
        <f>VLOOKUP(_stats[[#This Row],[tournament]],tournaments_n_rules[],2,0)</f>
        <v>Барышиха</v>
      </c>
      <c r="M377" s="51" t="str">
        <f>VLOOKUP(_stats[[#This Row],[tournament]],tournaments_n_rules[],3,0)</f>
        <v>Лето 2025</v>
      </c>
      <c r="N377" s="52">
        <f>VLOOKUP(_stats[[#This Row],[tournament]],tournaments_n_rules[],4,0)</f>
        <v>45809</v>
      </c>
      <c r="O377" s="52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51" t="str">
        <f>VLOOKUP(_stats[[#This Row],[tournament]],tournaments_n_rules[],2,0)</f>
        <v>Барышиха</v>
      </c>
      <c r="M378" s="51" t="str">
        <f>VLOOKUP(_stats[[#This Row],[tournament]],tournaments_n_rules[],3,0)</f>
        <v>Лето 2025</v>
      </c>
      <c r="N378" s="52">
        <f>VLOOKUP(_stats[[#This Row],[tournament]],tournaments_n_rules[],4,0)</f>
        <v>45809</v>
      </c>
      <c r="O378" s="52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51" t="str">
        <f>VLOOKUP(_stats[[#This Row],[tournament]],tournaments_n_rules[],2,0)</f>
        <v>Барышиха</v>
      </c>
      <c r="M379" s="51" t="str">
        <f>VLOOKUP(_stats[[#This Row],[tournament]],tournaments_n_rules[],3,0)</f>
        <v>Лето 2025</v>
      </c>
      <c r="N379" s="52">
        <f>VLOOKUP(_stats[[#This Row],[tournament]],tournaments_n_rules[],4,0)</f>
        <v>45809</v>
      </c>
      <c r="O379" s="52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51" t="str">
        <f>VLOOKUP(_stats[[#This Row],[tournament]],tournaments_n_rules[],2,0)</f>
        <v>Барышиха</v>
      </c>
      <c r="M380" s="51" t="str">
        <f>VLOOKUP(_stats[[#This Row],[tournament]],tournaments_n_rules[],3,0)</f>
        <v>Лето 2025</v>
      </c>
      <c r="N380" s="52">
        <f>VLOOKUP(_stats[[#This Row],[tournament]],tournaments_n_rules[],4,0)</f>
        <v>45809</v>
      </c>
      <c r="O380" s="52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51" t="str">
        <f>VLOOKUP(_stats[[#This Row],[tournament]],tournaments_n_rules[],2,0)</f>
        <v>Барышиха</v>
      </c>
      <c r="M381" s="51" t="str">
        <f>VLOOKUP(_stats[[#This Row],[tournament]],tournaments_n_rules[],3,0)</f>
        <v>Лето 2025</v>
      </c>
      <c r="N381" s="52">
        <f>VLOOKUP(_stats[[#This Row],[tournament]],tournaments_n_rules[],4,0)</f>
        <v>45809</v>
      </c>
      <c r="O381" s="52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51" t="str">
        <f>VLOOKUP(_stats[[#This Row],[tournament]],tournaments_n_rules[],2,0)</f>
        <v>Барышиха</v>
      </c>
      <c r="M382" s="51" t="str">
        <f>VLOOKUP(_stats[[#This Row],[tournament]],tournaments_n_rules[],3,0)</f>
        <v>Лето 2025</v>
      </c>
      <c r="N382" s="52">
        <f>VLOOKUP(_stats[[#This Row],[tournament]],tournaments_n_rules[],4,0)</f>
        <v>45809</v>
      </c>
      <c r="O382" s="52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51" t="str">
        <f>VLOOKUP(_stats[[#This Row],[tournament]],tournaments_n_rules[],2,0)</f>
        <v>Барышиха</v>
      </c>
      <c r="M383" s="51" t="str">
        <f>VLOOKUP(_stats[[#This Row],[tournament]],tournaments_n_rules[],3,0)</f>
        <v>Лето 2025</v>
      </c>
      <c r="N383" s="52">
        <f>VLOOKUP(_stats[[#This Row],[tournament]],tournaments_n_rules[],4,0)</f>
        <v>45809</v>
      </c>
      <c r="O383" s="52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51" t="str">
        <f>VLOOKUP(_stats[[#This Row],[tournament]],tournaments_n_rules[],2,0)</f>
        <v>Барышиха</v>
      </c>
      <c r="M384" s="51" t="str">
        <f>VLOOKUP(_stats[[#This Row],[tournament]],tournaments_n_rules[],3,0)</f>
        <v>Лето 2025</v>
      </c>
      <c r="N384" s="52">
        <f>VLOOKUP(_stats[[#This Row],[tournament]],tournaments_n_rules[],4,0)</f>
        <v>45809</v>
      </c>
      <c r="O384" s="52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51" t="str">
        <f>VLOOKUP(_stats[[#This Row],[tournament]],tournaments_n_rules[],2,0)</f>
        <v>Барышиха</v>
      </c>
      <c r="M385" s="51" t="str">
        <f>VLOOKUP(_stats[[#This Row],[tournament]],tournaments_n_rules[],3,0)</f>
        <v>Лето 2025</v>
      </c>
      <c r="N385" s="52">
        <f>VLOOKUP(_stats[[#This Row],[tournament]],tournaments_n_rules[],4,0)</f>
        <v>45809</v>
      </c>
      <c r="O385" s="52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51" t="str">
        <f>VLOOKUP(_stats[[#This Row],[tournament]],tournaments_n_rules[],2,0)</f>
        <v>Барышиха</v>
      </c>
      <c r="M386" s="51" t="str">
        <f>VLOOKUP(_stats[[#This Row],[tournament]],tournaments_n_rules[],3,0)</f>
        <v>Лето 2025</v>
      </c>
      <c r="N386" s="52">
        <f>VLOOKUP(_stats[[#This Row],[tournament]],tournaments_n_rules[],4,0)</f>
        <v>45809</v>
      </c>
      <c r="O386" s="52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51" t="str">
        <f>VLOOKUP(_stats[[#This Row],[tournament]],tournaments_n_rules[],2,0)</f>
        <v>Барышиха</v>
      </c>
      <c r="M387" s="51" t="str">
        <f>VLOOKUP(_stats[[#This Row],[tournament]],tournaments_n_rules[],3,0)</f>
        <v>Лето 2025</v>
      </c>
      <c r="N387" s="52">
        <f>VLOOKUP(_stats[[#This Row],[tournament]],tournaments_n_rules[],4,0)</f>
        <v>45809</v>
      </c>
      <c r="O387" s="52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51" t="str">
        <f>VLOOKUP(_stats[[#This Row],[tournament]],tournaments_n_rules[],2,0)</f>
        <v>Барышиха</v>
      </c>
      <c r="M388" s="51" t="str">
        <f>VLOOKUP(_stats[[#This Row],[tournament]],tournaments_n_rules[],3,0)</f>
        <v>Лето 2025</v>
      </c>
      <c r="N388" s="52">
        <f>VLOOKUP(_stats[[#This Row],[tournament]],tournaments_n_rules[],4,0)</f>
        <v>45809</v>
      </c>
      <c r="O388" s="52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51" t="str">
        <f>VLOOKUP(_stats[[#This Row],[tournament]],tournaments_n_rules[],2,0)</f>
        <v>Барышиха</v>
      </c>
      <c r="M389" s="51" t="str">
        <f>VLOOKUP(_stats[[#This Row],[tournament]],tournaments_n_rules[],3,0)</f>
        <v>Лето 2025</v>
      </c>
      <c r="N389" s="52">
        <f>VLOOKUP(_stats[[#This Row],[tournament]],tournaments_n_rules[],4,0)</f>
        <v>45809</v>
      </c>
      <c r="O389" s="52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51" t="str">
        <f>VLOOKUP(_stats[[#This Row],[tournament]],tournaments_n_rules[],2,0)</f>
        <v>Барышиха</v>
      </c>
      <c r="M390" s="51" t="str">
        <f>VLOOKUP(_stats[[#This Row],[tournament]],tournaments_n_rules[],3,0)</f>
        <v>Лето 2025</v>
      </c>
      <c r="N390" s="52">
        <f>VLOOKUP(_stats[[#This Row],[tournament]],tournaments_n_rules[],4,0)</f>
        <v>45809</v>
      </c>
      <c r="O390" s="52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51" t="str">
        <f>VLOOKUP(_stats[[#This Row],[tournament]],tournaments_n_rules[],2,0)</f>
        <v>Барышиха</v>
      </c>
      <c r="M391" s="51" t="str">
        <f>VLOOKUP(_stats[[#This Row],[tournament]],tournaments_n_rules[],3,0)</f>
        <v>Лето 2025</v>
      </c>
      <c r="N391" s="52">
        <f>VLOOKUP(_stats[[#This Row],[tournament]],tournaments_n_rules[],4,0)</f>
        <v>45809</v>
      </c>
      <c r="O391" s="52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51" t="str">
        <f>VLOOKUP(_stats[[#This Row],[tournament]],tournaments_n_rules[],2,0)</f>
        <v>Барышиха</v>
      </c>
      <c r="M392" s="51" t="str">
        <f>VLOOKUP(_stats[[#This Row],[tournament]],tournaments_n_rules[],3,0)</f>
        <v>Лето 2025</v>
      </c>
      <c r="N392" s="52">
        <f>VLOOKUP(_stats[[#This Row],[tournament]],tournaments_n_rules[],4,0)</f>
        <v>45809</v>
      </c>
      <c r="O392" s="52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51" t="str">
        <f>VLOOKUP(_stats[[#This Row],[tournament]],tournaments_n_rules[],2,0)</f>
        <v>Барышиха</v>
      </c>
      <c r="M393" s="51" t="str">
        <f>VLOOKUP(_stats[[#This Row],[tournament]],tournaments_n_rules[],3,0)</f>
        <v>Лето 2025</v>
      </c>
      <c r="N393" s="52">
        <f>VLOOKUP(_stats[[#This Row],[tournament]],tournaments_n_rules[],4,0)</f>
        <v>45809</v>
      </c>
      <c r="O393" s="52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51" t="str">
        <f>VLOOKUP(_stats[[#This Row],[tournament]],tournaments_n_rules[],2,0)</f>
        <v>Барышиха</v>
      </c>
      <c r="M394" s="51" t="str">
        <f>VLOOKUP(_stats[[#This Row],[tournament]],tournaments_n_rules[],3,0)</f>
        <v>Лето 2025</v>
      </c>
      <c r="N394" s="52">
        <f>VLOOKUP(_stats[[#This Row],[tournament]],tournaments_n_rules[],4,0)</f>
        <v>45809</v>
      </c>
      <c r="O394" s="52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51" t="str">
        <f>VLOOKUP(_stats[[#This Row],[tournament]],tournaments_n_rules[],2,0)</f>
        <v>Барышиха</v>
      </c>
      <c r="M395" s="51" t="str">
        <f>VLOOKUP(_stats[[#This Row],[tournament]],tournaments_n_rules[],3,0)</f>
        <v>Лето 2025</v>
      </c>
      <c r="N395" s="52">
        <f>VLOOKUP(_stats[[#This Row],[tournament]],tournaments_n_rules[],4,0)</f>
        <v>45809</v>
      </c>
      <c r="O395" s="52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51" t="str">
        <f>VLOOKUP(_stats[[#This Row],[tournament]],tournaments_n_rules[],2,0)</f>
        <v>Барышиха</v>
      </c>
      <c r="M396" s="51" t="str">
        <f>VLOOKUP(_stats[[#This Row],[tournament]],tournaments_n_rules[],3,0)</f>
        <v>Лето 2025</v>
      </c>
      <c r="N396" s="52">
        <f>VLOOKUP(_stats[[#This Row],[tournament]],tournaments_n_rules[],4,0)</f>
        <v>45809</v>
      </c>
      <c r="O396" s="52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51" t="str">
        <f>VLOOKUP(_stats[[#This Row],[tournament]],tournaments_n_rules[],2,0)</f>
        <v>Барышиха</v>
      </c>
      <c r="M397" s="51" t="str">
        <f>VLOOKUP(_stats[[#This Row],[tournament]],tournaments_n_rules[],3,0)</f>
        <v>Лето 2025</v>
      </c>
      <c r="N397" s="52">
        <f>VLOOKUP(_stats[[#This Row],[tournament]],tournaments_n_rules[],4,0)</f>
        <v>45809</v>
      </c>
      <c r="O397" s="52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51" t="str">
        <f>VLOOKUP(_stats[[#This Row],[tournament]],tournaments_n_rules[],2,0)</f>
        <v>Барышиха</v>
      </c>
      <c r="M398" s="51" t="str">
        <f>VLOOKUP(_stats[[#This Row],[tournament]],tournaments_n_rules[],3,0)</f>
        <v>Лето 2025</v>
      </c>
      <c r="N398" s="52">
        <f>VLOOKUP(_stats[[#This Row],[tournament]],tournaments_n_rules[],4,0)</f>
        <v>45809</v>
      </c>
      <c r="O398" s="52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51" t="str">
        <f>VLOOKUP(_stats[[#This Row],[tournament]],tournaments_n_rules[],2,0)</f>
        <v>Барышиха</v>
      </c>
      <c r="M399" s="51" t="str">
        <f>VLOOKUP(_stats[[#This Row],[tournament]],tournaments_n_rules[],3,0)</f>
        <v>Лето 2025</v>
      </c>
      <c r="N399" s="52">
        <f>VLOOKUP(_stats[[#This Row],[tournament]],tournaments_n_rules[],4,0)</f>
        <v>45809</v>
      </c>
      <c r="O399" s="52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51" t="str">
        <f>VLOOKUP(_stats[[#This Row],[tournament]],tournaments_n_rules[],2,0)</f>
        <v>Барышиха</v>
      </c>
      <c r="M400" s="51" t="str">
        <f>VLOOKUP(_stats[[#This Row],[tournament]],tournaments_n_rules[],3,0)</f>
        <v>Лето 2025</v>
      </c>
      <c r="N400" s="52">
        <f>VLOOKUP(_stats[[#This Row],[tournament]],tournaments_n_rules[],4,0)</f>
        <v>45809</v>
      </c>
      <c r="O400" s="52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51" t="str">
        <f>VLOOKUP(_stats[[#This Row],[tournament]],tournaments_n_rules[],2,0)</f>
        <v>Барышиха</v>
      </c>
      <c r="M401" s="51" t="str">
        <f>VLOOKUP(_stats[[#This Row],[tournament]],tournaments_n_rules[],3,0)</f>
        <v>Лето 2025</v>
      </c>
      <c r="N401" s="52">
        <f>VLOOKUP(_stats[[#This Row],[tournament]],tournaments_n_rules[],4,0)</f>
        <v>45809</v>
      </c>
      <c r="O401" s="52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51" t="str">
        <f>VLOOKUP(_stats[[#This Row],[tournament]],tournaments_n_rules[],2,0)</f>
        <v>Барышиха</v>
      </c>
      <c r="M402" s="51" t="str">
        <f>VLOOKUP(_stats[[#This Row],[tournament]],tournaments_n_rules[],3,0)</f>
        <v>Лето 2025</v>
      </c>
      <c r="N402" s="52">
        <f>VLOOKUP(_stats[[#This Row],[tournament]],tournaments_n_rules[],4,0)</f>
        <v>45809</v>
      </c>
      <c r="O402" s="52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51" t="str">
        <f>VLOOKUP(_stats[[#This Row],[tournament]],tournaments_n_rules[],2,0)</f>
        <v>Барышиха</v>
      </c>
      <c r="M403" s="51" t="str">
        <f>VLOOKUP(_stats[[#This Row],[tournament]],tournaments_n_rules[],3,0)</f>
        <v>Лето 2025</v>
      </c>
      <c r="N403" s="52">
        <f>VLOOKUP(_stats[[#This Row],[tournament]],tournaments_n_rules[],4,0)</f>
        <v>45809</v>
      </c>
      <c r="O403" s="52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51" t="str">
        <f>VLOOKUP(_stats[[#This Row],[tournament]],tournaments_n_rules[],2,0)</f>
        <v>Барышиха</v>
      </c>
      <c r="M404" s="51" t="str">
        <f>VLOOKUP(_stats[[#This Row],[tournament]],tournaments_n_rules[],3,0)</f>
        <v>Лето 2025</v>
      </c>
      <c r="N404" s="52">
        <f>VLOOKUP(_stats[[#This Row],[tournament]],tournaments_n_rules[],4,0)</f>
        <v>45809</v>
      </c>
      <c r="O404" s="52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51" t="str">
        <f>VLOOKUP(_stats[[#This Row],[tournament]],tournaments_n_rules[],2,0)</f>
        <v>Барышиха</v>
      </c>
      <c r="M405" s="51" t="str">
        <f>VLOOKUP(_stats[[#This Row],[tournament]],tournaments_n_rules[],3,0)</f>
        <v>Лето 2025</v>
      </c>
      <c r="N405" s="52">
        <f>VLOOKUP(_stats[[#This Row],[tournament]],tournaments_n_rules[],4,0)</f>
        <v>45809</v>
      </c>
      <c r="O405" s="52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51" t="str">
        <f>VLOOKUP(_stats[[#This Row],[tournament]],tournaments_n_rules[],2,0)</f>
        <v>Барышиха</v>
      </c>
      <c r="M406" s="51" t="str">
        <f>VLOOKUP(_stats[[#This Row],[tournament]],tournaments_n_rules[],3,0)</f>
        <v>Лето 2025</v>
      </c>
      <c r="N406" s="52">
        <f>VLOOKUP(_stats[[#This Row],[tournament]],tournaments_n_rules[],4,0)</f>
        <v>45809</v>
      </c>
      <c r="O406" s="52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51" t="str">
        <f>VLOOKUP(_stats[[#This Row],[tournament]],tournaments_n_rules[],2,0)</f>
        <v>Барышиха</v>
      </c>
      <c r="M407" s="51" t="str">
        <f>VLOOKUP(_stats[[#This Row],[tournament]],tournaments_n_rules[],3,0)</f>
        <v>Лето 2025</v>
      </c>
      <c r="N407" s="52">
        <f>VLOOKUP(_stats[[#This Row],[tournament]],tournaments_n_rules[],4,0)</f>
        <v>45809</v>
      </c>
      <c r="O407" s="52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51" t="str">
        <f>VLOOKUP(_stats[[#This Row],[tournament]],tournaments_n_rules[],2,0)</f>
        <v>Барышиха</v>
      </c>
      <c r="M408" s="51" t="str">
        <f>VLOOKUP(_stats[[#This Row],[tournament]],tournaments_n_rules[],3,0)</f>
        <v>Лето 2025</v>
      </c>
      <c r="N408" s="52">
        <f>VLOOKUP(_stats[[#This Row],[tournament]],tournaments_n_rules[],4,0)</f>
        <v>45809</v>
      </c>
      <c r="O408" s="52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51" t="str">
        <f>VLOOKUP(_stats[[#This Row],[tournament]],tournaments_n_rules[],2,0)</f>
        <v>Барышиха</v>
      </c>
      <c r="M409" s="51" t="str">
        <f>VLOOKUP(_stats[[#This Row],[tournament]],tournaments_n_rules[],3,0)</f>
        <v>Лето 2025</v>
      </c>
      <c r="N409" s="52">
        <f>VLOOKUP(_stats[[#This Row],[tournament]],tournaments_n_rules[],4,0)</f>
        <v>45809</v>
      </c>
      <c r="O409" s="52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51" t="str">
        <f>VLOOKUP(_stats[[#This Row],[tournament]],tournaments_n_rules[],2,0)</f>
        <v>Барышиха</v>
      </c>
      <c r="M410" s="51" t="str">
        <f>VLOOKUP(_stats[[#This Row],[tournament]],tournaments_n_rules[],3,0)</f>
        <v>Лето 2025</v>
      </c>
      <c r="N410" s="52">
        <f>VLOOKUP(_stats[[#This Row],[tournament]],tournaments_n_rules[],4,0)</f>
        <v>45809</v>
      </c>
      <c r="O410" s="52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51" t="str">
        <f>VLOOKUP(_stats[[#This Row],[tournament]],tournaments_n_rules[],2,0)</f>
        <v>Барышиха</v>
      </c>
      <c r="M411" s="51" t="str">
        <f>VLOOKUP(_stats[[#This Row],[tournament]],tournaments_n_rules[],3,0)</f>
        <v>Лето 2025</v>
      </c>
      <c r="N411" s="52">
        <f>VLOOKUP(_stats[[#This Row],[tournament]],tournaments_n_rules[],4,0)</f>
        <v>45809</v>
      </c>
      <c r="O411" s="52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51" t="str">
        <f>VLOOKUP(_stats[[#This Row],[tournament]],tournaments_n_rules[],2,0)</f>
        <v>Барышиха</v>
      </c>
      <c r="M412" s="51" t="str">
        <f>VLOOKUP(_stats[[#This Row],[tournament]],tournaments_n_rules[],3,0)</f>
        <v>Лето 2025</v>
      </c>
      <c r="N412" s="52">
        <f>VLOOKUP(_stats[[#This Row],[tournament]],tournaments_n_rules[],4,0)</f>
        <v>45809</v>
      </c>
      <c r="O412" s="52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51" t="str">
        <f>VLOOKUP(_stats[[#This Row],[tournament]],tournaments_n_rules[],2,0)</f>
        <v>Барышиха</v>
      </c>
      <c r="M413" s="51" t="str">
        <f>VLOOKUP(_stats[[#This Row],[tournament]],tournaments_n_rules[],3,0)</f>
        <v>Лето 2025</v>
      </c>
      <c r="N413" s="52">
        <f>VLOOKUP(_stats[[#This Row],[tournament]],tournaments_n_rules[],4,0)</f>
        <v>45809</v>
      </c>
      <c r="O413" s="52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51" t="str">
        <f>VLOOKUP(_stats[[#This Row],[tournament]],tournaments_n_rules[],2,0)</f>
        <v>Барышиха</v>
      </c>
      <c r="M414" s="51" t="str">
        <f>VLOOKUP(_stats[[#This Row],[tournament]],tournaments_n_rules[],3,0)</f>
        <v>Лето 2025</v>
      </c>
      <c r="N414" s="52">
        <f>VLOOKUP(_stats[[#This Row],[tournament]],tournaments_n_rules[],4,0)</f>
        <v>45809</v>
      </c>
      <c r="O414" s="52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51" t="str">
        <f>VLOOKUP(_stats[[#This Row],[tournament]],tournaments_n_rules[],2,0)</f>
        <v>Барышиха</v>
      </c>
      <c r="M415" s="51" t="str">
        <f>VLOOKUP(_stats[[#This Row],[tournament]],tournaments_n_rules[],3,0)</f>
        <v>Лето 2025</v>
      </c>
      <c r="N415" s="52">
        <f>VLOOKUP(_stats[[#This Row],[tournament]],tournaments_n_rules[],4,0)</f>
        <v>45809</v>
      </c>
      <c r="O415" s="52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51" t="str">
        <f>VLOOKUP(_stats[[#This Row],[tournament]],tournaments_n_rules[],2,0)</f>
        <v>Барышиха</v>
      </c>
      <c r="M416" s="51" t="str">
        <f>VLOOKUP(_stats[[#This Row],[tournament]],tournaments_n_rules[],3,0)</f>
        <v>Лето 2025</v>
      </c>
      <c r="N416" s="52">
        <f>VLOOKUP(_stats[[#This Row],[tournament]],tournaments_n_rules[],4,0)</f>
        <v>45809</v>
      </c>
      <c r="O416" s="52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51" t="str">
        <f>VLOOKUP(_stats[[#This Row],[tournament]],tournaments_n_rules[],2,0)</f>
        <v>Барышиха</v>
      </c>
      <c r="M417" s="51" t="str">
        <f>VLOOKUP(_stats[[#This Row],[tournament]],tournaments_n_rules[],3,0)</f>
        <v>Лето 2025</v>
      </c>
      <c r="N417" s="52">
        <f>VLOOKUP(_stats[[#This Row],[tournament]],tournaments_n_rules[],4,0)</f>
        <v>45809</v>
      </c>
      <c r="O417" s="52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51" t="str">
        <f>VLOOKUP(_stats[[#This Row],[tournament]],tournaments_n_rules[],2,0)</f>
        <v>Барышиха</v>
      </c>
      <c r="M418" s="51" t="str">
        <f>VLOOKUP(_stats[[#This Row],[tournament]],tournaments_n_rules[],3,0)</f>
        <v>Лето 2025</v>
      </c>
      <c r="N418" s="52">
        <f>VLOOKUP(_stats[[#This Row],[tournament]],tournaments_n_rules[],4,0)</f>
        <v>45809</v>
      </c>
      <c r="O418" s="52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51" t="str">
        <f>VLOOKUP(_stats[[#This Row],[tournament]],tournaments_n_rules[],2,0)</f>
        <v>Барышиха</v>
      </c>
      <c r="M419" s="51" t="str">
        <f>VLOOKUP(_stats[[#This Row],[tournament]],tournaments_n_rules[],3,0)</f>
        <v>Лето 2025</v>
      </c>
      <c r="N419" s="52">
        <f>VLOOKUP(_stats[[#This Row],[tournament]],tournaments_n_rules[],4,0)</f>
        <v>45809</v>
      </c>
      <c r="O419" s="52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51" t="str">
        <f>VLOOKUP(_stats[[#This Row],[tournament]],tournaments_n_rules[],2,0)</f>
        <v>Барышиха</v>
      </c>
      <c r="M420" s="51" t="str">
        <f>VLOOKUP(_stats[[#This Row],[tournament]],tournaments_n_rules[],3,0)</f>
        <v>Лето 2025</v>
      </c>
      <c r="N420" s="52">
        <f>VLOOKUP(_stats[[#This Row],[tournament]],tournaments_n_rules[],4,0)</f>
        <v>45809</v>
      </c>
      <c r="O420" s="52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51" t="str">
        <f>VLOOKUP(_stats[[#This Row],[tournament]],tournaments_n_rules[],2,0)</f>
        <v>Барышиха</v>
      </c>
      <c r="M421" s="51" t="str">
        <f>VLOOKUP(_stats[[#This Row],[tournament]],tournaments_n_rules[],3,0)</f>
        <v>Лето 2025</v>
      </c>
      <c r="N421" s="52">
        <f>VLOOKUP(_stats[[#This Row],[tournament]],tournaments_n_rules[],4,0)</f>
        <v>45809</v>
      </c>
      <c r="O421" s="52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51" t="str">
        <f>VLOOKUP(_stats[[#This Row],[tournament]],tournaments_n_rules[],2,0)</f>
        <v>Барышиха</v>
      </c>
      <c r="M422" s="51" t="str">
        <f>VLOOKUP(_stats[[#This Row],[tournament]],tournaments_n_rules[],3,0)</f>
        <v>Лето 2025</v>
      </c>
      <c r="N422" s="52">
        <f>VLOOKUP(_stats[[#This Row],[tournament]],tournaments_n_rules[],4,0)</f>
        <v>45809</v>
      </c>
      <c r="O422" s="52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51" t="str">
        <f>VLOOKUP(_stats[[#This Row],[tournament]],tournaments_n_rules[],2,0)</f>
        <v>Барышиха</v>
      </c>
      <c r="M423" s="51" t="str">
        <f>VLOOKUP(_stats[[#This Row],[tournament]],tournaments_n_rules[],3,0)</f>
        <v>Лето 2025</v>
      </c>
      <c r="N423" s="52">
        <f>VLOOKUP(_stats[[#This Row],[tournament]],tournaments_n_rules[],4,0)</f>
        <v>45809</v>
      </c>
      <c r="O423" s="52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51" t="str">
        <f>VLOOKUP(_stats[[#This Row],[tournament]],tournaments_n_rules[],2,0)</f>
        <v>Барышиха</v>
      </c>
      <c r="M424" s="51" t="str">
        <f>VLOOKUP(_stats[[#This Row],[tournament]],tournaments_n_rules[],3,0)</f>
        <v>Лето 2025</v>
      </c>
      <c r="N424" s="52">
        <f>VLOOKUP(_stats[[#This Row],[tournament]],tournaments_n_rules[],4,0)</f>
        <v>45809</v>
      </c>
      <c r="O424" s="52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51" t="str">
        <f>VLOOKUP(_stats[[#This Row],[tournament]],tournaments_n_rules[],2,0)</f>
        <v>Барышиха</v>
      </c>
      <c r="M425" s="51" t="str">
        <f>VLOOKUP(_stats[[#This Row],[tournament]],tournaments_n_rules[],3,0)</f>
        <v>Лето 2025</v>
      </c>
      <c r="N425" s="52">
        <f>VLOOKUP(_stats[[#This Row],[tournament]],tournaments_n_rules[],4,0)</f>
        <v>45809</v>
      </c>
      <c r="O425" s="52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51" t="str">
        <f>VLOOKUP(_stats[[#This Row],[tournament]],tournaments_n_rules[],2,0)</f>
        <v>Барышиха</v>
      </c>
      <c r="M426" s="51" t="str">
        <f>VLOOKUP(_stats[[#This Row],[tournament]],tournaments_n_rules[],3,0)</f>
        <v>Лето 2025</v>
      </c>
      <c r="N426" s="52">
        <f>VLOOKUP(_stats[[#This Row],[tournament]],tournaments_n_rules[],4,0)</f>
        <v>45809</v>
      </c>
      <c r="O426" s="52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51" t="str">
        <f>VLOOKUP(_stats[[#This Row],[tournament]],tournaments_n_rules[],2,0)</f>
        <v>Барышиха</v>
      </c>
      <c r="M427" s="51" t="str">
        <f>VLOOKUP(_stats[[#This Row],[tournament]],tournaments_n_rules[],3,0)</f>
        <v>Лето 2025</v>
      </c>
      <c r="N427" s="52">
        <f>VLOOKUP(_stats[[#This Row],[tournament]],tournaments_n_rules[],4,0)</f>
        <v>45809</v>
      </c>
      <c r="O427" s="52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51" t="str">
        <f>VLOOKUP(_stats[[#This Row],[tournament]],tournaments_n_rules[],2,0)</f>
        <v>Барышиха</v>
      </c>
      <c r="M428" s="51" t="str">
        <f>VLOOKUP(_stats[[#This Row],[tournament]],tournaments_n_rules[],3,0)</f>
        <v>Лето 2025</v>
      </c>
      <c r="N428" s="52">
        <f>VLOOKUP(_stats[[#This Row],[tournament]],tournaments_n_rules[],4,0)</f>
        <v>45809</v>
      </c>
      <c r="O428" s="52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51" t="str">
        <f>VLOOKUP(_stats[[#This Row],[tournament]],tournaments_n_rules[],2,0)</f>
        <v>Барышиха</v>
      </c>
      <c r="M429" s="51" t="str">
        <f>VLOOKUP(_stats[[#This Row],[tournament]],tournaments_n_rules[],3,0)</f>
        <v>Лето 2025</v>
      </c>
      <c r="N429" s="52">
        <f>VLOOKUP(_stats[[#This Row],[tournament]],tournaments_n_rules[],4,0)</f>
        <v>45809</v>
      </c>
      <c r="O429" s="52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51" t="str">
        <f>VLOOKUP(_stats[[#This Row],[tournament]],tournaments_n_rules[],2,0)</f>
        <v>Барышиха</v>
      </c>
      <c r="M430" s="51" t="str">
        <f>VLOOKUP(_stats[[#This Row],[tournament]],tournaments_n_rules[],3,0)</f>
        <v>Лето 2025</v>
      </c>
      <c r="N430" s="52">
        <f>VLOOKUP(_stats[[#This Row],[tournament]],tournaments_n_rules[],4,0)</f>
        <v>45809</v>
      </c>
      <c r="O430" s="52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51" t="str">
        <f>VLOOKUP(_stats[[#This Row],[tournament]],tournaments_n_rules[],2,0)</f>
        <v>Барышиха</v>
      </c>
      <c r="M431" s="51" t="str">
        <f>VLOOKUP(_stats[[#This Row],[tournament]],tournaments_n_rules[],3,0)</f>
        <v>Лето 2025</v>
      </c>
      <c r="N431" s="52">
        <f>VLOOKUP(_stats[[#This Row],[tournament]],tournaments_n_rules[],4,0)</f>
        <v>45809</v>
      </c>
      <c r="O431" s="52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51" t="str">
        <f>VLOOKUP(_stats[[#This Row],[tournament]],tournaments_n_rules[],2,0)</f>
        <v>Барышиха</v>
      </c>
      <c r="M432" s="51" t="str">
        <f>VLOOKUP(_stats[[#This Row],[tournament]],tournaments_n_rules[],3,0)</f>
        <v>Лето 2025</v>
      </c>
      <c r="N432" s="52">
        <f>VLOOKUP(_stats[[#This Row],[tournament]],tournaments_n_rules[],4,0)</f>
        <v>45809</v>
      </c>
      <c r="O432" s="52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51" t="str">
        <f>VLOOKUP(_stats[[#This Row],[tournament]],tournaments_n_rules[],2,0)</f>
        <v>Барышиха</v>
      </c>
      <c r="M433" s="51" t="str">
        <f>VLOOKUP(_stats[[#This Row],[tournament]],tournaments_n_rules[],3,0)</f>
        <v>Лето 2025</v>
      </c>
      <c r="N433" s="52">
        <f>VLOOKUP(_stats[[#This Row],[tournament]],tournaments_n_rules[],4,0)</f>
        <v>45809</v>
      </c>
      <c r="O433" s="52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51" t="str">
        <f>VLOOKUP(_stats[[#This Row],[tournament]],tournaments_n_rules[],2,0)</f>
        <v>Барышиха</v>
      </c>
      <c r="M434" s="51" t="str">
        <f>VLOOKUP(_stats[[#This Row],[tournament]],tournaments_n_rules[],3,0)</f>
        <v>Лето 2025</v>
      </c>
      <c r="N434" s="52">
        <f>VLOOKUP(_stats[[#This Row],[tournament]],tournaments_n_rules[],4,0)</f>
        <v>45809</v>
      </c>
      <c r="O434" s="52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51" t="str">
        <f>VLOOKUP(_stats[[#This Row],[tournament]],tournaments_n_rules[],2,0)</f>
        <v>Барышиха</v>
      </c>
      <c r="M435" s="51" t="str">
        <f>VLOOKUP(_stats[[#This Row],[tournament]],tournaments_n_rules[],3,0)</f>
        <v>Лето 2025</v>
      </c>
      <c r="N435" s="52">
        <f>VLOOKUP(_stats[[#This Row],[tournament]],tournaments_n_rules[],4,0)</f>
        <v>45809</v>
      </c>
      <c r="O435" s="52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51" t="str">
        <f>VLOOKUP(_stats[[#This Row],[tournament]],tournaments_n_rules[],2,0)</f>
        <v>Барышиха</v>
      </c>
      <c r="M436" s="51" t="str">
        <f>VLOOKUP(_stats[[#This Row],[tournament]],tournaments_n_rules[],3,0)</f>
        <v>Лето 2025</v>
      </c>
      <c r="N436" s="52">
        <f>VLOOKUP(_stats[[#This Row],[tournament]],tournaments_n_rules[],4,0)</f>
        <v>45809</v>
      </c>
      <c r="O436" s="52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51" t="str">
        <f>VLOOKUP(_stats[[#This Row],[tournament]],tournaments_n_rules[],2,0)</f>
        <v>Барышиха</v>
      </c>
      <c r="M437" s="51" t="str">
        <f>VLOOKUP(_stats[[#This Row],[tournament]],tournaments_n_rules[],3,0)</f>
        <v>Лето 2025</v>
      </c>
      <c r="N437" s="52">
        <f>VLOOKUP(_stats[[#This Row],[tournament]],tournaments_n_rules[],4,0)</f>
        <v>45809</v>
      </c>
      <c r="O437" s="52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51" t="str">
        <f>VLOOKUP(_stats[[#This Row],[tournament]],tournaments_n_rules[],2,0)</f>
        <v>Барышиха</v>
      </c>
      <c r="M438" s="51" t="str">
        <f>VLOOKUP(_stats[[#This Row],[tournament]],tournaments_n_rules[],3,0)</f>
        <v>Лето 2025</v>
      </c>
      <c r="N438" s="52">
        <f>VLOOKUP(_stats[[#This Row],[tournament]],tournaments_n_rules[],4,0)</f>
        <v>45809</v>
      </c>
      <c r="O438" s="52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51" t="str">
        <f>VLOOKUP(_stats[[#This Row],[tournament]],tournaments_n_rules[],2,0)</f>
        <v>Барышиха</v>
      </c>
      <c r="M439" s="51" t="str">
        <f>VLOOKUP(_stats[[#This Row],[tournament]],tournaments_n_rules[],3,0)</f>
        <v>Лето 2025</v>
      </c>
      <c r="N439" s="52">
        <f>VLOOKUP(_stats[[#This Row],[tournament]],tournaments_n_rules[],4,0)</f>
        <v>45809</v>
      </c>
      <c r="O439" s="52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51" t="str">
        <f>VLOOKUP(_stats[[#This Row],[tournament]],tournaments_n_rules[],2,0)</f>
        <v>Барышиха</v>
      </c>
      <c r="M440" s="51" t="str">
        <f>VLOOKUP(_stats[[#This Row],[tournament]],tournaments_n_rules[],3,0)</f>
        <v>Лето 2025</v>
      </c>
      <c r="N440" s="52">
        <f>VLOOKUP(_stats[[#This Row],[tournament]],tournaments_n_rules[],4,0)</f>
        <v>45809</v>
      </c>
      <c r="O440" s="52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51" t="str">
        <f>VLOOKUP(_stats[[#This Row],[tournament]],tournaments_n_rules[],2,0)</f>
        <v>Барышиха</v>
      </c>
      <c r="M441" s="51" t="str">
        <f>VLOOKUP(_stats[[#This Row],[tournament]],tournaments_n_rules[],3,0)</f>
        <v>Лето 2025</v>
      </c>
      <c r="N441" s="52">
        <f>VLOOKUP(_stats[[#This Row],[tournament]],tournaments_n_rules[],4,0)</f>
        <v>45809</v>
      </c>
      <c r="O441" s="52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51" t="str">
        <f>VLOOKUP(_stats[[#This Row],[tournament]],tournaments_n_rules[],2,0)</f>
        <v>Барышиха</v>
      </c>
      <c r="M442" s="51" t="str">
        <f>VLOOKUP(_stats[[#This Row],[tournament]],tournaments_n_rules[],3,0)</f>
        <v>Лето 2025</v>
      </c>
      <c r="N442" s="52">
        <f>VLOOKUP(_stats[[#This Row],[tournament]],tournaments_n_rules[],4,0)</f>
        <v>45809</v>
      </c>
      <c r="O442" s="52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51" t="str">
        <f>VLOOKUP(_stats[[#This Row],[tournament]],tournaments_n_rules[],2,0)</f>
        <v>Барышиха</v>
      </c>
      <c r="M443" s="51" t="str">
        <f>VLOOKUP(_stats[[#This Row],[tournament]],tournaments_n_rules[],3,0)</f>
        <v>Лето 2025</v>
      </c>
      <c r="N443" s="52">
        <f>VLOOKUP(_stats[[#This Row],[tournament]],tournaments_n_rules[],4,0)</f>
        <v>45809</v>
      </c>
      <c r="O443" s="52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51" t="str">
        <f>VLOOKUP(_stats[[#This Row],[tournament]],tournaments_n_rules[],2,0)</f>
        <v>Барышиха</v>
      </c>
      <c r="M444" s="51" t="str">
        <f>VLOOKUP(_stats[[#This Row],[tournament]],tournaments_n_rules[],3,0)</f>
        <v>Лето 2025</v>
      </c>
      <c r="N444" s="52">
        <f>VLOOKUP(_stats[[#This Row],[tournament]],tournaments_n_rules[],4,0)</f>
        <v>45809</v>
      </c>
      <c r="O444" s="52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51" t="str">
        <f>VLOOKUP(_stats[[#This Row],[tournament]],tournaments_n_rules[],2,0)</f>
        <v>Барышиха</v>
      </c>
      <c r="M445" s="51" t="str">
        <f>VLOOKUP(_stats[[#This Row],[tournament]],tournaments_n_rules[],3,0)</f>
        <v>Лето 2025</v>
      </c>
      <c r="N445" s="52">
        <f>VLOOKUP(_stats[[#This Row],[tournament]],tournaments_n_rules[],4,0)</f>
        <v>45809</v>
      </c>
      <c r="O445" s="52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51" t="str">
        <f>VLOOKUP(_stats[[#This Row],[tournament]],tournaments_n_rules[],2,0)</f>
        <v>Барышиха</v>
      </c>
      <c r="M446" s="51" t="str">
        <f>VLOOKUP(_stats[[#This Row],[tournament]],tournaments_n_rules[],3,0)</f>
        <v>Лето 2025</v>
      </c>
      <c r="N446" s="52">
        <f>VLOOKUP(_stats[[#This Row],[tournament]],tournaments_n_rules[],4,0)</f>
        <v>45809</v>
      </c>
      <c r="O446" s="52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51" t="str">
        <f>VLOOKUP(_stats[[#This Row],[tournament]],tournaments_n_rules[],2,0)</f>
        <v>Барышиха</v>
      </c>
      <c r="M447" s="51" t="str">
        <f>VLOOKUP(_stats[[#This Row],[tournament]],tournaments_n_rules[],3,0)</f>
        <v>Лето 2025</v>
      </c>
      <c r="N447" s="52">
        <f>VLOOKUP(_stats[[#This Row],[tournament]],tournaments_n_rules[],4,0)</f>
        <v>45809</v>
      </c>
      <c r="O447" s="52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51" t="str">
        <f>VLOOKUP(_stats[[#This Row],[tournament]],tournaments_n_rules[],2,0)</f>
        <v>Барышиха</v>
      </c>
      <c r="M448" s="51" t="str">
        <f>VLOOKUP(_stats[[#This Row],[tournament]],tournaments_n_rules[],3,0)</f>
        <v>Лето 2025</v>
      </c>
      <c r="N448" s="52">
        <f>VLOOKUP(_stats[[#This Row],[tournament]],tournaments_n_rules[],4,0)</f>
        <v>45809</v>
      </c>
      <c r="O448" s="52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51" t="str">
        <f>VLOOKUP(_stats[[#This Row],[tournament]],tournaments_n_rules[],2,0)</f>
        <v>Барышиха</v>
      </c>
      <c r="M449" s="51" t="str">
        <f>VLOOKUP(_stats[[#This Row],[tournament]],tournaments_n_rules[],3,0)</f>
        <v>Лето 2025</v>
      </c>
      <c r="N449" s="52">
        <f>VLOOKUP(_stats[[#This Row],[tournament]],tournaments_n_rules[],4,0)</f>
        <v>45809</v>
      </c>
      <c r="O449" s="52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51" t="str">
        <f>VLOOKUP(_stats[[#This Row],[tournament]],tournaments_n_rules[],2,0)</f>
        <v>Барышиха</v>
      </c>
      <c r="M450" s="51" t="str">
        <f>VLOOKUP(_stats[[#This Row],[tournament]],tournaments_n_rules[],3,0)</f>
        <v>Лето 2025</v>
      </c>
      <c r="N450" s="52">
        <f>VLOOKUP(_stats[[#This Row],[tournament]],tournaments_n_rules[],4,0)</f>
        <v>45809</v>
      </c>
      <c r="O450" s="52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51" t="str">
        <f>VLOOKUP(_stats[[#This Row],[tournament]],tournaments_n_rules[],2,0)</f>
        <v>Барышиха</v>
      </c>
      <c r="M451" s="51" t="str">
        <f>VLOOKUP(_stats[[#This Row],[tournament]],tournaments_n_rules[],3,0)</f>
        <v>Лето 2025</v>
      </c>
      <c r="N451" s="52">
        <f>VLOOKUP(_stats[[#This Row],[tournament]],tournaments_n_rules[],4,0)</f>
        <v>45809</v>
      </c>
      <c r="O451" s="52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51" t="str">
        <f>VLOOKUP(_stats[[#This Row],[tournament]],tournaments_n_rules[],2,0)</f>
        <v>Барышиха</v>
      </c>
      <c r="M452" s="51" t="str">
        <f>VLOOKUP(_stats[[#This Row],[tournament]],tournaments_n_rules[],3,0)</f>
        <v>Лето 2025</v>
      </c>
      <c r="N452" s="52">
        <f>VLOOKUP(_stats[[#This Row],[tournament]],tournaments_n_rules[],4,0)</f>
        <v>45809</v>
      </c>
      <c r="O452" s="52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51" t="str">
        <f>VLOOKUP(_stats[[#This Row],[tournament]],tournaments_n_rules[],2,0)</f>
        <v>Барышиха</v>
      </c>
      <c r="M453" s="51" t="str">
        <f>VLOOKUP(_stats[[#This Row],[tournament]],tournaments_n_rules[],3,0)</f>
        <v>Лето 2025</v>
      </c>
      <c r="N453" s="52">
        <f>VLOOKUP(_stats[[#This Row],[tournament]],tournaments_n_rules[],4,0)</f>
        <v>45809</v>
      </c>
      <c r="O453" s="52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51" t="str">
        <f>VLOOKUP(_stats[[#This Row],[tournament]],tournaments_n_rules[],2,0)</f>
        <v>Барышиха</v>
      </c>
      <c r="M454" s="51" t="str">
        <f>VLOOKUP(_stats[[#This Row],[tournament]],tournaments_n_rules[],3,0)</f>
        <v>Лето 2025</v>
      </c>
      <c r="N454" s="52">
        <f>VLOOKUP(_stats[[#This Row],[tournament]],tournaments_n_rules[],4,0)</f>
        <v>45809</v>
      </c>
      <c r="O454" s="52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51" t="str">
        <f>VLOOKUP(_stats[[#This Row],[tournament]],tournaments_n_rules[],2,0)</f>
        <v>Барышиха</v>
      </c>
      <c r="M455" s="51" t="str">
        <f>VLOOKUP(_stats[[#This Row],[tournament]],tournaments_n_rules[],3,0)</f>
        <v>Лето 2025</v>
      </c>
      <c r="N455" s="52">
        <f>VLOOKUP(_stats[[#This Row],[tournament]],tournaments_n_rules[],4,0)</f>
        <v>45809</v>
      </c>
      <c r="O455" s="52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51" t="str">
        <f>VLOOKUP(_stats[[#This Row],[tournament]],tournaments_n_rules[],2,0)</f>
        <v>Барышиха</v>
      </c>
      <c r="M456" s="51" t="str">
        <f>VLOOKUP(_stats[[#This Row],[tournament]],tournaments_n_rules[],3,0)</f>
        <v>Лето 2025</v>
      </c>
      <c r="N456" s="52">
        <f>VLOOKUP(_stats[[#This Row],[tournament]],tournaments_n_rules[],4,0)</f>
        <v>45809</v>
      </c>
      <c r="O456" s="52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51" t="str">
        <f>VLOOKUP(_stats[[#This Row],[tournament]],tournaments_n_rules[],2,0)</f>
        <v>Барышиха</v>
      </c>
      <c r="M457" s="51" t="str">
        <f>VLOOKUP(_stats[[#This Row],[tournament]],tournaments_n_rules[],3,0)</f>
        <v>Лето 2025</v>
      </c>
      <c r="N457" s="52">
        <f>VLOOKUP(_stats[[#This Row],[tournament]],tournaments_n_rules[],4,0)</f>
        <v>45809</v>
      </c>
      <c r="O457" s="52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51" t="str">
        <f>VLOOKUP(_stats[[#This Row],[tournament]],tournaments_n_rules[],2,0)</f>
        <v>Барышиха</v>
      </c>
      <c r="M458" s="51" t="str">
        <f>VLOOKUP(_stats[[#This Row],[tournament]],tournaments_n_rules[],3,0)</f>
        <v>Лето 2025</v>
      </c>
      <c r="N458" s="52">
        <f>VLOOKUP(_stats[[#This Row],[tournament]],tournaments_n_rules[],4,0)</f>
        <v>45809</v>
      </c>
      <c r="O458" s="52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51" t="str">
        <f>VLOOKUP(_stats[[#This Row],[tournament]],tournaments_n_rules[],2,0)</f>
        <v>Барышиха</v>
      </c>
      <c r="M459" s="51" t="str">
        <f>VLOOKUP(_stats[[#This Row],[tournament]],tournaments_n_rules[],3,0)</f>
        <v>Лето 2025</v>
      </c>
      <c r="N459" s="52">
        <f>VLOOKUP(_stats[[#This Row],[tournament]],tournaments_n_rules[],4,0)</f>
        <v>45809</v>
      </c>
      <c r="O459" s="52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51" t="str">
        <f>VLOOKUP(_stats[[#This Row],[tournament]],tournaments_n_rules[],2,0)</f>
        <v>Барышиха</v>
      </c>
      <c r="M460" s="51" t="str">
        <f>VLOOKUP(_stats[[#This Row],[tournament]],tournaments_n_rules[],3,0)</f>
        <v>Лето 2025</v>
      </c>
      <c r="N460" s="52">
        <f>VLOOKUP(_stats[[#This Row],[tournament]],tournaments_n_rules[],4,0)</f>
        <v>45809</v>
      </c>
      <c r="O460" s="52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51" t="str">
        <f>VLOOKUP(_stats[[#This Row],[tournament]],tournaments_n_rules[],2,0)</f>
        <v>Барышиха</v>
      </c>
      <c r="M461" s="51" t="str">
        <f>VLOOKUP(_stats[[#This Row],[tournament]],tournaments_n_rules[],3,0)</f>
        <v>Лето 2025</v>
      </c>
      <c r="N461" s="52">
        <f>VLOOKUP(_stats[[#This Row],[tournament]],tournaments_n_rules[],4,0)</f>
        <v>45809</v>
      </c>
      <c r="O461" s="52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51" t="str">
        <f>VLOOKUP(_stats[[#This Row],[tournament]],tournaments_n_rules[],2,0)</f>
        <v>Барышиха</v>
      </c>
      <c r="M462" s="51" t="str">
        <f>VLOOKUP(_stats[[#This Row],[tournament]],tournaments_n_rules[],3,0)</f>
        <v>Лето 2025</v>
      </c>
      <c r="N462" s="52">
        <f>VLOOKUP(_stats[[#This Row],[tournament]],tournaments_n_rules[],4,0)</f>
        <v>45809</v>
      </c>
      <c r="O462" s="52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51" t="str">
        <f>VLOOKUP(_stats[[#This Row],[tournament]],tournaments_n_rules[],2,0)</f>
        <v>Барышиха</v>
      </c>
      <c r="M463" s="51" t="str">
        <f>VLOOKUP(_stats[[#This Row],[tournament]],tournaments_n_rules[],3,0)</f>
        <v>Лето 2025</v>
      </c>
      <c r="N463" s="52">
        <f>VLOOKUP(_stats[[#This Row],[tournament]],tournaments_n_rules[],4,0)</f>
        <v>45809</v>
      </c>
      <c r="O463" s="52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51" t="str">
        <f>VLOOKUP(_stats[[#This Row],[tournament]],tournaments_n_rules[],2,0)</f>
        <v>Барышиха</v>
      </c>
      <c r="M464" s="51" t="str">
        <f>VLOOKUP(_stats[[#This Row],[tournament]],tournaments_n_rules[],3,0)</f>
        <v>Лето 2025</v>
      </c>
      <c r="N464" s="52">
        <f>VLOOKUP(_stats[[#This Row],[tournament]],tournaments_n_rules[],4,0)</f>
        <v>45809</v>
      </c>
      <c r="O464" s="52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51" t="str">
        <f>VLOOKUP(_stats[[#This Row],[tournament]],tournaments_n_rules[],2,0)</f>
        <v>Барышиха</v>
      </c>
      <c r="M465" s="51" t="str">
        <f>VLOOKUP(_stats[[#This Row],[tournament]],tournaments_n_rules[],3,0)</f>
        <v>Лето 2025</v>
      </c>
      <c r="N465" s="52">
        <f>VLOOKUP(_stats[[#This Row],[tournament]],tournaments_n_rules[],4,0)</f>
        <v>45809</v>
      </c>
      <c r="O465" s="52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51" t="str">
        <f>VLOOKUP(_stats[[#This Row],[tournament]],tournaments_n_rules[],2,0)</f>
        <v>Барышиха</v>
      </c>
      <c r="M466" s="51" t="str">
        <f>VLOOKUP(_stats[[#This Row],[tournament]],tournaments_n_rules[],3,0)</f>
        <v>Лето 2025</v>
      </c>
      <c r="N466" s="52">
        <f>VLOOKUP(_stats[[#This Row],[tournament]],tournaments_n_rules[],4,0)</f>
        <v>45809</v>
      </c>
      <c r="O466" s="52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51" t="str">
        <f>VLOOKUP(_stats[[#This Row],[tournament]],tournaments_n_rules[],2,0)</f>
        <v>Барышиха</v>
      </c>
      <c r="M467" s="51" t="str">
        <f>VLOOKUP(_stats[[#This Row],[tournament]],tournaments_n_rules[],3,0)</f>
        <v>Лето 2025</v>
      </c>
      <c r="N467" s="52">
        <f>VLOOKUP(_stats[[#This Row],[tournament]],tournaments_n_rules[],4,0)</f>
        <v>45809</v>
      </c>
      <c r="O467" s="52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51" t="str">
        <f>VLOOKUP(_stats[[#This Row],[tournament]],tournaments_n_rules[],2,0)</f>
        <v>Барышиха</v>
      </c>
      <c r="M468" s="51" t="str">
        <f>VLOOKUP(_stats[[#This Row],[tournament]],tournaments_n_rules[],3,0)</f>
        <v>Лето 2025</v>
      </c>
      <c r="N468" s="52">
        <f>VLOOKUP(_stats[[#This Row],[tournament]],tournaments_n_rules[],4,0)</f>
        <v>45809</v>
      </c>
      <c r="O468" s="52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51" t="str">
        <f>VLOOKUP(_stats[[#This Row],[tournament]],tournaments_n_rules[],2,0)</f>
        <v>Барышиха</v>
      </c>
      <c r="M469" s="51" t="str">
        <f>VLOOKUP(_stats[[#This Row],[tournament]],tournaments_n_rules[],3,0)</f>
        <v>Лето 2025</v>
      </c>
      <c r="N469" s="52">
        <f>VLOOKUP(_stats[[#This Row],[tournament]],tournaments_n_rules[],4,0)</f>
        <v>45809</v>
      </c>
      <c r="O469" s="52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51" t="str">
        <f>VLOOKUP(_stats[[#This Row],[tournament]],tournaments_n_rules[],2,0)</f>
        <v>Барышиха</v>
      </c>
      <c r="M470" s="51" t="str">
        <f>VLOOKUP(_stats[[#This Row],[tournament]],tournaments_n_rules[],3,0)</f>
        <v>Лето 2025</v>
      </c>
      <c r="N470" s="52">
        <f>VLOOKUP(_stats[[#This Row],[tournament]],tournaments_n_rules[],4,0)</f>
        <v>45809</v>
      </c>
      <c r="O470" s="52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51" t="str">
        <f>VLOOKUP(_stats[[#This Row],[tournament]],tournaments_n_rules[],2,0)</f>
        <v>Барышиха</v>
      </c>
      <c r="M471" s="51" t="str">
        <f>VLOOKUP(_stats[[#This Row],[tournament]],tournaments_n_rules[],3,0)</f>
        <v>Лето 2025</v>
      </c>
      <c r="N471" s="52">
        <f>VLOOKUP(_stats[[#This Row],[tournament]],tournaments_n_rules[],4,0)</f>
        <v>45809</v>
      </c>
      <c r="O471" s="52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51" t="str">
        <f>VLOOKUP(_stats[[#This Row],[tournament]],tournaments_n_rules[],2,0)</f>
        <v>Барышиха</v>
      </c>
      <c r="M472" s="51" t="str">
        <f>VLOOKUP(_stats[[#This Row],[tournament]],tournaments_n_rules[],3,0)</f>
        <v>Лето 2025</v>
      </c>
      <c r="N472" s="52">
        <f>VLOOKUP(_stats[[#This Row],[tournament]],tournaments_n_rules[],4,0)</f>
        <v>45809</v>
      </c>
      <c r="O472" s="52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51" t="str">
        <f>VLOOKUP(_stats[[#This Row],[tournament]],tournaments_n_rules[],2,0)</f>
        <v>Барышиха</v>
      </c>
      <c r="M473" s="51" t="str">
        <f>VLOOKUP(_stats[[#This Row],[tournament]],tournaments_n_rules[],3,0)</f>
        <v>Лето 2025</v>
      </c>
      <c r="N473" s="52">
        <f>VLOOKUP(_stats[[#This Row],[tournament]],tournaments_n_rules[],4,0)</f>
        <v>45809</v>
      </c>
      <c r="O473" s="52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51" t="str">
        <f>VLOOKUP(_stats[[#This Row],[tournament]],tournaments_n_rules[],2,0)</f>
        <v>Барышиха</v>
      </c>
      <c r="M474" s="51" t="str">
        <f>VLOOKUP(_stats[[#This Row],[tournament]],tournaments_n_rules[],3,0)</f>
        <v>Лето 2025</v>
      </c>
      <c r="N474" s="52">
        <f>VLOOKUP(_stats[[#This Row],[tournament]],tournaments_n_rules[],4,0)</f>
        <v>45809</v>
      </c>
      <c r="O474" s="52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51" t="str">
        <f>VLOOKUP(_stats[[#This Row],[tournament]],tournaments_n_rules[],2,0)</f>
        <v>Барышиха</v>
      </c>
      <c r="M475" s="51" t="str">
        <f>VLOOKUP(_stats[[#This Row],[tournament]],tournaments_n_rules[],3,0)</f>
        <v>Лето 2025</v>
      </c>
      <c r="N475" s="52">
        <f>VLOOKUP(_stats[[#This Row],[tournament]],tournaments_n_rules[],4,0)</f>
        <v>45809</v>
      </c>
      <c r="O475" s="52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51" t="str">
        <f>VLOOKUP(_stats[[#This Row],[tournament]],tournaments_n_rules[],2,0)</f>
        <v>Барышиха</v>
      </c>
      <c r="M476" s="51" t="str">
        <f>VLOOKUP(_stats[[#This Row],[tournament]],tournaments_n_rules[],3,0)</f>
        <v>Лето 2025</v>
      </c>
      <c r="N476" s="52">
        <f>VLOOKUP(_stats[[#This Row],[tournament]],tournaments_n_rules[],4,0)</f>
        <v>45809</v>
      </c>
      <c r="O476" s="52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51" t="str">
        <f>VLOOKUP(_stats[[#This Row],[tournament]],tournaments_n_rules[],2,0)</f>
        <v>Барышиха</v>
      </c>
      <c r="M477" s="51" t="str">
        <f>VLOOKUP(_stats[[#This Row],[tournament]],tournaments_n_rules[],3,0)</f>
        <v>Лето 2025</v>
      </c>
      <c r="N477" s="52">
        <f>VLOOKUP(_stats[[#This Row],[tournament]],tournaments_n_rules[],4,0)</f>
        <v>45809</v>
      </c>
      <c r="O477" s="52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51" t="str">
        <f>VLOOKUP(_stats[[#This Row],[tournament]],tournaments_n_rules[],2,0)</f>
        <v>Барышиха</v>
      </c>
      <c r="M478" s="51" t="str">
        <f>VLOOKUP(_stats[[#This Row],[tournament]],tournaments_n_rules[],3,0)</f>
        <v>Лето 2025</v>
      </c>
      <c r="N478" s="52">
        <f>VLOOKUP(_stats[[#This Row],[tournament]],tournaments_n_rules[],4,0)</f>
        <v>45809</v>
      </c>
      <c r="O478" s="52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51" t="str">
        <f>VLOOKUP(_stats[[#This Row],[tournament]],tournaments_n_rules[],2,0)</f>
        <v>Барышиха</v>
      </c>
      <c r="M479" s="51" t="str">
        <f>VLOOKUP(_stats[[#This Row],[tournament]],tournaments_n_rules[],3,0)</f>
        <v>Лето 2025</v>
      </c>
      <c r="N479" s="52">
        <f>VLOOKUP(_stats[[#This Row],[tournament]],tournaments_n_rules[],4,0)</f>
        <v>45809</v>
      </c>
      <c r="O479" s="52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51" t="str">
        <f>VLOOKUP(_stats[[#This Row],[tournament]],tournaments_n_rules[],2,0)</f>
        <v>Барышиха</v>
      </c>
      <c r="M480" s="51" t="str">
        <f>VLOOKUP(_stats[[#This Row],[tournament]],tournaments_n_rules[],3,0)</f>
        <v>Лето 2025</v>
      </c>
      <c r="N480" s="52">
        <f>VLOOKUP(_stats[[#This Row],[tournament]],tournaments_n_rules[],4,0)</f>
        <v>45809</v>
      </c>
      <c r="O480" s="52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51" t="str">
        <f>VLOOKUP(_stats[[#This Row],[tournament]],tournaments_n_rules[],2,0)</f>
        <v>Барышиха</v>
      </c>
      <c r="M481" s="51" t="str">
        <f>VLOOKUP(_stats[[#This Row],[tournament]],tournaments_n_rules[],3,0)</f>
        <v>Лето 2025</v>
      </c>
      <c r="N481" s="52">
        <f>VLOOKUP(_stats[[#This Row],[tournament]],tournaments_n_rules[],4,0)</f>
        <v>45809</v>
      </c>
      <c r="O481" s="52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51" t="str">
        <f>VLOOKUP(_stats[[#This Row],[tournament]],tournaments_n_rules[],2,0)</f>
        <v>Барышиха</v>
      </c>
      <c r="M482" s="51" t="str">
        <f>VLOOKUP(_stats[[#This Row],[tournament]],tournaments_n_rules[],3,0)</f>
        <v>Лето 2025</v>
      </c>
      <c r="N482" s="52">
        <f>VLOOKUP(_stats[[#This Row],[tournament]],tournaments_n_rules[],4,0)</f>
        <v>45809</v>
      </c>
      <c r="O482" s="52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51" t="str">
        <f>VLOOKUP(_stats[[#This Row],[tournament]],tournaments_n_rules[],2,0)</f>
        <v>Барышиха</v>
      </c>
      <c r="M483" s="51" t="str">
        <f>VLOOKUP(_stats[[#This Row],[tournament]],tournaments_n_rules[],3,0)</f>
        <v>Лето 2025</v>
      </c>
      <c r="N483" s="52">
        <f>VLOOKUP(_stats[[#This Row],[tournament]],tournaments_n_rules[],4,0)</f>
        <v>45809</v>
      </c>
      <c r="O483" s="52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51" t="str">
        <f>VLOOKUP(_stats[[#This Row],[tournament]],tournaments_n_rules[],2,0)</f>
        <v>Барышиха</v>
      </c>
      <c r="M484" s="51" t="str">
        <f>VLOOKUP(_stats[[#This Row],[tournament]],tournaments_n_rules[],3,0)</f>
        <v>Лето 2025</v>
      </c>
      <c r="N484" s="52">
        <f>VLOOKUP(_stats[[#This Row],[tournament]],tournaments_n_rules[],4,0)</f>
        <v>45809</v>
      </c>
      <c r="O484" s="52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51" t="str">
        <f>VLOOKUP(_stats[[#This Row],[tournament]],tournaments_n_rules[],2,0)</f>
        <v>Барышиха</v>
      </c>
      <c r="M485" s="51" t="str">
        <f>VLOOKUP(_stats[[#This Row],[tournament]],tournaments_n_rules[],3,0)</f>
        <v>Лето 2025</v>
      </c>
      <c r="N485" s="52">
        <f>VLOOKUP(_stats[[#This Row],[tournament]],tournaments_n_rules[],4,0)</f>
        <v>45809</v>
      </c>
      <c r="O485" s="52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51" t="str">
        <f>VLOOKUP(_stats[[#This Row],[tournament]],tournaments_n_rules[],2,0)</f>
        <v>Барышиха</v>
      </c>
      <c r="M486" s="51" t="str">
        <f>VLOOKUP(_stats[[#This Row],[tournament]],tournaments_n_rules[],3,0)</f>
        <v>Лето 2025</v>
      </c>
      <c r="N486" s="52">
        <f>VLOOKUP(_stats[[#This Row],[tournament]],tournaments_n_rules[],4,0)</f>
        <v>45809</v>
      </c>
      <c r="O486" s="52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51" t="str">
        <f>VLOOKUP(_stats[[#This Row],[tournament]],tournaments_n_rules[],2,0)</f>
        <v>Барышиха</v>
      </c>
      <c r="M487" s="51" t="str">
        <f>VLOOKUP(_stats[[#This Row],[tournament]],tournaments_n_rules[],3,0)</f>
        <v>Лето 2025</v>
      </c>
      <c r="N487" s="52">
        <f>VLOOKUP(_stats[[#This Row],[tournament]],tournaments_n_rules[],4,0)</f>
        <v>45809</v>
      </c>
      <c r="O487" s="52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51" t="str">
        <f>VLOOKUP(_stats[[#This Row],[tournament]],tournaments_n_rules[],2,0)</f>
        <v>Барышиха</v>
      </c>
      <c r="M488" s="51" t="str">
        <f>VLOOKUP(_stats[[#This Row],[tournament]],tournaments_n_rules[],3,0)</f>
        <v>Осень 2025</v>
      </c>
      <c r="N488" s="52">
        <f>VLOOKUP(_stats[[#This Row],[tournament]],tournaments_n_rules[],4,0)</f>
        <v>45901</v>
      </c>
      <c r="O488" s="52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51" t="str">
        <f>VLOOKUP(_stats[[#This Row],[tournament]],tournaments_n_rules[],2,0)</f>
        <v>Барышиха</v>
      </c>
      <c r="M489" s="51" t="str">
        <f>VLOOKUP(_stats[[#This Row],[tournament]],tournaments_n_rules[],3,0)</f>
        <v>Осень 2025</v>
      </c>
      <c r="N489" s="52">
        <f>VLOOKUP(_stats[[#This Row],[tournament]],tournaments_n_rules[],4,0)</f>
        <v>45901</v>
      </c>
      <c r="O489" s="52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51" t="str">
        <f>VLOOKUP(_stats[[#This Row],[tournament]],tournaments_n_rules[],2,0)</f>
        <v>Барышиха</v>
      </c>
      <c r="M490" s="51" t="str">
        <f>VLOOKUP(_stats[[#This Row],[tournament]],tournaments_n_rules[],3,0)</f>
        <v>Осень 2025</v>
      </c>
      <c r="N490" s="52">
        <f>VLOOKUP(_stats[[#This Row],[tournament]],tournaments_n_rules[],4,0)</f>
        <v>45901</v>
      </c>
      <c r="O490" s="52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51" t="str">
        <f>VLOOKUP(_stats[[#This Row],[tournament]],tournaments_n_rules[],2,0)</f>
        <v>Барышиха</v>
      </c>
      <c r="M491" s="51" t="str">
        <f>VLOOKUP(_stats[[#This Row],[tournament]],tournaments_n_rules[],3,0)</f>
        <v>Осень 2025</v>
      </c>
      <c r="N491" s="52">
        <f>VLOOKUP(_stats[[#This Row],[tournament]],tournaments_n_rules[],4,0)</f>
        <v>45901</v>
      </c>
      <c r="O491" s="52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51" t="str">
        <f>VLOOKUP(_stats[[#This Row],[tournament]],tournaments_n_rules[],2,0)</f>
        <v>Барышиха</v>
      </c>
      <c r="M492" s="51" t="str">
        <f>VLOOKUP(_stats[[#This Row],[tournament]],tournaments_n_rules[],3,0)</f>
        <v>Осень 2025</v>
      </c>
      <c r="N492" s="52">
        <f>VLOOKUP(_stats[[#This Row],[tournament]],tournaments_n_rules[],4,0)</f>
        <v>45901</v>
      </c>
      <c r="O492" s="52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51" t="str">
        <f>VLOOKUP(_stats[[#This Row],[tournament]],tournaments_n_rules[],2,0)</f>
        <v>Барышиха</v>
      </c>
      <c r="M493" s="51" t="str">
        <f>VLOOKUP(_stats[[#This Row],[tournament]],tournaments_n_rules[],3,0)</f>
        <v>Осень 2025</v>
      </c>
      <c r="N493" s="52">
        <f>VLOOKUP(_stats[[#This Row],[tournament]],tournaments_n_rules[],4,0)</f>
        <v>45901</v>
      </c>
      <c r="O493" s="52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51" t="str">
        <f>VLOOKUP(_stats[[#This Row],[tournament]],tournaments_n_rules[],2,0)</f>
        <v>Барышиха</v>
      </c>
      <c r="M494" s="51" t="str">
        <f>VLOOKUP(_stats[[#This Row],[tournament]],tournaments_n_rules[],3,0)</f>
        <v>Осень 2025</v>
      </c>
      <c r="N494" s="52">
        <f>VLOOKUP(_stats[[#This Row],[tournament]],tournaments_n_rules[],4,0)</f>
        <v>45901</v>
      </c>
      <c r="O494" s="52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51" t="str">
        <f>VLOOKUP(_stats[[#This Row],[tournament]],tournaments_n_rules[],2,0)</f>
        <v>Барышиха</v>
      </c>
      <c r="M495" s="51" t="str">
        <f>VLOOKUP(_stats[[#This Row],[tournament]],tournaments_n_rules[],3,0)</f>
        <v>Осень 2025</v>
      </c>
      <c r="N495" s="52">
        <f>VLOOKUP(_stats[[#This Row],[tournament]],tournaments_n_rules[],4,0)</f>
        <v>45901</v>
      </c>
      <c r="O495" s="52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51" t="str">
        <f>VLOOKUP(_stats[[#This Row],[tournament]],tournaments_n_rules[],2,0)</f>
        <v>Барышиха</v>
      </c>
      <c r="M496" s="51" t="str">
        <f>VLOOKUP(_stats[[#This Row],[tournament]],tournaments_n_rules[],3,0)</f>
        <v>Осень 2025</v>
      </c>
      <c r="N496" s="52">
        <f>VLOOKUP(_stats[[#This Row],[tournament]],tournaments_n_rules[],4,0)</f>
        <v>45901</v>
      </c>
      <c r="O496" s="52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51" t="str">
        <f>VLOOKUP(_stats[[#This Row],[tournament]],tournaments_n_rules[],2,0)</f>
        <v>Барышиха</v>
      </c>
      <c r="M497" s="51" t="str">
        <f>VLOOKUP(_stats[[#This Row],[tournament]],tournaments_n_rules[],3,0)</f>
        <v>Осень 2025</v>
      </c>
      <c r="N497" s="52">
        <f>VLOOKUP(_stats[[#This Row],[tournament]],tournaments_n_rules[],4,0)</f>
        <v>45901</v>
      </c>
      <c r="O497" s="52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51" t="str">
        <f>VLOOKUP(_stats[[#This Row],[tournament]],tournaments_n_rules[],2,0)</f>
        <v>Барышиха</v>
      </c>
      <c r="M498" s="51" t="str">
        <f>VLOOKUP(_stats[[#This Row],[tournament]],tournaments_n_rules[],3,0)</f>
        <v>Осень 2025</v>
      </c>
      <c r="N498" s="52">
        <f>VLOOKUP(_stats[[#This Row],[tournament]],tournaments_n_rules[],4,0)</f>
        <v>45901</v>
      </c>
      <c r="O498" s="52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51" t="str">
        <f>VLOOKUP(_stats[[#This Row],[tournament]],tournaments_n_rules[],2,0)</f>
        <v>Барышиха</v>
      </c>
      <c r="M499" s="51" t="str">
        <f>VLOOKUP(_stats[[#This Row],[tournament]],tournaments_n_rules[],3,0)</f>
        <v>Осень 2025</v>
      </c>
      <c r="N499" s="52">
        <f>VLOOKUP(_stats[[#This Row],[tournament]],tournaments_n_rules[],4,0)</f>
        <v>45901</v>
      </c>
      <c r="O499" s="52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51" t="str">
        <f>VLOOKUP(_stats[[#This Row],[tournament]],tournaments_n_rules[],2,0)</f>
        <v>Барышиха</v>
      </c>
      <c r="M500" s="51" t="str">
        <f>VLOOKUP(_stats[[#This Row],[tournament]],tournaments_n_rules[],3,0)</f>
        <v>Осень 2025</v>
      </c>
      <c r="N500" s="52">
        <f>VLOOKUP(_stats[[#This Row],[tournament]],tournaments_n_rules[],4,0)</f>
        <v>45901</v>
      </c>
      <c r="O500" s="52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51" t="str">
        <f>VLOOKUP(_stats[[#This Row],[tournament]],tournaments_n_rules[],2,0)</f>
        <v>Барышиха</v>
      </c>
      <c r="M501" s="51" t="str">
        <f>VLOOKUP(_stats[[#This Row],[tournament]],tournaments_n_rules[],3,0)</f>
        <v>Осень 2025</v>
      </c>
      <c r="N501" s="52">
        <f>VLOOKUP(_stats[[#This Row],[tournament]],tournaments_n_rules[],4,0)</f>
        <v>45901</v>
      </c>
      <c r="O501" s="52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51" t="str">
        <f>VLOOKUP(_stats[[#This Row],[tournament]],tournaments_n_rules[],2,0)</f>
        <v>Барышиха</v>
      </c>
      <c r="M502" s="51" t="str">
        <f>VLOOKUP(_stats[[#This Row],[tournament]],tournaments_n_rules[],3,0)</f>
        <v>Осень 2025</v>
      </c>
      <c r="N502" s="52">
        <f>VLOOKUP(_stats[[#This Row],[tournament]],tournaments_n_rules[],4,0)</f>
        <v>45901</v>
      </c>
      <c r="O502" s="52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51" t="str">
        <f>VLOOKUP(_stats[[#This Row],[tournament]],tournaments_n_rules[],2,0)</f>
        <v>Барышиха</v>
      </c>
      <c r="M503" s="51" t="str">
        <f>VLOOKUP(_stats[[#This Row],[tournament]],tournaments_n_rules[],3,0)</f>
        <v>Осень 2025</v>
      </c>
      <c r="N503" s="52">
        <f>VLOOKUP(_stats[[#This Row],[tournament]],tournaments_n_rules[],4,0)</f>
        <v>45901</v>
      </c>
      <c r="O503" s="52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51" t="str">
        <f>VLOOKUP(_stats[[#This Row],[tournament]],tournaments_n_rules[],2,0)</f>
        <v>Барышиха</v>
      </c>
      <c r="M504" s="51" t="str">
        <f>VLOOKUP(_stats[[#This Row],[tournament]],tournaments_n_rules[],3,0)</f>
        <v>Осень 2025</v>
      </c>
      <c r="N504" s="52">
        <f>VLOOKUP(_stats[[#This Row],[tournament]],tournaments_n_rules[],4,0)</f>
        <v>45901</v>
      </c>
      <c r="O504" s="52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51" t="str">
        <f>VLOOKUP(_stats[[#This Row],[tournament]],tournaments_n_rules[],2,0)</f>
        <v>Барышиха</v>
      </c>
      <c r="M505" s="51" t="str">
        <f>VLOOKUP(_stats[[#This Row],[tournament]],tournaments_n_rules[],3,0)</f>
        <v>Осень 2025</v>
      </c>
      <c r="N505" s="52">
        <f>VLOOKUP(_stats[[#This Row],[tournament]],tournaments_n_rules[],4,0)</f>
        <v>45901</v>
      </c>
      <c r="O505" s="52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51" t="str">
        <f>VLOOKUP(_stats[[#This Row],[tournament]],tournaments_n_rules[],2,0)</f>
        <v>Барышиха</v>
      </c>
      <c r="M506" s="51" t="str">
        <f>VLOOKUP(_stats[[#This Row],[tournament]],tournaments_n_rules[],3,0)</f>
        <v>Осень 2025</v>
      </c>
      <c r="N506" s="52">
        <f>VLOOKUP(_stats[[#This Row],[tournament]],tournaments_n_rules[],4,0)</f>
        <v>45901</v>
      </c>
      <c r="O506" s="52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51" t="str">
        <f>VLOOKUP(_stats[[#This Row],[tournament]],tournaments_n_rules[],2,0)</f>
        <v>УПК</v>
      </c>
      <c r="M507" s="51" t="str">
        <f>VLOOKUP(_stats[[#This Row],[tournament]],tournaments_n_rules[],3,0)</f>
        <v>Осень 2025</v>
      </c>
      <c r="N507" s="52">
        <f>VLOOKUP(_stats[[#This Row],[tournament]],tournaments_n_rules[],4,0)</f>
        <v>45901</v>
      </c>
      <c r="O507" s="52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51" t="str">
        <f>VLOOKUP(_stats[[#This Row],[tournament]],tournaments_n_rules[],2,0)</f>
        <v>УПК</v>
      </c>
      <c r="M508" s="51" t="str">
        <f>VLOOKUP(_stats[[#This Row],[tournament]],tournaments_n_rules[],3,0)</f>
        <v>Осень 2025</v>
      </c>
      <c r="N508" s="52">
        <f>VLOOKUP(_stats[[#This Row],[tournament]],tournaments_n_rules[],4,0)</f>
        <v>45901</v>
      </c>
      <c r="O508" s="52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51" t="str">
        <f>VLOOKUP(_stats[[#This Row],[tournament]],tournaments_n_rules[],2,0)</f>
        <v>УПК</v>
      </c>
      <c r="M509" s="51" t="str">
        <f>VLOOKUP(_stats[[#This Row],[tournament]],tournaments_n_rules[],3,0)</f>
        <v>Осень 2025</v>
      </c>
      <c r="N509" s="52">
        <f>VLOOKUP(_stats[[#This Row],[tournament]],tournaments_n_rules[],4,0)</f>
        <v>45901</v>
      </c>
      <c r="O509" s="52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51" t="str">
        <f>VLOOKUP(_stats[[#This Row],[tournament]],tournaments_n_rules[],2,0)</f>
        <v>УПК</v>
      </c>
      <c r="M510" s="51" t="str">
        <f>VLOOKUP(_stats[[#This Row],[tournament]],tournaments_n_rules[],3,0)</f>
        <v>Осень 2025</v>
      </c>
      <c r="N510" s="52">
        <f>VLOOKUP(_stats[[#This Row],[tournament]],tournaments_n_rules[],4,0)</f>
        <v>45901</v>
      </c>
      <c r="O510" s="52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51" t="str">
        <f>VLOOKUP(_stats[[#This Row],[tournament]],tournaments_n_rules[],2,0)</f>
        <v>УПК</v>
      </c>
      <c r="M511" s="51" t="str">
        <f>VLOOKUP(_stats[[#This Row],[tournament]],tournaments_n_rules[],3,0)</f>
        <v>Осень 2025</v>
      </c>
      <c r="N511" s="52">
        <f>VLOOKUP(_stats[[#This Row],[tournament]],tournaments_n_rules[],4,0)</f>
        <v>45901</v>
      </c>
      <c r="O511" s="52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51" t="str">
        <f>VLOOKUP(_stats[[#This Row],[tournament]],tournaments_n_rules[],2,0)</f>
        <v>УПК</v>
      </c>
      <c r="M512" s="51" t="str">
        <f>VLOOKUP(_stats[[#This Row],[tournament]],tournaments_n_rules[],3,0)</f>
        <v>Осень 2025</v>
      </c>
      <c r="N512" s="52">
        <f>VLOOKUP(_stats[[#This Row],[tournament]],tournaments_n_rules[],4,0)</f>
        <v>45901</v>
      </c>
      <c r="O512" s="52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51" t="str">
        <f>VLOOKUP(_stats[[#This Row],[tournament]],tournaments_n_rules[],2,0)</f>
        <v>УПК</v>
      </c>
      <c r="M513" s="51" t="str">
        <f>VLOOKUP(_stats[[#This Row],[tournament]],tournaments_n_rules[],3,0)</f>
        <v>Осень 2025</v>
      </c>
      <c r="N513" s="52">
        <f>VLOOKUP(_stats[[#This Row],[tournament]],tournaments_n_rules[],4,0)</f>
        <v>45901</v>
      </c>
      <c r="O513" s="52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51" t="str">
        <f>VLOOKUP(_stats[[#This Row],[tournament]],tournaments_n_rules[],2,0)</f>
        <v>УПК</v>
      </c>
      <c r="M514" s="51" t="str">
        <f>VLOOKUP(_stats[[#This Row],[tournament]],tournaments_n_rules[],3,0)</f>
        <v>Осень 2025</v>
      </c>
      <c r="N514" s="52">
        <f>VLOOKUP(_stats[[#This Row],[tournament]],tournaments_n_rules[],4,0)</f>
        <v>45901</v>
      </c>
      <c r="O514" s="52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51" t="str">
        <f>VLOOKUP(_stats[[#This Row],[tournament]],tournaments_n_rules[],2,0)</f>
        <v>УПК</v>
      </c>
      <c r="M515" s="51" t="str">
        <f>VLOOKUP(_stats[[#This Row],[tournament]],tournaments_n_rules[],3,0)</f>
        <v>Осень 2025</v>
      </c>
      <c r="N515" s="52">
        <f>VLOOKUP(_stats[[#This Row],[tournament]],tournaments_n_rules[],4,0)</f>
        <v>45901</v>
      </c>
      <c r="O515" s="52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51" t="str">
        <f>VLOOKUP(_stats[[#This Row],[tournament]],tournaments_n_rules[],2,0)</f>
        <v>УПК</v>
      </c>
      <c r="M516" s="51" t="str">
        <f>VLOOKUP(_stats[[#This Row],[tournament]],tournaments_n_rules[],3,0)</f>
        <v>Осень 2025</v>
      </c>
      <c r="N516" s="52">
        <f>VLOOKUP(_stats[[#This Row],[tournament]],tournaments_n_rules[],4,0)</f>
        <v>45901</v>
      </c>
      <c r="O516" s="52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51" t="str">
        <f>VLOOKUP(_stats[[#This Row],[tournament]],tournaments_n_rules[],2,0)</f>
        <v>УПК</v>
      </c>
      <c r="M517" s="51" t="str">
        <f>VLOOKUP(_stats[[#This Row],[tournament]],tournaments_n_rules[],3,0)</f>
        <v>Осень 2025</v>
      </c>
      <c r="N517" s="52">
        <f>VLOOKUP(_stats[[#This Row],[tournament]],tournaments_n_rules[],4,0)</f>
        <v>45901</v>
      </c>
      <c r="O517" s="52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51" t="str">
        <f>VLOOKUP(_stats[[#This Row],[tournament]],tournaments_n_rules[],2,0)</f>
        <v>УПК</v>
      </c>
      <c r="M518" s="51" t="str">
        <f>VLOOKUP(_stats[[#This Row],[tournament]],tournaments_n_rules[],3,0)</f>
        <v>Осень 2025</v>
      </c>
      <c r="N518" s="52">
        <f>VLOOKUP(_stats[[#This Row],[tournament]],tournaments_n_rules[],4,0)</f>
        <v>45901</v>
      </c>
      <c r="O518" s="52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51" t="str">
        <f>VLOOKUP(_stats[[#This Row],[tournament]],tournaments_n_rules[],2,0)</f>
        <v>УПК</v>
      </c>
      <c r="M519" s="51" t="str">
        <f>VLOOKUP(_stats[[#This Row],[tournament]],tournaments_n_rules[],3,0)</f>
        <v>Осень 2025</v>
      </c>
      <c r="N519" s="52">
        <f>VLOOKUP(_stats[[#This Row],[tournament]],tournaments_n_rules[],4,0)</f>
        <v>45901</v>
      </c>
      <c r="O519" s="52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51" t="str">
        <f>VLOOKUP(_stats[[#This Row],[tournament]],tournaments_n_rules[],2,0)</f>
        <v>УПК</v>
      </c>
      <c r="M520" s="51" t="str">
        <f>VLOOKUP(_stats[[#This Row],[tournament]],tournaments_n_rules[],3,0)</f>
        <v>Осень 2025</v>
      </c>
      <c r="N520" s="52">
        <f>VLOOKUP(_stats[[#This Row],[tournament]],tournaments_n_rules[],4,0)</f>
        <v>45901</v>
      </c>
      <c r="O520" s="52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51" t="str">
        <f>VLOOKUP(_stats[[#This Row],[tournament]],tournaments_n_rules[],2,0)</f>
        <v>УПК</v>
      </c>
      <c r="M521" s="51" t="str">
        <f>VLOOKUP(_stats[[#This Row],[tournament]],tournaments_n_rules[],3,0)</f>
        <v>Осень 2025</v>
      </c>
      <c r="N521" s="52">
        <f>VLOOKUP(_stats[[#This Row],[tournament]],tournaments_n_rules[],4,0)</f>
        <v>45901</v>
      </c>
      <c r="O521" s="52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51" t="str">
        <f>VLOOKUP(_stats[[#This Row],[tournament]],tournaments_n_rules[],2,0)</f>
        <v>УПК</v>
      </c>
      <c r="M522" s="51" t="str">
        <f>VLOOKUP(_stats[[#This Row],[tournament]],tournaments_n_rules[],3,0)</f>
        <v>Осень 2025</v>
      </c>
      <c r="N522" s="52">
        <f>VLOOKUP(_stats[[#This Row],[tournament]],tournaments_n_rules[],4,0)</f>
        <v>45901</v>
      </c>
      <c r="O522" s="52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51" t="str">
        <f>VLOOKUP(_stats[[#This Row],[tournament]],tournaments_n_rules[],2,0)</f>
        <v>УПК</v>
      </c>
      <c r="M523" s="51" t="str">
        <f>VLOOKUP(_stats[[#This Row],[tournament]],tournaments_n_rules[],3,0)</f>
        <v>Осень 2025</v>
      </c>
      <c r="N523" s="52">
        <f>VLOOKUP(_stats[[#This Row],[tournament]],tournaments_n_rules[],4,0)</f>
        <v>45901</v>
      </c>
      <c r="O523" s="52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51" t="str">
        <f>VLOOKUP(_stats[[#This Row],[tournament]],tournaments_n_rules[],2,0)</f>
        <v>УПК</v>
      </c>
      <c r="M524" s="51" t="str">
        <f>VLOOKUP(_stats[[#This Row],[tournament]],tournaments_n_rules[],3,0)</f>
        <v>Осень 2025</v>
      </c>
      <c r="N524" s="52">
        <f>VLOOKUP(_stats[[#This Row],[tournament]],tournaments_n_rules[],4,0)</f>
        <v>45901</v>
      </c>
      <c r="O524" s="52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51" t="str">
        <f>VLOOKUP(_stats[[#This Row],[tournament]],tournaments_n_rules[],2,0)</f>
        <v>УПК</v>
      </c>
      <c r="M525" s="51" t="str">
        <f>VLOOKUP(_stats[[#This Row],[tournament]],tournaments_n_rules[],3,0)</f>
        <v>Осень 2025</v>
      </c>
      <c r="N525" s="52">
        <f>VLOOKUP(_stats[[#This Row],[tournament]],tournaments_n_rules[],4,0)</f>
        <v>45901</v>
      </c>
      <c r="O525" s="52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51" t="str">
        <f>VLOOKUP(_stats[[#This Row],[tournament]],tournaments_n_rules[],2,0)</f>
        <v>УПК</v>
      </c>
      <c r="M526" s="51" t="str">
        <f>VLOOKUP(_stats[[#This Row],[tournament]],tournaments_n_rules[],3,0)</f>
        <v>Осень 2025</v>
      </c>
      <c r="N526" s="52">
        <f>VLOOKUP(_stats[[#This Row],[tournament]],tournaments_n_rules[],4,0)</f>
        <v>45901</v>
      </c>
      <c r="O526" s="52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51" t="str">
        <f>VLOOKUP(_stats[[#This Row],[tournament]],tournaments_n_rules[],2,0)</f>
        <v>Барышиха</v>
      </c>
      <c r="M527" s="51" t="str">
        <f>VLOOKUP(_stats[[#This Row],[tournament]],tournaments_n_rules[],3,0)</f>
        <v>Осень 2025</v>
      </c>
      <c r="N527" s="52">
        <f>VLOOKUP(_stats[[#This Row],[tournament]],tournaments_n_rules[],4,0)</f>
        <v>45901</v>
      </c>
      <c r="O527" s="52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51" t="str">
        <f>VLOOKUP(_stats[[#This Row],[tournament]],tournaments_n_rules[],2,0)</f>
        <v>Барышиха</v>
      </c>
      <c r="M528" s="51" t="str">
        <f>VLOOKUP(_stats[[#This Row],[tournament]],tournaments_n_rules[],3,0)</f>
        <v>Осень 2025</v>
      </c>
      <c r="N528" s="52">
        <f>VLOOKUP(_stats[[#This Row],[tournament]],tournaments_n_rules[],4,0)</f>
        <v>45901</v>
      </c>
      <c r="O528" s="52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51" t="str">
        <f>VLOOKUP(_stats[[#This Row],[tournament]],tournaments_n_rules[],2,0)</f>
        <v>Барышиха</v>
      </c>
      <c r="M529" s="51" t="str">
        <f>VLOOKUP(_stats[[#This Row],[tournament]],tournaments_n_rules[],3,0)</f>
        <v>Осень 2025</v>
      </c>
      <c r="N529" s="52">
        <f>VLOOKUP(_stats[[#This Row],[tournament]],tournaments_n_rules[],4,0)</f>
        <v>45901</v>
      </c>
      <c r="O529" s="52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51" t="str">
        <f>VLOOKUP(_stats[[#This Row],[tournament]],tournaments_n_rules[],2,0)</f>
        <v>Барышиха</v>
      </c>
      <c r="M530" s="51" t="str">
        <f>VLOOKUP(_stats[[#This Row],[tournament]],tournaments_n_rules[],3,0)</f>
        <v>Осень 2025</v>
      </c>
      <c r="N530" s="52">
        <f>VLOOKUP(_stats[[#This Row],[tournament]],tournaments_n_rules[],4,0)</f>
        <v>45901</v>
      </c>
      <c r="O530" s="52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51" t="str">
        <f>VLOOKUP(_stats[[#This Row],[tournament]],tournaments_n_rules[],2,0)</f>
        <v>Барышиха</v>
      </c>
      <c r="M531" s="51" t="str">
        <f>VLOOKUP(_stats[[#This Row],[tournament]],tournaments_n_rules[],3,0)</f>
        <v>Осень 2025</v>
      </c>
      <c r="N531" s="52">
        <f>VLOOKUP(_stats[[#This Row],[tournament]],tournaments_n_rules[],4,0)</f>
        <v>45901</v>
      </c>
      <c r="O531" s="52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51" t="str">
        <f>VLOOKUP(_stats[[#This Row],[tournament]],tournaments_n_rules[],2,0)</f>
        <v>Барышиха</v>
      </c>
      <c r="M532" s="51" t="str">
        <f>VLOOKUP(_stats[[#This Row],[tournament]],tournaments_n_rules[],3,0)</f>
        <v>Осень 2025</v>
      </c>
      <c r="N532" s="52">
        <f>VLOOKUP(_stats[[#This Row],[tournament]],tournaments_n_rules[],4,0)</f>
        <v>45901</v>
      </c>
      <c r="O532" s="52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51" t="str">
        <f>VLOOKUP(_stats[[#This Row],[tournament]],tournaments_n_rules[],2,0)</f>
        <v>Барышиха</v>
      </c>
      <c r="M533" s="51" t="str">
        <f>VLOOKUP(_stats[[#This Row],[tournament]],tournaments_n_rules[],3,0)</f>
        <v>Осень 2025</v>
      </c>
      <c r="N533" s="52">
        <f>VLOOKUP(_stats[[#This Row],[tournament]],tournaments_n_rules[],4,0)</f>
        <v>45901</v>
      </c>
      <c r="O533" s="52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51" t="str">
        <f>VLOOKUP(_stats[[#This Row],[tournament]],tournaments_n_rules[],2,0)</f>
        <v>Барышиха</v>
      </c>
      <c r="M534" s="51" t="str">
        <f>VLOOKUP(_stats[[#This Row],[tournament]],tournaments_n_rules[],3,0)</f>
        <v>Осень 2025</v>
      </c>
      <c r="N534" s="52">
        <f>VLOOKUP(_stats[[#This Row],[tournament]],tournaments_n_rules[],4,0)</f>
        <v>45901</v>
      </c>
      <c r="O534" s="52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51" t="str">
        <f>VLOOKUP(_stats[[#This Row],[tournament]],tournaments_n_rules[],2,0)</f>
        <v>Барышиха</v>
      </c>
      <c r="M535" s="51" t="str">
        <f>VLOOKUP(_stats[[#This Row],[tournament]],tournaments_n_rules[],3,0)</f>
        <v>Осень 2025</v>
      </c>
      <c r="N535" s="52">
        <f>VLOOKUP(_stats[[#This Row],[tournament]],tournaments_n_rules[],4,0)</f>
        <v>45901</v>
      </c>
      <c r="O535" s="52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51" t="str">
        <f>VLOOKUP(_stats[[#This Row],[tournament]],tournaments_n_rules[],2,0)</f>
        <v>Барышиха</v>
      </c>
      <c r="M536" s="51" t="str">
        <f>VLOOKUP(_stats[[#This Row],[tournament]],tournaments_n_rules[],3,0)</f>
        <v>Осень 2025</v>
      </c>
      <c r="N536" s="52">
        <f>VLOOKUP(_stats[[#This Row],[tournament]],tournaments_n_rules[],4,0)</f>
        <v>45901</v>
      </c>
      <c r="O536" s="52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51" t="str">
        <f>VLOOKUP(_stats[[#This Row],[tournament]],tournaments_n_rules[],2,0)</f>
        <v>Барышиха</v>
      </c>
      <c r="M537" s="51" t="str">
        <f>VLOOKUP(_stats[[#This Row],[tournament]],tournaments_n_rules[],3,0)</f>
        <v>Осень 2025</v>
      </c>
      <c r="N537" s="52">
        <f>VLOOKUP(_stats[[#This Row],[tournament]],tournaments_n_rules[],4,0)</f>
        <v>45901</v>
      </c>
      <c r="O537" s="52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51" t="str">
        <f>VLOOKUP(_stats[[#This Row],[tournament]],tournaments_n_rules[],2,0)</f>
        <v>Барышиха</v>
      </c>
      <c r="M538" s="51" t="str">
        <f>VLOOKUP(_stats[[#This Row],[tournament]],tournaments_n_rules[],3,0)</f>
        <v>Осень 2025</v>
      </c>
      <c r="N538" s="52">
        <f>VLOOKUP(_stats[[#This Row],[tournament]],tournaments_n_rules[],4,0)</f>
        <v>45901</v>
      </c>
      <c r="O538" s="52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51" t="str">
        <f>VLOOKUP(_stats[[#This Row],[tournament]],tournaments_n_rules[],2,0)</f>
        <v>Барышиха</v>
      </c>
      <c r="M539" s="51" t="str">
        <f>VLOOKUP(_stats[[#This Row],[tournament]],tournaments_n_rules[],3,0)</f>
        <v>Осень 2025</v>
      </c>
      <c r="N539" s="52">
        <f>VLOOKUP(_stats[[#This Row],[tournament]],tournaments_n_rules[],4,0)</f>
        <v>45901</v>
      </c>
      <c r="O539" s="52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51" t="str">
        <f>VLOOKUP(_stats[[#This Row],[tournament]],tournaments_n_rules[],2,0)</f>
        <v>Барышиха</v>
      </c>
      <c r="M540" s="51" t="str">
        <f>VLOOKUP(_stats[[#This Row],[tournament]],tournaments_n_rules[],3,0)</f>
        <v>Осень 2025</v>
      </c>
      <c r="N540" s="52">
        <f>VLOOKUP(_stats[[#This Row],[tournament]],tournaments_n_rules[],4,0)</f>
        <v>45901</v>
      </c>
      <c r="O540" s="52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51" t="str">
        <f>VLOOKUP(_stats[[#This Row],[tournament]],tournaments_n_rules[],2,0)</f>
        <v>Барышиха</v>
      </c>
      <c r="M541" s="51" t="str">
        <f>VLOOKUP(_stats[[#This Row],[tournament]],tournaments_n_rules[],3,0)</f>
        <v>Осень 2025</v>
      </c>
      <c r="N541" s="52">
        <f>VLOOKUP(_stats[[#This Row],[tournament]],tournaments_n_rules[],4,0)</f>
        <v>45901</v>
      </c>
      <c r="O541" s="52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51" t="str">
        <f>VLOOKUP(_stats[[#This Row],[tournament]],tournaments_n_rules[],2,0)</f>
        <v>Барышиха</v>
      </c>
      <c r="M542" s="51" t="str">
        <f>VLOOKUP(_stats[[#This Row],[tournament]],tournaments_n_rules[],3,0)</f>
        <v>Осень 2025</v>
      </c>
      <c r="N542" s="52">
        <f>VLOOKUP(_stats[[#This Row],[tournament]],tournaments_n_rules[],4,0)</f>
        <v>45901</v>
      </c>
      <c r="O542" s="52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51" t="str">
        <f>VLOOKUP(_stats[[#This Row],[tournament]],tournaments_n_rules[],2,0)</f>
        <v>Барышиха</v>
      </c>
      <c r="M543" s="51" t="str">
        <f>VLOOKUP(_stats[[#This Row],[tournament]],tournaments_n_rules[],3,0)</f>
        <v>Осень 2025</v>
      </c>
      <c r="N543" s="52">
        <f>VLOOKUP(_stats[[#This Row],[tournament]],tournaments_n_rules[],4,0)</f>
        <v>45901</v>
      </c>
      <c r="O543" s="52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51" t="str">
        <f>VLOOKUP(_stats[[#This Row],[tournament]],tournaments_n_rules[],2,0)</f>
        <v>Барышиха</v>
      </c>
      <c r="M544" s="51" t="str">
        <f>VLOOKUP(_stats[[#This Row],[tournament]],tournaments_n_rules[],3,0)</f>
        <v>Осень 2025</v>
      </c>
      <c r="N544" s="52">
        <f>VLOOKUP(_stats[[#This Row],[tournament]],tournaments_n_rules[],4,0)</f>
        <v>45901</v>
      </c>
      <c r="O544" s="52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51" t="str">
        <f>VLOOKUP(_stats[[#This Row],[tournament]],tournaments_n_rules[],2,0)</f>
        <v>Барышиха</v>
      </c>
      <c r="M545" s="51" t="str">
        <f>VLOOKUP(_stats[[#This Row],[tournament]],tournaments_n_rules[],3,0)</f>
        <v>Осень 2025</v>
      </c>
      <c r="N545" s="52">
        <f>VLOOKUP(_stats[[#This Row],[tournament]],tournaments_n_rules[],4,0)</f>
        <v>45901</v>
      </c>
      <c r="O545" s="52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51" t="str">
        <f>VLOOKUP(_stats[[#This Row],[tournament]],tournaments_n_rules[],2,0)</f>
        <v>Барышиха</v>
      </c>
      <c r="M546" s="51" t="str">
        <f>VLOOKUP(_stats[[#This Row],[tournament]],tournaments_n_rules[],3,0)</f>
        <v>Осень 2025</v>
      </c>
      <c r="N546" s="52">
        <f>VLOOKUP(_stats[[#This Row],[tournament]],tournaments_n_rules[],4,0)</f>
        <v>45901</v>
      </c>
      <c r="O546" s="52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51" t="str">
        <f>VLOOKUP(_stats[[#This Row],[tournament]],tournaments_n_rules[],2,0)</f>
        <v>УПК</v>
      </c>
      <c r="M547" s="51" t="str">
        <f>VLOOKUP(_stats[[#This Row],[tournament]],tournaments_n_rules[],3,0)</f>
        <v>Осень 2025</v>
      </c>
      <c r="N547" s="52">
        <f>VLOOKUP(_stats[[#This Row],[tournament]],tournaments_n_rules[],4,0)</f>
        <v>45901</v>
      </c>
      <c r="O547" s="52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51" t="str">
        <f>VLOOKUP(_stats[[#This Row],[tournament]],tournaments_n_rules[],2,0)</f>
        <v>УПК</v>
      </c>
      <c r="M548" s="51" t="str">
        <f>VLOOKUP(_stats[[#This Row],[tournament]],tournaments_n_rules[],3,0)</f>
        <v>Осень 2025</v>
      </c>
      <c r="N548" s="52">
        <f>VLOOKUP(_stats[[#This Row],[tournament]],tournaments_n_rules[],4,0)</f>
        <v>45901</v>
      </c>
      <c r="O548" s="52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51" t="str">
        <f>VLOOKUP(_stats[[#This Row],[tournament]],tournaments_n_rules[],2,0)</f>
        <v>УПК</v>
      </c>
      <c r="M549" s="51" t="str">
        <f>VLOOKUP(_stats[[#This Row],[tournament]],tournaments_n_rules[],3,0)</f>
        <v>Осень 2025</v>
      </c>
      <c r="N549" s="52">
        <f>VLOOKUP(_stats[[#This Row],[tournament]],tournaments_n_rules[],4,0)</f>
        <v>45901</v>
      </c>
      <c r="O549" s="52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51" t="str">
        <f>VLOOKUP(_stats[[#This Row],[tournament]],tournaments_n_rules[],2,0)</f>
        <v>УПК</v>
      </c>
      <c r="M550" s="51" t="str">
        <f>VLOOKUP(_stats[[#This Row],[tournament]],tournaments_n_rules[],3,0)</f>
        <v>Осень 2025</v>
      </c>
      <c r="N550" s="52">
        <f>VLOOKUP(_stats[[#This Row],[tournament]],tournaments_n_rules[],4,0)</f>
        <v>45901</v>
      </c>
      <c r="O550" s="52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51" t="str">
        <f>VLOOKUP(_stats[[#This Row],[tournament]],tournaments_n_rules[],2,0)</f>
        <v>УПК</v>
      </c>
      <c r="M551" s="51" t="str">
        <f>VLOOKUP(_stats[[#This Row],[tournament]],tournaments_n_rules[],3,0)</f>
        <v>Осень 2025</v>
      </c>
      <c r="N551" s="52">
        <f>VLOOKUP(_stats[[#This Row],[tournament]],tournaments_n_rules[],4,0)</f>
        <v>45901</v>
      </c>
      <c r="O551" s="52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51" t="str">
        <f>VLOOKUP(_stats[[#This Row],[tournament]],tournaments_n_rules[],2,0)</f>
        <v>УПК</v>
      </c>
      <c r="M552" s="51" t="str">
        <f>VLOOKUP(_stats[[#This Row],[tournament]],tournaments_n_rules[],3,0)</f>
        <v>Осень 2025</v>
      </c>
      <c r="N552" s="52">
        <f>VLOOKUP(_stats[[#This Row],[tournament]],tournaments_n_rules[],4,0)</f>
        <v>45901</v>
      </c>
      <c r="O552" s="52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51" t="str">
        <f>VLOOKUP(_stats[[#This Row],[tournament]],tournaments_n_rules[],2,0)</f>
        <v>УПК</v>
      </c>
      <c r="M553" s="51" t="str">
        <f>VLOOKUP(_stats[[#This Row],[tournament]],tournaments_n_rules[],3,0)</f>
        <v>Осень 2025</v>
      </c>
      <c r="N553" s="52">
        <f>VLOOKUP(_stats[[#This Row],[tournament]],tournaments_n_rules[],4,0)</f>
        <v>45901</v>
      </c>
      <c r="O553" s="52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51" t="str">
        <f>VLOOKUP(_stats[[#This Row],[tournament]],tournaments_n_rules[],2,0)</f>
        <v>УПК</v>
      </c>
      <c r="M554" s="51" t="str">
        <f>VLOOKUP(_stats[[#This Row],[tournament]],tournaments_n_rules[],3,0)</f>
        <v>Осень 2025</v>
      </c>
      <c r="N554" s="52">
        <f>VLOOKUP(_stats[[#This Row],[tournament]],tournaments_n_rules[],4,0)</f>
        <v>45901</v>
      </c>
      <c r="O554" s="52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51" t="str">
        <f>VLOOKUP(_stats[[#This Row],[tournament]],tournaments_n_rules[],2,0)</f>
        <v>УПК</v>
      </c>
      <c r="M555" s="51" t="str">
        <f>VLOOKUP(_stats[[#This Row],[tournament]],tournaments_n_rules[],3,0)</f>
        <v>Осень 2025</v>
      </c>
      <c r="N555" s="52">
        <f>VLOOKUP(_stats[[#This Row],[tournament]],tournaments_n_rules[],4,0)</f>
        <v>45901</v>
      </c>
      <c r="O555" s="52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51" t="str">
        <f>VLOOKUP(_stats[[#This Row],[tournament]],tournaments_n_rules[],2,0)</f>
        <v>УПК</v>
      </c>
      <c r="M556" s="51" t="str">
        <f>VLOOKUP(_stats[[#This Row],[tournament]],tournaments_n_rules[],3,0)</f>
        <v>Осень 2025</v>
      </c>
      <c r="N556" s="52">
        <f>VLOOKUP(_stats[[#This Row],[tournament]],tournaments_n_rules[],4,0)</f>
        <v>45901</v>
      </c>
      <c r="O556" s="52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51" t="str">
        <f>VLOOKUP(_stats[[#This Row],[tournament]],tournaments_n_rules[],2,0)</f>
        <v>УПК</v>
      </c>
      <c r="M557" s="51" t="str">
        <f>VLOOKUP(_stats[[#This Row],[tournament]],tournaments_n_rules[],3,0)</f>
        <v>Осень 2025</v>
      </c>
      <c r="N557" s="52">
        <f>VLOOKUP(_stats[[#This Row],[tournament]],tournaments_n_rules[],4,0)</f>
        <v>45901</v>
      </c>
      <c r="O557" s="52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51" t="str">
        <f>VLOOKUP(_stats[[#This Row],[tournament]],tournaments_n_rules[],2,0)</f>
        <v>УПК</v>
      </c>
      <c r="M558" s="51" t="str">
        <f>VLOOKUP(_stats[[#This Row],[tournament]],tournaments_n_rules[],3,0)</f>
        <v>Осень 2025</v>
      </c>
      <c r="N558" s="52">
        <f>VLOOKUP(_stats[[#This Row],[tournament]],tournaments_n_rules[],4,0)</f>
        <v>45901</v>
      </c>
      <c r="O558" s="52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51" t="str">
        <f>VLOOKUP(_stats[[#This Row],[tournament]],tournaments_n_rules[],2,0)</f>
        <v>УПК</v>
      </c>
      <c r="M559" s="51" t="str">
        <f>VLOOKUP(_stats[[#This Row],[tournament]],tournaments_n_rules[],3,0)</f>
        <v>Осень 2025</v>
      </c>
      <c r="N559" s="52">
        <f>VLOOKUP(_stats[[#This Row],[tournament]],tournaments_n_rules[],4,0)</f>
        <v>45901</v>
      </c>
      <c r="O559" s="52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51" t="str">
        <f>VLOOKUP(_stats[[#This Row],[tournament]],tournaments_n_rules[],2,0)</f>
        <v>УПК</v>
      </c>
      <c r="M560" s="51" t="str">
        <f>VLOOKUP(_stats[[#This Row],[tournament]],tournaments_n_rules[],3,0)</f>
        <v>Осень 2025</v>
      </c>
      <c r="N560" s="52">
        <f>VLOOKUP(_stats[[#This Row],[tournament]],tournaments_n_rules[],4,0)</f>
        <v>45901</v>
      </c>
      <c r="O560" s="52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51" t="str">
        <f>VLOOKUP(_stats[[#This Row],[tournament]],tournaments_n_rules[],2,0)</f>
        <v>УПК</v>
      </c>
      <c r="M561" s="51" t="str">
        <f>VLOOKUP(_stats[[#This Row],[tournament]],tournaments_n_rules[],3,0)</f>
        <v>Осень 2025</v>
      </c>
      <c r="N561" s="52">
        <f>VLOOKUP(_stats[[#This Row],[tournament]],tournaments_n_rules[],4,0)</f>
        <v>45901</v>
      </c>
      <c r="O561" s="52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51" t="str">
        <f>VLOOKUP(_stats[[#This Row],[tournament]],tournaments_n_rules[],2,0)</f>
        <v>УПК</v>
      </c>
      <c r="M562" s="51" t="str">
        <f>VLOOKUP(_stats[[#This Row],[tournament]],tournaments_n_rules[],3,0)</f>
        <v>Осень 2025</v>
      </c>
      <c r="N562" s="52">
        <f>VLOOKUP(_stats[[#This Row],[tournament]],tournaments_n_rules[],4,0)</f>
        <v>45901</v>
      </c>
      <c r="O562" s="52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51" t="str">
        <f>VLOOKUP(_stats[[#This Row],[tournament]],tournaments_n_rules[],2,0)</f>
        <v>УПК</v>
      </c>
      <c r="M563" s="51" t="str">
        <f>VLOOKUP(_stats[[#This Row],[tournament]],tournaments_n_rules[],3,0)</f>
        <v>Осень 2025</v>
      </c>
      <c r="N563" s="52">
        <f>VLOOKUP(_stats[[#This Row],[tournament]],tournaments_n_rules[],4,0)</f>
        <v>45901</v>
      </c>
      <c r="O563" s="52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51" t="str">
        <f>VLOOKUP(_stats[[#This Row],[tournament]],tournaments_n_rules[],2,0)</f>
        <v>УПК</v>
      </c>
      <c r="M564" s="51" t="str">
        <f>VLOOKUP(_stats[[#This Row],[tournament]],tournaments_n_rules[],3,0)</f>
        <v>Осень 2025</v>
      </c>
      <c r="N564" s="52">
        <f>VLOOKUP(_stats[[#This Row],[tournament]],tournaments_n_rules[],4,0)</f>
        <v>45901</v>
      </c>
      <c r="O564" s="52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51" t="str">
        <f>VLOOKUP(_stats[[#This Row],[tournament]],tournaments_n_rules[],2,0)</f>
        <v>УПК</v>
      </c>
      <c r="M565" s="51" t="str">
        <f>VLOOKUP(_stats[[#This Row],[tournament]],tournaments_n_rules[],3,0)</f>
        <v>Осень 2025</v>
      </c>
      <c r="N565" s="52">
        <f>VLOOKUP(_stats[[#This Row],[tournament]],tournaments_n_rules[],4,0)</f>
        <v>45901</v>
      </c>
      <c r="O565" s="52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51" t="str">
        <f>VLOOKUP(_stats[[#This Row],[tournament]],tournaments_n_rules[],2,0)</f>
        <v>УПК</v>
      </c>
      <c r="M566" s="51" t="str">
        <f>VLOOKUP(_stats[[#This Row],[tournament]],tournaments_n_rules[],3,0)</f>
        <v>Осень 2025</v>
      </c>
      <c r="N566" s="52">
        <f>VLOOKUP(_stats[[#This Row],[tournament]],tournaments_n_rules[],4,0)</f>
        <v>45901</v>
      </c>
      <c r="O566" s="52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51" t="str">
        <f>VLOOKUP(_stats[[#This Row],[tournament]],tournaments_n_rules[],2,0)</f>
        <v>УПК</v>
      </c>
      <c r="M567" s="51" t="str">
        <f>VLOOKUP(_stats[[#This Row],[tournament]],tournaments_n_rules[],3,0)</f>
        <v>Осень 2025</v>
      </c>
      <c r="N567" s="52">
        <f>VLOOKUP(_stats[[#This Row],[tournament]],tournaments_n_rules[],4,0)</f>
        <v>45901</v>
      </c>
      <c r="O567" s="52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51" t="str">
        <f>VLOOKUP(_stats[[#This Row],[tournament]],tournaments_n_rules[],2,0)</f>
        <v>УПК</v>
      </c>
      <c r="M568" s="51" t="str">
        <f>VLOOKUP(_stats[[#This Row],[tournament]],tournaments_n_rules[],3,0)</f>
        <v>Осень 2025</v>
      </c>
      <c r="N568" s="52">
        <f>VLOOKUP(_stats[[#This Row],[tournament]],tournaments_n_rules[],4,0)</f>
        <v>45901</v>
      </c>
      <c r="O568" s="52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51" t="str">
        <f>VLOOKUP(_stats[[#This Row],[tournament]],tournaments_n_rules[],2,0)</f>
        <v>УПК</v>
      </c>
      <c r="M569" s="51" t="str">
        <f>VLOOKUP(_stats[[#This Row],[tournament]],tournaments_n_rules[],3,0)</f>
        <v>Осень 2025</v>
      </c>
      <c r="N569" s="52">
        <f>VLOOKUP(_stats[[#This Row],[tournament]],tournaments_n_rules[],4,0)</f>
        <v>45901</v>
      </c>
      <c r="O569" s="52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51" t="str">
        <f>VLOOKUP(_stats[[#This Row],[tournament]],tournaments_n_rules[],2,0)</f>
        <v>Барышиха</v>
      </c>
      <c r="M570" s="51" t="str">
        <f>VLOOKUP(_stats[[#This Row],[tournament]],tournaments_n_rules[],3,0)</f>
        <v>Осень 2025</v>
      </c>
      <c r="N570" s="52">
        <f>VLOOKUP(_stats[[#This Row],[tournament]],tournaments_n_rules[],4,0)</f>
        <v>45901</v>
      </c>
      <c r="O570" s="52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51" t="str">
        <f>VLOOKUP(_stats[[#This Row],[tournament]],tournaments_n_rules[],2,0)</f>
        <v>Барышиха</v>
      </c>
      <c r="M571" s="51" t="str">
        <f>VLOOKUP(_stats[[#This Row],[tournament]],tournaments_n_rules[],3,0)</f>
        <v>Осень 2025</v>
      </c>
      <c r="N571" s="52">
        <f>VLOOKUP(_stats[[#This Row],[tournament]],tournaments_n_rules[],4,0)</f>
        <v>45901</v>
      </c>
      <c r="O571" s="52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51" t="str">
        <f>VLOOKUP(_stats[[#This Row],[tournament]],tournaments_n_rules[],2,0)</f>
        <v>Барышиха</v>
      </c>
      <c r="M572" s="51" t="str">
        <f>VLOOKUP(_stats[[#This Row],[tournament]],tournaments_n_rules[],3,0)</f>
        <v>Осень 2025</v>
      </c>
      <c r="N572" s="52">
        <f>VLOOKUP(_stats[[#This Row],[tournament]],tournaments_n_rules[],4,0)</f>
        <v>45901</v>
      </c>
      <c r="O572" s="52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51" t="str">
        <f>VLOOKUP(_stats[[#This Row],[tournament]],tournaments_n_rules[],2,0)</f>
        <v>Барышиха</v>
      </c>
      <c r="M573" s="51" t="str">
        <f>VLOOKUP(_stats[[#This Row],[tournament]],tournaments_n_rules[],3,0)</f>
        <v>Осень 2025</v>
      </c>
      <c r="N573" s="52">
        <f>VLOOKUP(_stats[[#This Row],[tournament]],tournaments_n_rules[],4,0)</f>
        <v>45901</v>
      </c>
      <c r="O573" s="52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51" t="str">
        <f>VLOOKUP(_stats[[#This Row],[tournament]],tournaments_n_rules[],2,0)</f>
        <v>Барышиха</v>
      </c>
      <c r="M574" s="51" t="str">
        <f>VLOOKUP(_stats[[#This Row],[tournament]],tournaments_n_rules[],3,0)</f>
        <v>Осень 2025</v>
      </c>
      <c r="N574" s="52">
        <f>VLOOKUP(_stats[[#This Row],[tournament]],tournaments_n_rules[],4,0)</f>
        <v>45901</v>
      </c>
      <c r="O574" s="52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51" t="str">
        <f>VLOOKUP(_stats[[#This Row],[tournament]],tournaments_n_rules[],2,0)</f>
        <v>Барышиха</v>
      </c>
      <c r="M575" s="51" t="str">
        <f>VLOOKUP(_stats[[#This Row],[tournament]],tournaments_n_rules[],3,0)</f>
        <v>Осень 2025</v>
      </c>
      <c r="N575" s="52">
        <f>VLOOKUP(_stats[[#This Row],[tournament]],tournaments_n_rules[],4,0)</f>
        <v>45901</v>
      </c>
      <c r="O575" s="52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51" t="str">
        <f>VLOOKUP(_stats[[#This Row],[tournament]],tournaments_n_rules[],2,0)</f>
        <v>Барышиха</v>
      </c>
      <c r="M576" s="51" t="str">
        <f>VLOOKUP(_stats[[#This Row],[tournament]],tournaments_n_rules[],3,0)</f>
        <v>Осень 2025</v>
      </c>
      <c r="N576" s="52">
        <f>VLOOKUP(_stats[[#This Row],[tournament]],tournaments_n_rules[],4,0)</f>
        <v>45901</v>
      </c>
      <c r="O576" s="52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51" t="str">
        <f>VLOOKUP(_stats[[#This Row],[tournament]],tournaments_n_rules[],2,0)</f>
        <v>Барышиха</v>
      </c>
      <c r="M577" s="51" t="str">
        <f>VLOOKUP(_stats[[#This Row],[tournament]],tournaments_n_rules[],3,0)</f>
        <v>Осень 2025</v>
      </c>
      <c r="N577" s="52">
        <f>VLOOKUP(_stats[[#This Row],[tournament]],tournaments_n_rules[],4,0)</f>
        <v>45901</v>
      </c>
      <c r="O577" s="52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51" t="str">
        <f>VLOOKUP(_stats[[#This Row],[tournament]],tournaments_n_rules[],2,0)</f>
        <v>Барышиха</v>
      </c>
      <c r="M578" s="51" t="str">
        <f>VLOOKUP(_stats[[#This Row],[tournament]],tournaments_n_rules[],3,0)</f>
        <v>Осень 2025</v>
      </c>
      <c r="N578" s="52">
        <f>VLOOKUP(_stats[[#This Row],[tournament]],tournaments_n_rules[],4,0)</f>
        <v>45901</v>
      </c>
      <c r="O578" s="52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51" t="str">
        <f>VLOOKUP(_stats[[#This Row],[tournament]],tournaments_n_rules[],2,0)</f>
        <v>Барышиха</v>
      </c>
      <c r="M579" s="51" t="str">
        <f>VLOOKUP(_stats[[#This Row],[tournament]],tournaments_n_rules[],3,0)</f>
        <v>Осень 2025</v>
      </c>
      <c r="N579" s="52">
        <f>VLOOKUP(_stats[[#This Row],[tournament]],tournaments_n_rules[],4,0)</f>
        <v>45901</v>
      </c>
      <c r="O579" s="52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51" t="str">
        <f>VLOOKUP(_stats[[#This Row],[tournament]],tournaments_n_rules[],2,0)</f>
        <v>Барышиха</v>
      </c>
      <c r="M580" s="51" t="str">
        <f>VLOOKUP(_stats[[#This Row],[tournament]],tournaments_n_rules[],3,0)</f>
        <v>Осень 2025</v>
      </c>
      <c r="N580" s="52">
        <f>VLOOKUP(_stats[[#This Row],[tournament]],tournaments_n_rules[],4,0)</f>
        <v>45901</v>
      </c>
      <c r="O580" s="52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51" t="str">
        <f>VLOOKUP(_stats[[#This Row],[tournament]],tournaments_n_rules[],2,0)</f>
        <v>Барышиха</v>
      </c>
      <c r="M581" s="51" t="str">
        <f>VLOOKUP(_stats[[#This Row],[tournament]],tournaments_n_rules[],3,0)</f>
        <v>Осень 2025</v>
      </c>
      <c r="N581" s="52">
        <f>VLOOKUP(_stats[[#This Row],[tournament]],tournaments_n_rules[],4,0)</f>
        <v>45901</v>
      </c>
      <c r="O581" s="52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51" t="str">
        <f>VLOOKUP(_stats[[#This Row],[tournament]],tournaments_n_rules[],2,0)</f>
        <v>Барышиха</v>
      </c>
      <c r="M582" s="51" t="str">
        <f>VLOOKUP(_stats[[#This Row],[tournament]],tournaments_n_rules[],3,0)</f>
        <v>Осень 2025</v>
      </c>
      <c r="N582" s="52">
        <f>VLOOKUP(_stats[[#This Row],[tournament]],tournaments_n_rules[],4,0)</f>
        <v>45901</v>
      </c>
      <c r="O582" s="52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51" t="str">
        <f>VLOOKUP(_stats[[#This Row],[tournament]],tournaments_n_rules[],2,0)</f>
        <v>Барышиха</v>
      </c>
      <c r="M583" s="51" t="str">
        <f>VLOOKUP(_stats[[#This Row],[tournament]],tournaments_n_rules[],3,0)</f>
        <v>Осень 2025</v>
      </c>
      <c r="N583" s="52">
        <f>VLOOKUP(_stats[[#This Row],[tournament]],tournaments_n_rules[],4,0)</f>
        <v>45901</v>
      </c>
      <c r="O583" s="52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51" t="str">
        <f>VLOOKUP(_stats[[#This Row],[tournament]],tournaments_n_rules[],2,0)</f>
        <v>Барышиха</v>
      </c>
      <c r="M584" s="51" t="str">
        <f>VLOOKUP(_stats[[#This Row],[tournament]],tournaments_n_rules[],3,0)</f>
        <v>Осень 2025</v>
      </c>
      <c r="N584" s="52">
        <f>VLOOKUP(_stats[[#This Row],[tournament]],tournaments_n_rules[],4,0)</f>
        <v>45901</v>
      </c>
      <c r="O584" s="52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51" t="str">
        <f>VLOOKUP(_stats[[#This Row],[tournament]],tournaments_n_rules[],2,0)</f>
        <v>Барышиха</v>
      </c>
      <c r="M585" s="51" t="str">
        <f>VLOOKUP(_stats[[#This Row],[tournament]],tournaments_n_rules[],3,0)</f>
        <v>Осень 2025</v>
      </c>
      <c r="N585" s="52">
        <f>VLOOKUP(_stats[[#This Row],[tournament]],tournaments_n_rules[],4,0)</f>
        <v>45901</v>
      </c>
      <c r="O585" s="52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51" t="str">
        <f>VLOOKUP(_stats[[#This Row],[tournament]],tournaments_n_rules[],2,0)</f>
        <v>Барышиха</v>
      </c>
      <c r="M586" s="51" t="str">
        <f>VLOOKUP(_stats[[#This Row],[tournament]],tournaments_n_rules[],3,0)</f>
        <v>Осень 2025</v>
      </c>
      <c r="N586" s="52">
        <f>VLOOKUP(_stats[[#This Row],[tournament]],tournaments_n_rules[],4,0)</f>
        <v>45901</v>
      </c>
      <c r="O586" s="52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51" t="str">
        <f>VLOOKUP(_stats[[#This Row],[tournament]],tournaments_n_rules[],2,0)</f>
        <v>Барышиха</v>
      </c>
      <c r="M587" s="51" t="str">
        <f>VLOOKUP(_stats[[#This Row],[tournament]],tournaments_n_rules[],3,0)</f>
        <v>Осень 2025</v>
      </c>
      <c r="N587" s="52">
        <f>VLOOKUP(_stats[[#This Row],[tournament]],tournaments_n_rules[],4,0)</f>
        <v>45901</v>
      </c>
      <c r="O587" s="52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51" t="str">
        <f>VLOOKUP(_stats[[#This Row],[tournament]],tournaments_n_rules[],2,0)</f>
        <v>УПК</v>
      </c>
      <c r="M588" s="51" t="str">
        <f>VLOOKUP(_stats[[#This Row],[tournament]],tournaments_n_rules[],3,0)</f>
        <v>Осень 2025</v>
      </c>
      <c r="N588" s="52">
        <f>VLOOKUP(_stats[[#This Row],[tournament]],tournaments_n_rules[],4,0)</f>
        <v>45901</v>
      </c>
      <c r="O588" s="52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51" t="str">
        <f>VLOOKUP(_stats[[#This Row],[tournament]],tournaments_n_rules[],2,0)</f>
        <v>УПК</v>
      </c>
      <c r="M589" s="51" t="str">
        <f>VLOOKUP(_stats[[#This Row],[tournament]],tournaments_n_rules[],3,0)</f>
        <v>Осень 2025</v>
      </c>
      <c r="N589" s="52">
        <f>VLOOKUP(_stats[[#This Row],[tournament]],tournaments_n_rules[],4,0)</f>
        <v>45901</v>
      </c>
      <c r="O589" s="52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51" t="str">
        <f>VLOOKUP(_stats[[#This Row],[tournament]],tournaments_n_rules[],2,0)</f>
        <v>УПК</v>
      </c>
      <c r="M590" s="51" t="str">
        <f>VLOOKUP(_stats[[#This Row],[tournament]],tournaments_n_rules[],3,0)</f>
        <v>Осень 2025</v>
      </c>
      <c r="N590" s="52">
        <f>VLOOKUP(_stats[[#This Row],[tournament]],tournaments_n_rules[],4,0)</f>
        <v>45901</v>
      </c>
      <c r="O590" s="52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51" t="str">
        <f>VLOOKUP(_stats[[#This Row],[tournament]],tournaments_n_rules[],2,0)</f>
        <v>УПК</v>
      </c>
      <c r="M591" s="51" t="str">
        <f>VLOOKUP(_stats[[#This Row],[tournament]],tournaments_n_rules[],3,0)</f>
        <v>Осень 2025</v>
      </c>
      <c r="N591" s="52">
        <f>VLOOKUP(_stats[[#This Row],[tournament]],tournaments_n_rules[],4,0)</f>
        <v>45901</v>
      </c>
      <c r="O591" s="52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51" t="str">
        <f>VLOOKUP(_stats[[#This Row],[tournament]],tournaments_n_rules[],2,0)</f>
        <v>УПК</v>
      </c>
      <c r="M592" s="51" t="str">
        <f>VLOOKUP(_stats[[#This Row],[tournament]],tournaments_n_rules[],3,0)</f>
        <v>Осень 2025</v>
      </c>
      <c r="N592" s="52">
        <f>VLOOKUP(_stats[[#This Row],[tournament]],tournaments_n_rules[],4,0)</f>
        <v>45901</v>
      </c>
      <c r="O592" s="52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51" t="str">
        <f>VLOOKUP(_stats[[#This Row],[tournament]],tournaments_n_rules[],2,0)</f>
        <v>УПК</v>
      </c>
      <c r="M593" s="51" t="str">
        <f>VLOOKUP(_stats[[#This Row],[tournament]],tournaments_n_rules[],3,0)</f>
        <v>Осень 2025</v>
      </c>
      <c r="N593" s="52">
        <f>VLOOKUP(_stats[[#This Row],[tournament]],tournaments_n_rules[],4,0)</f>
        <v>45901</v>
      </c>
      <c r="O593" s="52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51" t="str">
        <f>VLOOKUP(_stats[[#This Row],[tournament]],tournaments_n_rules[],2,0)</f>
        <v>УПК</v>
      </c>
      <c r="M594" s="51" t="str">
        <f>VLOOKUP(_stats[[#This Row],[tournament]],tournaments_n_rules[],3,0)</f>
        <v>Осень 2025</v>
      </c>
      <c r="N594" s="52">
        <f>VLOOKUP(_stats[[#This Row],[tournament]],tournaments_n_rules[],4,0)</f>
        <v>45901</v>
      </c>
      <c r="O594" s="52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51" t="str">
        <f>VLOOKUP(_stats[[#This Row],[tournament]],tournaments_n_rules[],2,0)</f>
        <v>УПК</v>
      </c>
      <c r="M595" s="51" t="str">
        <f>VLOOKUP(_stats[[#This Row],[tournament]],tournaments_n_rules[],3,0)</f>
        <v>Осень 2025</v>
      </c>
      <c r="N595" s="52">
        <f>VLOOKUP(_stats[[#This Row],[tournament]],tournaments_n_rules[],4,0)</f>
        <v>45901</v>
      </c>
      <c r="O595" s="52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51" t="str">
        <f>VLOOKUP(_stats[[#This Row],[tournament]],tournaments_n_rules[],2,0)</f>
        <v>УПК</v>
      </c>
      <c r="M596" s="51" t="str">
        <f>VLOOKUP(_stats[[#This Row],[tournament]],tournaments_n_rules[],3,0)</f>
        <v>Осень 2025</v>
      </c>
      <c r="N596" s="52">
        <f>VLOOKUP(_stats[[#This Row],[tournament]],tournaments_n_rules[],4,0)</f>
        <v>45901</v>
      </c>
      <c r="O596" s="52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51" t="str">
        <f>VLOOKUP(_stats[[#This Row],[tournament]],tournaments_n_rules[],2,0)</f>
        <v>УПК</v>
      </c>
      <c r="M597" s="51" t="str">
        <f>VLOOKUP(_stats[[#This Row],[tournament]],tournaments_n_rules[],3,0)</f>
        <v>Осень 2025</v>
      </c>
      <c r="N597" s="52">
        <f>VLOOKUP(_stats[[#This Row],[tournament]],tournaments_n_rules[],4,0)</f>
        <v>45901</v>
      </c>
      <c r="O597" s="52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51" t="str">
        <f>VLOOKUP(_stats[[#This Row],[tournament]],tournaments_n_rules[],2,0)</f>
        <v>УПК</v>
      </c>
      <c r="M598" s="51" t="str">
        <f>VLOOKUP(_stats[[#This Row],[tournament]],tournaments_n_rules[],3,0)</f>
        <v>Осень 2025</v>
      </c>
      <c r="N598" s="52">
        <f>VLOOKUP(_stats[[#This Row],[tournament]],tournaments_n_rules[],4,0)</f>
        <v>45901</v>
      </c>
      <c r="O598" s="52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51" t="str">
        <f>VLOOKUP(_stats[[#This Row],[tournament]],tournaments_n_rules[],2,0)</f>
        <v>УПК</v>
      </c>
      <c r="M599" s="51" t="str">
        <f>VLOOKUP(_stats[[#This Row],[tournament]],tournaments_n_rules[],3,0)</f>
        <v>Осень 2025</v>
      </c>
      <c r="N599" s="52">
        <f>VLOOKUP(_stats[[#This Row],[tournament]],tournaments_n_rules[],4,0)</f>
        <v>45901</v>
      </c>
      <c r="O599" s="52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51" t="str">
        <f>VLOOKUP(_stats[[#This Row],[tournament]],tournaments_n_rules[],2,0)</f>
        <v>УПК</v>
      </c>
      <c r="M600" s="51" t="str">
        <f>VLOOKUP(_stats[[#This Row],[tournament]],tournaments_n_rules[],3,0)</f>
        <v>Осень 2025</v>
      </c>
      <c r="N600" s="52">
        <f>VLOOKUP(_stats[[#This Row],[tournament]],tournaments_n_rules[],4,0)</f>
        <v>45901</v>
      </c>
      <c r="O600" s="52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51" t="str">
        <f>VLOOKUP(_stats[[#This Row],[tournament]],tournaments_n_rules[],2,0)</f>
        <v>УПК</v>
      </c>
      <c r="M601" s="51" t="str">
        <f>VLOOKUP(_stats[[#This Row],[tournament]],tournaments_n_rules[],3,0)</f>
        <v>Осень 2025</v>
      </c>
      <c r="N601" s="52">
        <f>VLOOKUP(_stats[[#This Row],[tournament]],tournaments_n_rules[],4,0)</f>
        <v>45901</v>
      </c>
      <c r="O601" s="52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51" t="str">
        <f>VLOOKUP(_stats[[#This Row],[tournament]],tournaments_n_rules[],2,0)</f>
        <v>УПК</v>
      </c>
      <c r="M602" s="51" t="str">
        <f>VLOOKUP(_stats[[#This Row],[tournament]],tournaments_n_rules[],3,0)</f>
        <v>Осень 2025</v>
      </c>
      <c r="N602" s="52">
        <f>VLOOKUP(_stats[[#This Row],[tournament]],tournaments_n_rules[],4,0)</f>
        <v>45901</v>
      </c>
      <c r="O602" s="52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51" t="str">
        <f>VLOOKUP(_stats[[#This Row],[tournament]],tournaments_n_rules[],2,0)</f>
        <v>УПК</v>
      </c>
      <c r="M603" s="51" t="str">
        <f>VLOOKUP(_stats[[#This Row],[tournament]],tournaments_n_rules[],3,0)</f>
        <v>Осень 2025</v>
      </c>
      <c r="N603" s="52">
        <f>VLOOKUP(_stats[[#This Row],[tournament]],tournaments_n_rules[],4,0)</f>
        <v>45901</v>
      </c>
      <c r="O603" s="52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51" t="str">
        <f>VLOOKUP(_stats[[#This Row],[tournament]],tournaments_n_rules[],2,0)</f>
        <v>УПК</v>
      </c>
      <c r="M604" s="51" t="str">
        <f>VLOOKUP(_stats[[#This Row],[tournament]],tournaments_n_rules[],3,0)</f>
        <v>Осень 2025</v>
      </c>
      <c r="N604" s="52">
        <f>VLOOKUP(_stats[[#This Row],[tournament]],tournaments_n_rules[],4,0)</f>
        <v>45901</v>
      </c>
      <c r="O604" s="52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51" t="str">
        <f>VLOOKUP(_stats[[#This Row],[tournament]],tournaments_n_rules[],2,0)</f>
        <v>УПК</v>
      </c>
      <c r="M605" s="51" t="str">
        <f>VLOOKUP(_stats[[#This Row],[tournament]],tournaments_n_rules[],3,0)</f>
        <v>Осень 2025</v>
      </c>
      <c r="N605" s="52">
        <f>VLOOKUP(_stats[[#This Row],[tournament]],tournaments_n_rules[],4,0)</f>
        <v>45901</v>
      </c>
      <c r="O605" s="52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51" t="str">
        <f>VLOOKUP(_stats[[#This Row],[tournament]],tournaments_n_rules[],2,0)</f>
        <v>УПК</v>
      </c>
      <c r="M606" s="51" t="str">
        <f>VLOOKUP(_stats[[#This Row],[tournament]],tournaments_n_rules[],3,0)</f>
        <v>Осень 2025</v>
      </c>
      <c r="N606" s="52">
        <f>VLOOKUP(_stats[[#This Row],[tournament]],tournaments_n_rules[],4,0)</f>
        <v>45901</v>
      </c>
      <c r="O606" s="52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51" t="str">
        <f>VLOOKUP(_stats[[#This Row],[tournament]],tournaments_n_rules[],2,0)</f>
        <v>УПК</v>
      </c>
      <c r="M607" s="51" t="str">
        <f>VLOOKUP(_stats[[#This Row],[tournament]],tournaments_n_rules[],3,0)</f>
        <v>Осень 2025</v>
      </c>
      <c r="N607" s="52">
        <f>VLOOKUP(_stats[[#This Row],[tournament]],tournaments_n_rules[],4,0)</f>
        <v>45901</v>
      </c>
      <c r="O607" s="52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51" t="str">
        <f>VLOOKUP(_stats[[#This Row],[tournament]],tournaments_n_rules[],2,0)</f>
        <v>УПК</v>
      </c>
      <c r="M608" s="51" t="str">
        <f>VLOOKUP(_stats[[#This Row],[tournament]],tournaments_n_rules[],3,0)</f>
        <v>Осень 2025</v>
      </c>
      <c r="N608" s="52">
        <f>VLOOKUP(_stats[[#This Row],[tournament]],tournaments_n_rules[],4,0)</f>
        <v>45901</v>
      </c>
      <c r="O608" s="52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51" t="str">
        <f>VLOOKUP(_stats[[#This Row],[tournament]],tournaments_n_rules[],2,0)</f>
        <v>Барышиха</v>
      </c>
      <c r="M609" s="51" t="str">
        <f>VLOOKUP(_stats[[#This Row],[tournament]],tournaments_n_rules[],3,0)</f>
        <v>Осень 2025</v>
      </c>
      <c r="N609" s="52">
        <f>VLOOKUP(_stats[[#This Row],[tournament]],tournaments_n_rules[],4,0)</f>
        <v>45901</v>
      </c>
      <c r="O609" s="52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51" t="str">
        <f>VLOOKUP(_stats[[#This Row],[tournament]],tournaments_n_rules[],2,0)</f>
        <v>Барышиха</v>
      </c>
      <c r="M610" s="51" t="str">
        <f>VLOOKUP(_stats[[#This Row],[tournament]],tournaments_n_rules[],3,0)</f>
        <v>Осень 2025</v>
      </c>
      <c r="N610" s="52">
        <f>VLOOKUP(_stats[[#This Row],[tournament]],tournaments_n_rules[],4,0)</f>
        <v>45901</v>
      </c>
      <c r="O610" s="52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51" t="str">
        <f>VLOOKUP(_stats[[#This Row],[tournament]],tournaments_n_rules[],2,0)</f>
        <v>Барышиха</v>
      </c>
      <c r="M611" s="51" t="str">
        <f>VLOOKUP(_stats[[#This Row],[tournament]],tournaments_n_rules[],3,0)</f>
        <v>Осень 2025</v>
      </c>
      <c r="N611" s="52">
        <f>VLOOKUP(_stats[[#This Row],[tournament]],tournaments_n_rules[],4,0)</f>
        <v>45901</v>
      </c>
      <c r="O611" s="52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51" t="str">
        <f>VLOOKUP(_stats[[#This Row],[tournament]],tournaments_n_rules[],2,0)</f>
        <v>Барышиха</v>
      </c>
      <c r="M612" s="51" t="str">
        <f>VLOOKUP(_stats[[#This Row],[tournament]],tournaments_n_rules[],3,0)</f>
        <v>Осень 2025</v>
      </c>
      <c r="N612" s="52">
        <f>VLOOKUP(_stats[[#This Row],[tournament]],tournaments_n_rules[],4,0)</f>
        <v>45901</v>
      </c>
      <c r="O612" s="52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51" t="str">
        <f>VLOOKUP(_stats[[#This Row],[tournament]],tournaments_n_rules[],2,0)</f>
        <v>Барышиха</v>
      </c>
      <c r="M613" s="51" t="str">
        <f>VLOOKUP(_stats[[#This Row],[tournament]],tournaments_n_rules[],3,0)</f>
        <v>Осень 2025</v>
      </c>
      <c r="N613" s="52">
        <f>VLOOKUP(_stats[[#This Row],[tournament]],tournaments_n_rules[],4,0)</f>
        <v>45901</v>
      </c>
      <c r="O613" s="52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51" t="str">
        <f>VLOOKUP(_stats[[#This Row],[tournament]],tournaments_n_rules[],2,0)</f>
        <v>Барышиха</v>
      </c>
      <c r="M614" s="51" t="str">
        <f>VLOOKUP(_stats[[#This Row],[tournament]],tournaments_n_rules[],3,0)</f>
        <v>Осень 2025</v>
      </c>
      <c r="N614" s="52">
        <f>VLOOKUP(_stats[[#This Row],[tournament]],tournaments_n_rules[],4,0)</f>
        <v>45901</v>
      </c>
      <c r="O614" s="52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51" t="str">
        <f>VLOOKUP(_stats[[#This Row],[tournament]],tournaments_n_rules[],2,0)</f>
        <v>Барышиха</v>
      </c>
      <c r="M615" s="51" t="str">
        <f>VLOOKUP(_stats[[#This Row],[tournament]],tournaments_n_rules[],3,0)</f>
        <v>Осень 2025</v>
      </c>
      <c r="N615" s="52">
        <f>VLOOKUP(_stats[[#This Row],[tournament]],tournaments_n_rules[],4,0)</f>
        <v>45901</v>
      </c>
      <c r="O615" s="52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51" t="str">
        <f>VLOOKUP(_stats[[#This Row],[tournament]],tournaments_n_rules[],2,0)</f>
        <v>Барышиха</v>
      </c>
      <c r="M616" s="51" t="str">
        <f>VLOOKUP(_stats[[#This Row],[tournament]],tournaments_n_rules[],3,0)</f>
        <v>Осень 2025</v>
      </c>
      <c r="N616" s="52">
        <f>VLOOKUP(_stats[[#This Row],[tournament]],tournaments_n_rules[],4,0)</f>
        <v>45901</v>
      </c>
      <c r="O616" s="52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51" t="str">
        <f>VLOOKUP(_stats[[#This Row],[tournament]],tournaments_n_rules[],2,0)</f>
        <v>Барышиха</v>
      </c>
      <c r="M617" s="51" t="str">
        <f>VLOOKUP(_stats[[#This Row],[tournament]],tournaments_n_rules[],3,0)</f>
        <v>Осень 2025</v>
      </c>
      <c r="N617" s="52">
        <f>VLOOKUP(_stats[[#This Row],[tournament]],tournaments_n_rules[],4,0)</f>
        <v>45901</v>
      </c>
      <c r="O617" s="52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51" t="str">
        <f>VLOOKUP(_stats[[#This Row],[tournament]],tournaments_n_rules[],2,0)</f>
        <v>Барышиха</v>
      </c>
      <c r="M618" s="51" t="str">
        <f>VLOOKUP(_stats[[#This Row],[tournament]],tournaments_n_rules[],3,0)</f>
        <v>Осень 2025</v>
      </c>
      <c r="N618" s="52">
        <f>VLOOKUP(_stats[[#This Row],[tournament]],tournaments_n_rules[],4,0)</f>
        <v>45901</v>
      </c>
      <c r="O618" s="52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51" t="str">
        <f>VLOOKUP(_stats[[#This Row],[tournament]],tournaments_n_rules[],2,0)</f>
        <v>Барышиха</v>
      </c>
      <c r="M619" s="51" t="str">
        <f>VLOOKUP(_stats[[#This Row],[tournament]],tournaments_n_rules[],3,0)</f>
        <v>Осень 2025</v>
      </c>
      <c r="N619" s="52">
        <f>VLOOKUP(_stats[[#This Row],[tournament]],tournaments_n_rules[],4,0)</f>
        <v>45901</v>
      </c>
      <c r="O619" s="52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51" t="str">
        <f>VLOOKUP(_stats[[#This Row],[tournament]],tournaments_n_rules[],2,0)</f>
        <v>Барышиха</v>
      </c>
      <c r="M620" s="51" t="str">
        <f>VLOOKUP(_stats[[#This Row],[tournament]],tournaments_n_rules[],3,0)</f>
        <v>Осень 2025</v>
      </c>
      <c r="N620" s="52">
        <f>VLOOKUP(_stats[[#This Row],[tournament]],tournaments_n_rules[],4,0)</f>
        <v>45901</v>
      </c>
      <c r="O620" s="52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51" t="str">
        <f>VLOOKUP(_stats[[#This Row],[tournament]],tournaments_n_rules[],2,0)</f>
        <v>Барышиха</v>
      </c>
      <c r="M621" s="51" t="str">
        <f>VLOOKUP(_stats[[#This Row],[tournament]],tournaments_n_rules[],3,0)</f>
        <v>Осень 2025</v>
      </c>
      <c r="N621" s="52">
        <f>VLOOKUP(_stats[[#This Row],[tournament]],tournaments_n_rules[],4,0)</f>
        <v>45901</v>
      </c>
      <c r="O621" s="52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51" t="str">
        <f>VLOOKUP(_stats[[#This Row],[tournament]],tournaments_n_rules[],2,0)</f>
        <v>Барышиха</v>
      </c>
      <c r="M622" s="51" t="str">
        <f>VLOOKUP(_stats[[#This Row],[tournament]],tournaments_n_rules[],3,0)</f>
        <v>Осень 2025</v>
      </c>
      <c r="N622" s="52">
        <f>VLOOKUP(_stats[[#This Row],[tournament]],tournaments_n_rules[],4,0)</f>
        <v>45901</v>
      </c>
      <c r="O622" s="52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51" t="str">
        <f>VLOOKUP(_stats[[#This Row],[tournament]],tournaments_n_rules[],2,0)</f>
        <v>Барышиха</v>
      </c>
      <c r="M623" s="51" t="str">
        <f>VLOOKUP(_stats[[#This Row],[tournament]],tournaments_n_rules[],3,0)</f>
        <v>Осень 2025</v>
      </c>
      <c r="N623" s="52">
        <f>VLOOKUP(_stats[[#This Row],[tournament]],tournaments_n_rules[],4,0)</f>
        <v>45901</v>
      </c>
      <c r="O623" s="52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51" t="str">
        <f>VLOOKUP(_stats[[#This Row],[tournament]],tournaments_n_rules[],2,0)</f>
        <v>Барышиха</v>
      </c>
      <c r="M624" s="51" t="str">
        <f>VLOOKUP(_stats[[#This Row],[tournament]],tournaments_n_rules[],3,0)</f>
        <v>Осень 2025</v>
      </c>
      <c r="N624" s="52">
        <f>VLOOKUP(_stats[[#This Row],[tournament]],tournaments_n_rules[],4,0)</f>
        <v>45901</v>
      </c>
      <c r="O624" s="52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51" t="str">
        <f>VLOOKUP(_stats[[#This Row],[tournament]],tournaments_n_rules[],2,0)</f>
        <v>Барышиха</v>
      </c>
      <c r="M625" s="51" t="str">
        <f>VLOOKUP(_stats[[#This Row],[tournament]],tournaments_n_rules[],3,0)</f>
        <v>Осень 2025</v>
      </c>
      <c r="N625" s="52">
        <f>VLOOKUP(_stats[[#This Row],[tournament]],tournaments_n_rules[],4,0)</f>
        <v>45901</v>
      </c>
      <c r="O625" s="52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51" t="str">
        <f>VLOOKUP(_stats[[#This Row],[tournament]],tournaments_n_rules[],2,0)</f>
        <v>УПК</v>
      </c>
      <c r="M626" s="51" t="str">
        <f>VLOOKUP(_stats[[#This Row],[tournament]],tournaments_n_rules[],3,0)</f>
        <v>Осень 2025</v>
      </c>
      <c r="N626" s="52">
        <f>VLOOKUP(_stats[[#This Row],[tournament]],tournaments_n_rules[],4,0)</f>
        <v>45901</v>
      </c>
      <c r="O626" s="52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51" t="str">
        <f>VLOOKUP(_stats[[#This Row],[tournament]],tournaments_n_rules[],2,0)</f>
        <v>УПК</v>
      </c>
      <c r="M627" s="51" t="str">
        <f>VLOOKUP(_stats[[#This Row],[tournament]],tournaments_n_rules[],3,0)</f>
        <v>Осень 2025</v>
      </c>
      <c r="N627" s="52">
        <f>VLOOKUP(_stats[[#This Row],[tournament]],tournaments_n_rules[],4,0)</f>
        <v>45901</v>
      </c>
      <c r="O627" s="52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51" t="str">
        <f>VLOOKUP(_stats[[#This Row],[tournament]],tournaments_n_rules[],2,0)</f>
        <v>УПК</v>
      </c>
      <c r="M628" s="51" t="str">
        <f>VLOOKUP(_stats[[#This Row],[tournament]],tournaments_n_rules[],3,0)</f>
        <v>Осень 2025</v>
      </c>
      <c r="N628" s="52">
        <f>VLOOKUP(_stats[[#This Row],[tournament]],tournaments_n_rules[],4,0)</f>
        <v>45901</v>
      </c>
      <c r="O628" s="52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51" t="str">
        <f>VLOOKUP(_stats[[#This Row],[tournament]],tournaments_n_rules[],2,0)</f>
        <v>УПК</v>
      </c>
      <c r="M629" s="51" t="str">
        <f>VLOOKUP(_stats[[#This Row],[tournament]],tournaments_n_rules[],3,0)</f>
        <v>Осень 2025</v>
      </c>
      <c r="N629" s="52">
        <f>VLOOKUP(_stats[[#This Row],[tournament]],tournaments_n_rules[],4,0)</f>
        <v>45901</v>
      </c>
      <c r="O629" s="52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51" t="str">
        <f>VLOOKUP(_stats[[#This Row],[tournament]],tournaments_n_rules[],2,0)</f>
        <v>УПК</v>
      </c>
      <c r="M630" s="51" t="str">
        <f>VLOOKUP(_stats[[#This Row],[tournament]],tournaments_n_rules[],3,0)</f>
        <v>Осень 2025</v>
      </c>
      <c r="N630" s="52">
        <f>VLOOKUP(_stats[[#This Row],[tournament]],tournaments_n_rules[],4,0)</f>
        <v>45901</v>
      </c>
      <c r="O630" s="52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51" t="str">
        <f>VLOOKUP(_stats[[#This Row],[tournament]],tournaments_n_rules[],2,0)</f>
        <v>УПК</v>
      </c>
      <c r="M631" s="51" t="str">
        <f>VLOOKUP(_stats[[#This Row],[tournament]],tournaments_n_rules[],3,0)</f>
        <v>Осень 2025</v>
      </c>
      <c r="N631" s="52">
        <f>VLOOKUP(_stats[[#This Row],[tournament]],tournaments_n_rules[],4,0)</f>
        <v>45901</v>
      </c>
      <c r="O631" s="52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51" t="str">
        <f>VLOOKUP(_stats[[#This Row],[tournament]],tournaments_n_rules[],2,0)</f>
        <v>УПК</v>
      </c>
      <c r="M632" s="51" t="str">
        <f>VLOOKUP(_stats[[#This Row],[tournament]],tournaments_n_rules[],3,0)</f>
        <v>Осень 2025</v>
      </c>
      <c r="N632" s="52">
        <f>VLOOKUP(_stats[[#This Row],[tournament]],tournaments_n_rules[],4,0)</f>
        <v>45901</v>
      </c>
      <c r="O632" s="52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51" t="str">
        <f>VLOOKUP(_stats[[#This Row],[tournament]],tournaments_n_rules[],2,0)</f>
        <v>УПК</v>
      </c>
      <c r="M633" s="51" t="str">
        <f>VLOOKUP(_stats[[#This Row],[tournament]],tournaments_n_rules[],3,0)</f>
        <v>Осень 2025</v>
      </c>
      <c r="N633" s="52">
        <f>VLOOKUP(_stats[[#This Row],[tournament]],tournaments_n_rules[],4,0)</f>
        <v>45901</v>
      </c>
      <c r="O633" s="52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51" t="str">
        <f>VLOOKUP(_stats[[#This Row],[tournament]],tournaments_n_rules[],2,0)</f>
        <v>УПК</v>
      </c>
      <c r="M634" s="51" t="str">
        <f>VLOOKUP(_stats[[#This Row],[tournament]],tournaments_n_rules[],3,0)</f>
        <v>Осень 2025</v>
      </c>
      <c r="N634" s="52">
        <f>VLOOKUP(_stats[[#This Row],[tournament]],tournaments_n_rules[],4,0)</f>
        <v>45901</v>
      </c>
      <c r="O634" s="52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51" t="str">
        <f>VLOOKUP(_stats[[#This Row],[tournament]],tournaments_n_rules[],2,0)</f>
        <v>УПК</v>
      </c>
      <c r="M635" s="51" t="str">
        <f>VLOOKUP(_stats[[#This Row],[tournament]],tournaments_n_rules[],3,0)</f>
        <v>Осень 2025</v>
      </c>
      <c r="N635" s="52">
        <f>VLOOKUP(_stats[[#This Row],[tournament]],tournaments_n_rules[],4,0)</f>
        <v>45901</v>
      </c>
      <c r="O635" s="52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51" t="str">
        <f>VLOOKUP(_stats[[#This Row],[tournament]],tournaments_n_rules[],2,0)</f>
        <v>УПК</v>
      </c>
      <c r="M636" s="51" t="str">
        <f>VLOOKUP(_stats[[#This Row],[tournament]],tournaments_n_rules[],3,0)</f>
        <v>Осень 2025</v>
      </c>
      <c r="N636" s="52">
        <f>VLOOKUP(_stats[[#This Row],[tournament]],tournaments_n_rules[],4,0)</f>
        <v>45901</v>
      </c>
      <c r="O636" s="52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51" t="str">
        <f>VLOOKUP(_stats[[#This Row],[tournament]],tournaments_n_rules[],2,0)</f>
        <v>УПК</v>
      </c>
      <c r="M637" s="51" t="str">
        <f>VLOOKUP(_stats[[#This Row],[tournament]],tournaments_n_rules[],3,0)</f>
        <v>Осень 2025</v>
      </c>
      <c r="N637" s="52">
        <f>VLOOKUP(_stats[[#This Row],[tournament]],tournaments_n_rules[],4,0)</f>
        <v>45901</v>
      </c>
      <c r="O637" s="52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51" t="str">
        <f>VLOOKUP(_stats[[#This Row],[tournament]],tournaments_n_rules[],2,0)</f>
        <v>УПК</v>
      </c>
      <c r="M638" s="51" t="str">
        <f>VLOOKUP(_stats[[#This Row],[tournament]],tournaments_n_rules[],3,0)</f>
        <v>Осень 2025</v>
      </c>
      <c r="N638" s="52">
        <f>VLOOKUP(_stats[[#This Row],[tournament]],tournaments_n_rules[],4,0)</f>
        <v>45901</v>
      </c>
      <c r="O638" s="52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51" t="str">
        <f>VLOOKUP(_stats[[#This Row],[tournament]],tournaments_n_rules[],2,0)</f>
        <v>УПК</v>
      </c>
      <c r="M639" s="51" t="str">
        <f>VLOOKUP(_stats[[#This Row],[tournament]],tournaments_n_rules[],3,0)</f>
        <v>Осень 2025</v>
      </c>
      <c r="N639" s="52">
        <f>VLOOKUP(_stats[[#This Row],[tournament]],tournaments_n_rules[],4,0)</f>
        <v>45901</v>
      </c>
      <c r="O639" s="52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51" t="str">
        <f>VLOOKUP(_stats[[#This Row],[tournament]],tournaments_n_rules[],2,0)</f>
        <v>УПК</v>
      </c>
      <c r="M640" s="51" t="str">
        <f>VLOOKUP(_stats[[#This Row],[tournament]],tournaments_n_rules[],3,0)</f>
        <v>Осень 2025</v>
      </c>
      <c r="N640" s="52">
        <f>VLOOKUP(_stats[[#This Row],[tournament]],tournaments_n_rules[],4,0)</f>
        <v>45901</v>
      </c>
      <c r="O640" s="52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51" t="str">
        <f>VLOOKUP(_stats[[#This Row],[tournament]],tournaments_n_rules[],2,0)</f>
        <v>УПК</v>
      </c>
      <c r="M641" s="51" t="str">
        <f>VLOOKUP(_stats[[#This Row],[tournament]],tournaments_n_rules[],3,0)</f>
        <v>Осень 2025</v>
      </c>
      <c r="N641" s="52">
        <f>VLOOKUP(_stats[[#This Row],[tournament]],tournaments_n_rules[],4,0)</f>
        <v>45901</v>
      </c>
      <c r="O641" s="52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51" t="str">
        <f>VLOOKUP(_stats[[#This Row],[tournament]],tournaments_n_rules[],2,0)</f>
        <v>УПК</v>
      </c>
      <c r="M642" s="51" t="str">
        <f>VLOOKUP(_stats[[#This Row],[tournament]],tournaments_n_rules[],3,0)</f>
        <v>Осень 2025</v>
      </c>
      <c r="N642" s="52">
        <f>VLOOKUP(_stats[[#This Row],[tournament]],tournaments_n_rules[],4,0)</f>
        <v>45901</v>
      </c>
      <c r="O642" s="52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51" t="str">
        <f>VLOOKUP(_stats[[#This Row],[tournament]],tournaments_n_rules[],2,0)</f>
        <v>УПК</v>
      </c>
      <c r="M643" s="51" t="str">
        <f>VLOOKUP(_stats[[#This Row],[tournament]],tournaments_n_rules[],3,0)</f>
        <v>Осень 2025</v>
      </c>
      <c r="N643" s="52">
        <f>VLOOKUP(_stats[[#This Row],[tournament]],tournaments_n_rules[],4,0)</f>
        <v>45901</v>
      </c>
      <c r="O643" s="52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51" t="str">
        <f>VLOOKUP(_stats[[#This Row],[tournament]],tournaments_n_rules[],2,0)</f>
        <v>УПК</v>
      </c>
      <c r="M644" s="51" t="str">
        <f>VLOOKUP(_stats[[#This Row],[tournament]],tournaments_n_rules[],3,0)</f>
        <v>Осень 2025</v>
      </c>
      <c r="N644" s="52">
        <f>VLOOKUP(_stats[[#This Row],[tournament]],tournaments_n_rules[],4,0)</f>
        <v>45901</v>
      </c>
      <c r="O644" s="52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51" t="str">
        <f>VLOOKUP(_stats[[#This Row],[tournament]],tournaments_n_rules[],2,0)</f>
        <v>УПК</v>
      </c>
      <c r="M645" s="51" t="str">
        <f>VLOOKUP(_stats[[#This Row],[tournament]],tournaments_n_rules[],3,0)</f>
        <v>Осень 2025</v>
      </c>
      <c r="N645" s="52">
        <f>VLOOKUP(_stats[[#This Row],[tournament]],tournaments_n_rules[],4,0)</f>
        <v>45901</v>
      </c>
      <c r="O645" s="52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51" t="str">
        <f>VLOOKUP(_stats[[#This Row],[tournament]],tournaments_n_rules[],2,0)</f>
        <v>УПК</v>
      </c>
      <c r="M646" s="51" t="str">
        <f>VLOOKUP(_stats[[#This Row],[tournament]],tournaments_n_rules[],3,0)</f>
        <v>Осень 2025</v>
      </c>
      <c r="N646" s="52">
        <f>VLOOKUP(_stats[[#This Row],[tournament]],tournaments_n_rules[],4,0)</f>
        <v>45901</v>
      </c>
      <c r="O646" s="52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51" t="str">
        <f>VLOOKUP(_stats[[#This Row],[tournament]],tournaments_n_rules[],2,0)</f>
        <v>УПК</v>
      </c>
      <c r="M647" s="51" t="str">
        <f>VLOOKUP(_stats[[#This Row],[tournament]],tournaments_n_rules[],3,0)</f>
        <v>Осень 2025</v>
      </c>
      <c r="N647" s="52">
        <f>VLOOKUP(_stats[[#This Row],[tournament]],tournaments_n_rules[],4,0)</f>
        <v>45901</v>
      </c>
      <c r="O647" s="52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51" t="str">
        <f>VLOOKUP(_stats[[#This Row],[tournament]],tournaments_n_rules[],2,0)</f>
        <v>УПК</v>
      </c>
      <c r="M648" s="51" t="str">
        <f>VLOOKUP(_stats[[#This Row],[tournament]],tournaments_n_rules[],3,0)</f>
        <v>Осень 2025</v>
      </c>
      <c r="N648" s="52">
        <f>VLOOKUP(_stats[[#This Row],[tournament]],tournaments_n_rules[],4,0)</f>
        <v>45901</v>
      </c>
      <c r="O648" s="52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51" t="str">
        <f>VLOOKUP(_stats[[#This Row],[tournament]],tournaments_n_rules[],2,0)</f>
        <v>УПК</v>
      </c>
      <c r="M649" s="51" t="str">
        <f>VLOOKUP(_stats[[#This Row],[tournament]],tournaments_n_rules[],3,0)</f>
        <v>Осень 2025</v>
      </c>
      <c r="N649" s="52">
        <f>VLOOKUP(_stats[[#This Row],[tournament]],tournaments_n_rules[],4,0)</f>
        <v>45901</v>
      </c>
      <c r="O649" s="52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51" t="str">
        <f>VLOOKUP(_stats[[#This Row],[tournament]],tournaments_n_rules[],2,0)</f>
        <v>УПК</v>
      </c>
      <c r="M650" s="51" t="str">
        <f>VLOOKUP(_stats[[#This Row],[tournament]],tournaments_n_rules[],3,0)</f>
        <v>Осень 2025</v>
      </c>
      <c r="N650" s="52">
        <f>VLOOKUP(_stats[[#This Row],[tournament]],tournaments_n_rules[],4,0)</f>
        <v>45901</v>
      </c>
      <c r="O650" s="52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51" t="str">
        <f>VLOOKUP(_stats[[#This Row],[tournament]],tournaments_n_rules[],2,0)</f>
        <v>УПК</v>
      </c>
      <c r="M651" s="51" t="str">
        <f>VLOOKUP(_stats[[#This Row],[tournament]],tournaments_n_rules[],3,0)</f>
        <v>Осень 2025</v>
      </c>
      <c r="N651" s="52">
        <f>VLOOKUP(_stats[[#This Row],[tournament]],tournaments_n_rules[],4,0)</f>
        <v>45901</v>
      </c>
      <c r="O651" s="52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51" t="str">
        <f>VLOOKUP(_stats[[#This Row],[tournament]],tournaments_n_rules[],2,0)</f>
        <v>УПК</v>
      </c>
      <c r="M652" s="51" t="str">
        <f>VLOOKUP(_stats[[#This Row],[tournament]],tournaments_n_rules[],3,0)</f>
        <v>Осень 2025</v>
      </c>
      <c r="N652" s="52">
        <f>VLOOKUP(_stats[[#This Row],[tournament]],tournaments_n_rules[],4,0)</f>
        <v>45901</v>
      </c>
      <c r="O652" s="52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51" t="str">
        <f>VLOOKUP(_stats[[#This Row],[tournament]],tournaments_n_rules[],2,0)</f>
        <v>УПК</v>
      </c>
      <c r="M653" s="51" t="str">
        <f>VLOOKUP(_stats[[#This Row],[tournament]],tournaments_n_rules[],3,0)</f>
        <v>Осень 2025</v>
      </c>
      <c r="N653" s="52">
        <f>VLOOKUP(_stats[[#This Row],[tournament]],tournaments_n_rules[],4,0)</f>
        <v>45901</v>
      </c>
      <c r="O653" s="52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51" t="str">
        <f>VLOOKUP(_stats[[#This Row],[tournament]],tournaments_n_rules[],2,0)</f>
        <v>УПК</v>
      </c>
      <c r="M654" s="51" t="str">
        <f>VLOOKUP(_stats[[#This Row],[tournament]],tournaments_n_rules[],3,0)</f>
        <v>Осень 2025</v>
      </c>
      <c r="N654" s="52">
        <f>VLOOKUP(_stats[[#This Row],[tournament]],tournaments_n_rules[],4,0)</f>
        <v>45901</v>
      </c>
      <c r="O654" s="52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51" t="str">
        <f>VLOOKUP(_stats[[#This Row],[tournament]],tournaments_n_rules[],2,0)</f>
        <v>УПК</v>
      </c>
      <c r="M655" s="51" t="str">
        <f>VLOOKUP(_stats[[#This Row],[tournament]],tournaments_n_rules[],3,0)</f>
        <v>Осень 2025</v>
      </c>
      <c r="N655" s="52">
        <f>VLOOKUP(_stats[[#This Row],[tournament]],tournaments_n_rules[],4,0)</f>
        <v>45901</v>
      </c>
      <c r="O655" s="52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51" t="str">
        <f>VLOOKUP(_stats[[#This Row],[tournament]],tournaments_n_rules[],2,0)</f>
        <v>УПК</v>
      </c>
      <c r="M656" s="51" t="str">
        <f>VLOOKUP(_stats[[#This Row],[tournament]],tournaments_n_rules[],3,0)</f>
        <v>Осень 2025</v>
      </c>
      <c r="N656" s="52">
        <f>VLOOKUP(_stats[[#This Row],[tournament]],tournaments_n_rules[],4,0)</f>
        <v>45901</v>
      </c>
      <c r="O656" s="52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51" t="str">
        <f>VLOOKUP(_stats[[#This Row],[tournament]],tournaments_n_rules[],2,0)</f>
        <v>УПК</v>
      </c>
      <c r="M657" s="51" t="str">
        <f>VLOOKUP(_stats[[#This Row],[tournament]],tournaments_n_rules[],3,0)</f>
        <v>Осень 2025</v>
      </c>
      <c r="N657" s="52">
        <f>VLOOKUP(_stats[[#This Row],[tournament]],tournaments_n_rules[],4,0)</f>
        <v>45901</v>
      </c>
      <c r="O657" s="52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51" t="str">
        <f>VLOOKUP(_stats[[#This Row],[tournament]],tournaments_n_rules[],2,0)</f>
        <v>УПК</v>
      </c>
      <c r="M658" s="51" t="str">
        <f>VLOOKUP(_stats[[#This Row],[tournament]],tournaments_n_rules[],3,0)</f>
        <v>Осень 2025</v>
      </c>
      <c r="N658" s="52">
        <f>VLOOKUP(_stats[[#This Row],[tournament]],tournaments_n_rules[],4,0)</f>
        <v>45901</v>
      </c>
      <c r="O658" s="52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51" t="str">
        <f>VLOOKUP(_stats[[#This Row],[tournament]],tournaments_n_rules[],2,0)</f>
        <v>УПК</v>
      </c>
      <c r="M659" s="51" t="str">
        <f>VLOOKUP(_stats[[#This Row],[tournament]],tournaments_n_rules[],3,0)</f>
        <v>Осень 2025</v>
      </c>
      <c r="N659" s="52">
        <f>VLOOKUP(_stats[[#This Row],[tournament]],tournaments_n_rules[],4,0)</f>
        <v>45901</v>
      </c>
      <c r="O659" s="52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51" t="str">
        <f>VLOOKUP(_stats[[#This Row],[tournament]],tournaments_n_rules[],2,0)</f>
        <v>УПК</v>
      </c>
      <c r="M660" s="51" t="str">
        <f>VLOOKUP(_stats[[#This Row],[tournament]],tournaments_n_rules[],3,0)</f>
        <v>Осень 2025</v>
      </c>
      <c r="N660" s="52">
        <f>VLOOKUP(_stats[[#This Row],[tournament]],tournaments_n_rules[],4,0)</f>
        <v>45901</v>
      </c>
      <c r="O660" s="52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51" t="str">
        <f>VLOOKUP(_stats[[#This Row],[tournament]],tournaments_n_rules[],2,0)</f>
        <v>УПК</v>
      </c>
      <c r="M661" s="51" t="str">
        <f>VLOOKUP(_stats[[#This Row],[tournament]],tournaments_n_rules[],3,0)</f>
        <v>Осень 2025</v>
      </c>
      <c r="N661" s="52">
        <f>VLOOKUP(_stats[[#This Row],[tournament]],tournaments_n_rules[],4,0)</f>
        <v>45901</v>
      </c>
      <c r="O661" s="52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51" t="str">
        <f>VLOOKUP(_stats[[#This Row],[tournament]],tournaments_n_rules[],2,0)</f>
        <v>УПК</v>
      </c>
      <c r="M662" s="51" t="str">
        <f>VLOOKUP(_stats[[#This Row],[tournament]],tournaments_n_rules[],3,0)</f>
        <v>Осень 2025</v>
      </c>
      <c r="N662" s="52">
        <f>VLOOKUP(_stats[[#This Row],[tournament]],tournaments_n_rules[],4,0)</f>
        <v>45901</v>
      </c>
      <c r="O662" s="52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51" t="str">
        <f>VLOOKUP(_stats[[#This Row],[tournament]],tournaments_n_rules[],2,0)</f>
        <v>УПК</v>
      </c>
      <c r="M663" s="51" t="str">
        <f>VLOOKUP(_stats[[#This Row],[tournament]],tournaments_n_rules[],3,0)</f>
        <v>Осень 2025</v>
      </c>
      <c r="N663" s="52">
        <f>VLOOKUP(_stats[[#This Row],[tournament]],tournaments_n_rules[],4,0)</f>
        <v>45901</v>
      </c>
      <c r="O663" s="52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51" t="str">
        <f>VLOOKUP(_stats[[#This Row],[tournament]],tournaments_n_rules[],2,0)</f>
        <v>УПК</v>
      </c>
      <c r="M664" s="51" t="str">
        <f>VLOOKUP(_stats[[#This Row],[tournament]],tournaments_n_rules[],3,0)</f>
        <v>Осень 2025</v>
      </c>
      <c r="N664" s="52">
        <f>VLOOKUP(_stats[[#This Row],[tournament]],tournaments_n_rules[],4,0)</f>
        <v>45901</v>
      </c>
      <c r="O664" s="52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51" t="str">
        <f>VLOOKUP(_stats[[#This Row],[tournament]],tournaments_n_rules[],2,0)</f>
        <v>УПК</v>
      </c>
      <c r="M665" s="51" t="str">
        <f>VLOOKUP(_stats[[#This Row],[tournament]],tournaments_n_rules[],3,0)</f>
        <v>Осень 2025</v>
      </c>
      <c r="N665" s="52">
        <f>VLOOKUP(_stats[[#This Row],[tournament]],tournaments_n_rules[],4,0)</f>
        <v>45901</v>
      </c>
      <c r="O665" s="52">
        <f>VLOOKUP(_stats[[#This Row],[tournament]],tournaments_n_rules[],5,0)</f>
        <v>45991</v>
      </c>
    </row>
    <row r="666" spans="1:15" x14ac:dyDescent="0.25">
      <c r="A666" s="27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51" t="str">
        <f>VLOOKUP(_stats[[#This Row],[tournament]],tournaments_n_rules[],2,0)</f>
        <v>УПК</v>
      </c>
      <c r="M666" s="51" t="str">
        <f>VLOOKUP(_stats[[#This Row],[tournament]],tournaments_n_rules[],3,0)</f>
        <v>Осень 2025</v>
      </c>
      <c r="N666" s="52">
        <f>VLOOKUP(_stats[[#This Row],[tournament]],tournaments_n_rules[],4,0)</f>
        <v>45901</v>
      </c>
      <c r="O666" s="52">
        <f>VLOOKUP(_stats[[#This Row],[tournament]],tournaments_n_rules[],5,0)</f>
        <v>45991</v>
      </c>
    </row>
    <row r="667" spans="1:15" x14ac:dyDescent="0.25">
      <c r="A667" s="27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51" t="str">
        <f>VLOOKUP(_stats[[#This Row],[tournament]],tournaments_n_rules[],2,0)</f>
        <v>УПК</v>
      </c>
      <c r="M667" s="51" t="str">
        <f>VLOOKUP(_stats[[#This Row],[tournament]],tournaments_n_rules[],3,0)</f>
        <v>Осень 2025</v>
      </c>
      <c r="N667" s="52">
        <f>VLOOKUP(_stats[[#This Row],[tournament]],tournaments_n_rules[],4,0)</f>
        <v>45901</v>
      </c>
      <c r="O667" s="52">
        <f>VLOOKUP(_stats[[#This Row],[tournament]],tournaments_n_rules[],5,0)</f>
        <v>45991</v>
      </c>
    </row>
    <row r="668" spans="1:15" x14ac:dyDescent="0.25">
      <c r="A668" s="27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51" t="str">
        <f>VLOOKUP(_stats[[#This Row],[tournament]],tournaments_n_rules[],2,0)</f>
        <v>УПК</v>
      </c>
      <c r="M668" s="51" t="str">
        <f>VLOOKUP(_stats[[#This Row],[tournament]],tournaments_n_rules[],3,0)</f>
        <v>Осень 2025</v>
      </c>
      <c r="N668" s="52">
        <f>VLOOKUP(_stats[[#This Row],[tournament]],tournaments_n_rules[],4,0)</f>
        <v>45901</v>
      </c>
      <c r="O668" s="52">
        <f>VLOOKUP(_stats[[#This Row],[tournament]],tournaments_n_rules[],5,0)</f>
        <v>45991</v>
      </c>
    </row>
    <row r="669" spans="1:15" x14ac:dyDescent="0.25">
      <c r="A669" s="27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51" t="str">
        <f>VLOOKUP(_stats[[#This Row],[tournament]],tournaments_n_rules[],2,0)</f>
        <v>УПК</v>
      </c>
      <c r="M669" s="51" t="str">
        <f>VLOOKUP(_stats[[#This Row],[tournament]],tournaments_n_rules[],3,0)</f>
        <v>Осень 2025</v>
      </c>
      <c r="N669" s="52">
        <f>VLOOKUP(_stats[[#This Row],[tournament]],tournaments_n_rules[],4,0)</f>
        <v>45901</v>
      </c>
      <c r="O669" s="52">
        <f>VLOOKUP(_stats[[#This Row],[tournament]],tournaments_n_rules[],5,0)</f>
        <v>45991</v>
      </c>
    </row>
    <row r="670" spans="1:15" x14ac:dyDescent="0.25">
      <c r="A670" s="27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51" t="str">
        <f>VLOOKUP(_stats[[#This Row],[tournament]],tournaments_n_rules[],2,0)</f>
        <v>УПК</v>
      </c>
      <c r="M670" s="51" t="str">
        <f>VLOOKUP(_stats[[#This Row],[tournament]],tournaments_n_rules[],3,0)</f>
        <v>Осень 2025</v>
      </c>
      <c r="N670" s="52">
        <f>VLOOKUP(_stats[[#This Row],[tournament]],tournaments_n_rules[],4,0)</f>
        <v>45901</v>
      </c>
      <c r="O670" s="52">
        <f>VLOOKUP(_stats[[#This Row],[tournament]],tournaments_n_rules[],5,0)</f>
        <v>45991</v>
      </c>
    </row>
    <row r="671" spans="1:15" x14ac:dyDescent="0.25">
      <c r="A671" s="27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51" t="str">
        <f>VLOOKUP(_stats[[#This Row],[tournament]],tournaments_n_rules[],2,0)</f>
        <v>УПК</v>
      </c>
      <c r="M671" s="51" t="str">
        <f>VLOOKUP(_stats[[#This Row],[tournament]],tournaments_n_rules[],3,0)</f>
        <v>Осень 2025</v>
      </c>
      <c r="N671" s="52">
        <f>VLOOKUP(_stats[[#This Row],[tournament]],tournaments_n_rules[],4,0)</f>
        <v>45901</v>
      </c>
      <c r="O671" s="52">
        <f>VLOOKUP(_stats[[#This Row],[tournament]],tournaments_n_rules[],5,0)</f>
        <v>45991</v>
      </c>
    </row>
    <row r="672" spans="1:15" x14ac:dyDescent="0.25">
      <c r="A672" s="27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51" t="str">
        <f>VLOOKUP(_stats[[#This Row],[tournament]],tournaments_n_rules[],2,0)</f>
        <v>УПК</v>
      </c>
      <c r="M672" s="51" t="str">
        <f>VLOOKUP(_stats[[#This Row],[tournament]],tournaments_n_rules[],3,0)</f>
        <v>Осень 2025</v>
      </c>
      <c r="N672" s="52">
        <f>VLOOKUP(_stats[[#This Row],[tournament]],tournaments_n_rules[],4,0)</f>
        <v>45901</v>
      </c>
      <c r="O672" s="52">
        <f>VLOOKUP(_stats[[#This Row],[tournament]],tournaments_n_rules[],5,0)</f>
        <v>45991</v>
      </c>
    </row>
    <row r="673" spans="1:15" x14ac:dyDescent="0.25">
      <c r="A673" s="27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51" t="str">
        <f>VLOOKUP(_stats[[#This Row],[tournament]],tournaments_n_rules[],2,0)</f>
        <v>УПК</v>
      </c>
      <c r="M673" s="51" t="str">
        <f>VLOOKUP(_stats[[#This Row],[tournament]],tournaments_n_rules[],3,0)</f>
        <v>Осень 2025</v>
      </c>
      <c r="N673" s="52">
        <f>VLOOKUP(_stats[[#This Row],[tournament]],tournaments_n_rules[],4,0)</f>
        <v>45901</v>
      </c>
      <c r="O673" s="52">
        <f>VLOOKUP(_stats[[#This Row],[tournament]],tournaments_n_rules[],5,0)</f>
        <v>45991</v>
      </c>
    </row>
    <row r="674" spans="1:15" x14ac:dyDescent="0.25">
      <c r="A674" s="27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51" t="str">
        <f>VLOOKUP(_stats[[#This Row],[tournament]],tournaments_n_rules[],2,0)</f>
        <v>УПК</v>
      </c>
      <c r="M674" s="51" t="str">
        <f>VLOOKUP(_stats[[#This Row],[tournament]],tournaments_n_rules[],3,0)</f>
        <v>Осень 2025</v>
      </c>
      <c r="N674" s="52">
        <f>VLOOKUP(_stats[[#This Row],[tournament]],tournaments_n_rules[],4,0)</f>
        <v>45901</v>
      </c>
      <c r="O674" s="52">
        <f>VLOOKUP(_stats[[#This Row],[tournament]],tournaments_n_rules[],5,0)</f>
        <v>45991</v>
      </c>
    </row>
    <row r="675" spans="1:15" x14ac:dyDescent="0.25">
      <c r="A675" s="27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51" t="str">
        <f>VLOOKUP(_stats[[#This Row],[tournament]],tournaments_n_rules[],2,0)</f>
        <v>УПК</v>
      </c>
      <c r="M675" s="51" t="str">
        <f>VLOOKUP(_stats[[#This Row],[tournament]],tournaments_n_rules[],3,0)</f>
        <v>Осень 2025</v>
      </c>
      <c r="N675" s="52">
        <f>VLOOKUP(_stats[[#This Row],[tournament]],tournaments_n_rules[],4,0)</f>
        <v>45901</v>
      </c>
      <c r="O675" s="52">
        <f>VLOOKUP(_stats[[#This Row],[tournament]],tournaments_n_rules[],5,0)</f>
        <v>45991</v>
      </c>
    </row>
    <row r="676" spans="1:15" x14ac:dyDescent="0.25">
      <c r="A676" s="27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51" t="str">
        <f>VLOOKUP(_stats[[#This Row],[tournament]],tournaments_n_rules[],2,0)</f>
        <v>УПК</v>
      </c>
      <c r="M676" s="51" t="str">
        <f>VLOOKUP(_stats[[#This Row],[tournament]],tournaments_n_rules[],3,0)</f>
        <v>Осень 2025</v>
      </c>
      <c r="N676" s="52">
        <f>VLOOKUP(_stats[[#This Row],[tournament]],tournaments_n_rules[],4,0)</f>
        <v>45901</v>
      </c>
      <c r="O676" s="52">
        <f>VLOOKUP(_stats[[#This Row],[tournament]],tournaments_n_rules[],5,0)</f>
        <v>45991</v>
      </c>
    </row>
    <row r="677" spans="1:15" x14ac:dyDescent="0.25">
      <c r="A677" s="27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51" t="str">
        <f>VLOOKUP(_stats[[#This Row],[tournament]],tournaments_n_rules[],2,0)</f>
        <v>УПК</v>
      </c>
      <c r="M677" s="51" t="str">
        <f>VLOOKUP(_stats[[#This Row],[tournament]],tournaments_n_rules[],3,0)</f>
        <v>Осень 2025</v>
      </c>
      <c r="N677" s="52">
        <f>VLOOKUP(_stats[[#This Row],[tournament]],tournaments_n_rules[],4,0)</f>
        <v>45901</v>
      </c>
      <c r="O677" s="52">
        <f>VLOOKUP(_stats[[#This Row],[tournament]],tournaments_n_rules[],5,0)</f>
        <v>45991</v>
      </c>
    </row>
    <row r="678" spans="1:15" x14ac:dyDescent="0.25">
      <c r="A678" s="27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51" t="str">
        <f>VLOOKUP(_stats[[#This Row],[tournament]],tournaments_n_rules[],2,0)</f>
        <v>УПК</v>
      </c>
      <c r="M678" s="51" t="str">
        <f>VLOOKUP(_stats[[#This Row],[tournament]],tournaments_n_rules[],3,0)</f>
        <v>Осень 2025</v>
      </c>
      <c r="N678" s="52">
        <f>VLOOKUP(_stats[[#This Row],[tournament]],tournaments_n_rules[],4,0)</f>
        <v>45901</v>
      </c>
      <c r="O678" s="52">
        <f>VLOOKUP(_stats[[#This Row],[tournament]],tournaments_n_rules[],5,0)</f>
        <v>45991</v>
      </c>
    </row>
    <row r="679" spans="1:15" x14ac:dyDescent="0.25">
      <c r="A679" s="27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51" t="str">
        <f>VLOOKUP(_stats[[#This Row],[tournament]],tournaments_n_rules[],2,0)</f>
        <v>УПК</v>
      </c>
      <c r="M679" s="51" t="str">
        <f>VLOOKUP(_stats[[#This Row],[tournament]],tournaments_n_rules[],3,0)</f>
        <v>Осень 2025</v>
      </c>
      <c r="N679" s="52">
        <f>VLOOKUP(_stats[[#This Row],[tournament]],tournaments_n_rules[],4,0)</f>
        <v>45901</v>
      </c>
      <c r="O679" s="52">
        <f>VLOOKUP(_stats[[#This Row],[tournament]],tournaments_n_rules[],5,0)</f>
        <v>45991</v>
      </c>
    </row>
    <row r="680" spans="1:15" x14ac:dyDescent="0.25">
      <c r="A680" s="27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51" t="str">
        <f>VLOOKUP(_stats[[#This Row],[tournament]],tournaments_n_rules[],2,0)</f>
        <v>УПК</v>
      </c>
      <c r="M680" s="51" t="str">
        <f>VLOOKUP(_stats[[#This Row],[tournament]],tournaments_n_rules[],3,0)</f>
        <v>Осень 2025</v>
      </c>
      <c r="N680" s="52">
        <f>VLOOKUP(_stats[[#This Row],[tournament]],tournaments_n_rules[],4,0)</f>
        <v>45901</v>
      </c>
      <c r="O680" s="52">
        <f>VLOOKUP(_stats[[#This Row],[tournament]],tournaments_n_rules[],5,0)</f>
        <v>45991</v>
      </c>
    </row>
    <row r="681" spans="1:15" x14ac:dyDescent="0.25">
      <c r="A681" s="27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51" t="str">
        <f>VLOOKUP(_stats[[#This Row],[tournament]],tournaments_n_rules[],2,0)</f>
        <v>УПК</v>
      </c>
      <c r="M681" s="51" t="str">
        <f>VLOOKUP(_stats[[#This Row],[tournament]],tournaments_n_rules[],3,0)</f>
        <v>Осень 2025</v>
      </c>
      <c r="N681" s="52">
        <f>VLOOKUP(_stats[[#This Row],[tournament]],tournaments_n_rules[],4,0)</f>
        <v>45901</v>
      </c>
      <c r="O681" s="52">
        <f>VLOOKUP(_stats[[#This Row],[tournament]],tournaments_n_rules[],5,0)</f>
        <v>45991</v>
      </c>
    </row>
    <row r="682" spans="1:15" x14ac:dyDescent="0.25">
      <c r="A682" s="27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51" t="str">
        <f>VLOOKUP(_stats[[#This Row],[tournament]],tournaments_n_rules[],2,0)</f>
        <v>УПК</v>
      </c>
      <c r="M682" s="51" t="str">
        <f>VLOOKUP(_stats[[#This Row],[tournament]],tournaments_n_rules[],3,0)</f>
        <v>Осень 2025</v>
      </c>
      <c r="N682" s="52">
        <f>VLOOKUP(_stats[[#This Row],[tournament]],tournaments_n_rules[],4,0)</f>
        <v>45901</v>
      </c>
      <c r="O682" s="52">
        <f>VLOOKUP(_stats[[#This Row],[tournament]],tournaments_n_rules[],5,0)</f>
        <v>45991</v>
      </c>
    </row>
    <row r="683" spans="1:15" x14ac:dyDescent="0.25">
      <c r="A683" s="27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51" t="str">
        <f>VLOOKUP(_stats[[#This Row],[tournament]],tournaments_n_rules[],2,0)</f>
        <v>УПК</v>
      </c>
      <c r="M683" s="51" t="str">
        <f>VLOOKUP(_stats[[#This Row],[tournament]],tournaments_n_rules[],3,0)</f>
        <v>Осень 2025</v>
      </c>
      <c r="N683" s="52">
        <f>VLOOKUP(_stats[[#This Row],[tournament]],tournaments_n_rules[],4,0)</f>
        <v>45901</v>
      </c>
      <c r="O683" s="52">
        <f>VLOOKUP(_stats[[#This Row],[tournament]],tournaments_n_rules[],5,0)</f>
        <v>45991</v>
      </c>
    </row>
    <row r="684" spans="1:15" x14ac:dyDescent="0.25">
      <c r="A684" s="27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51" t="str">
        <f>VLOOKUP(_stats[[#This Row],[tournament]],tournaments_n_rules[],2,0)</f>
        <v>УПК</v>
      </c>
      <c r="M684" s="51" t="str">
        <f>VLOOKUP(_stats[[#This Row],[tournament]],tournaments_n_rules[],3,0)</f>
        <v>Осень 2025</v>
      </c>
      <c r="N684" s="52">
        <f>VLOOKUP(_stats[[#This Row],[tournament]],tournaments_n_rules[],4,0)</f>
        <v>45901</v>
      </c>
      <c r="O684" s="52">
        <f>VLOOKUP(_stats[[#This Row],[tournament]],tournaments_n_rules[],5,0)</f>
        <v>45991</v>
      </c>
    </row>
    <row r="685" spans="1:15" x14ac:dyDescent="0.25">
      <c r="A685" s="27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51" t="str">
        <f>VLOOKUP(_stats[[#This Row],[tournament]],tournaments_n_rules[],2,0)</f>
        <v>УПК</v>
      </c>
      <c r="M685" s="51" t="str">
        <f>VLOOKUP(_stats[[#This Row],[tournament]],tournaments_n_rules[],3,0)</f>
        <v>Осень 2025</v>
      </c>
      <c r="N685" s="52">
        <f>VLOOKUP(_stats[[#This Row],[tournament]],tournaments_n_rules[],4,0)</f>
        <v>45901</v>
      </c>
      <c r="O685" s="52">
        <f>VLOOKUP(_stats[[#This Row],[tournament]],tournaments_n_rules[],5,0)</f>
        <v>45991</v>
      </c>
    </row>
    <row r="686" spans="1:15" x14ac:dyDescent="0.25">
      <c r="A686" s="27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51" t="str">
        <f>VLOOKUP(_stats[[#This Row],[tournament]],tournaments_n_rules[],2,0)</f>
        <v>УПК</v>
      </c>
      <c r="M686" s="51" t="str">
        <f>VLOOKUP(_stats[[#This Row],[tournament]],tournaments_n_rules[],3,0)</f>
        <v>Осень 2025</v>
      </c>
      <c r="N686" s="52">
        <f>VLOOKUP(_stats[[#This Row],[tournament]],tournaments_n_rules[],4,0)</f>
        <v>45901</v>
      </c>
      <c r="O686" s="52">
        <f>VLOOKUP(_stats[[#This Row],[tournament]],tournaments_n_rules[],5,0)</f>
        <v>45991</v>
      </c>
    </row>
    <row r="687" spans="1:15" x14ac:dyDescent="0.25">
      <c r="A687" s="27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51" t="str">
        <f>VLOOKUP(_stats[[#This Row],[tournament]],tournaments_n_rules[],2,0)</f>
        <v>УПК</v>
      </c>
      <c r="M687" s="51" t="str">
        <f>VLOOKUP(_stats[[#This Row],[tournament]],tournaments_n_rules[],3,0)</f>
        <v>Осень 2025</v>
      </c>
      <c r="N687" s="52">
        <f>VLOOKUP(_stats[[#This Row],[tournament]],tournaments_n_rules[],4,0)</f>
        <v>45901</v>
      </c>
      <c r="O687" s="52">
        <f>VLOOKUP(_stats[[#This Row],[tournament]],tournaments_n_rules[],5,0)</f>
        <v>45991</v>
      </c>
    </row>
    <row r="688" spans="1:15" x14ac:dyDescent="0.25">
      <c r="A688" s="27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51" t="str">
        <f>VLOOKUP(_stats[[#This Row],[tournament]],tournaments_n_rules[],2,0)</f>
        <v>УПК</v>
      </c>
      <c r="M688" s="51" t="str">
        <f>VLOOKUP(_stats[[#This Row],[tournament]],tournaments_n_rules[],3,0)</f>
        <v>Осень 2025</v>
      </c>
      <c r="N688" s="52">
        <f>VLOOKUP(_stats[[#This Row],[tournament]],tournaments_n_rules[],4,0)</f>
        <v>45901</v>
      </c>
      <c r="O688" s="52">
        <f>VLOOKUP(_stats[[#This Row],[tournament]],tournaments_n_rules[],5,0)</f>
        <v>45991</v>
      </c>
    </row>
    <row r="689" spans="1:15" x14ac:dyDescent="0.25">
      <c r="A689" s="27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51" t="str">
        <f>VLOOKUP(_stats[[#This Row],[tournament]],tournaments_n_rules[],2,0)</f>
        <v>УПК</v>
      </c>
      <c r="M689" s="51" t="str">
        <f>VLOOKUP(_stats[[#This Row],[tournament]],tournaments_n_rules[],3,0)</f>
        <v>Осень 2025</v>
      </c>
      <c r="N689" s="52">
        <f>VLOOKUP(_stats[[#This Row],[tournament]],tournaments_n_rules[],4,0)</f>
        <v>45901</v>
      </c>
      <c r="O689" s="52">
        <f>VLOOKUP(_stats[[#This Row],[tournament]],tournaments_n_rules[],5,0)</f>
        <v>45991</v>
      </c>
    </row>
    <row r="690" spans="1:15" x14ac:dyDescent="0.25">
      <c r="A690" s="27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51" t="str">
        <f>VLOOKUP(_stats[[#This Row],[tournament]],tournaments_n_rules[],2,0)</f>
        <v>УПК</v>
      </c>
      <c r="M690" s="51" t="str">
        <f>VLOOKUP(_stats[[#This Row],[tournament]],tournaments_n_rules[],3,0)</f>
        <v>Осень 2025</v>
      </c>
      <c r="N690" s="52">
        <f>VLOOKUP(_stats[[#This Row],[tournament]],tournaments_n_rules[],4,0)</f>
        <v>45901</v>
      </c>
      <c r="O690" s="52">
        <f>VLOOKUP(_stats[[#This Row],[tournament]],tournaments_n_rules[],5,0)</f>
        <v>45991</v>
      </c>
    </row>
    <row r="691" spans="1:15" x14ac:dyDescent="0.25">
      <c r="A691" s="27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51" t="str">
        <f>VLOOKUP(_stats[[#This Row],[tournament]],tournaments_n_rules[],2,0)</f>
        <v>УПК</v>
      </c>
      <c r="M691" s="51" t="str">
        <f>VLOOKUP(_stats[[#This Row],[tournament]],tournaments_n_rules[],3,0)</f>
        <v>Осень 2025</v>
      </c>
      <c r="N691" s="52">
        <f>VLOOKUP(_stats[[#This Row],[tournament]],tournaments_n_rules[],4,0)</f>
        <v>45901</v>
      </c>
      <c r="O691" s="52">
        <f>VLOOKUP(_stats[[#This Row],[tournament]],tournaments_n_rules[],5,0)</f>
        <v>45991</v>
      </c>
    </row>
    <row r="692" spans="1:15" x14ac:dyDescent="0.25">
      <c r="A692" s="27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51" t="str">
        <f>VLOOKUP(_stats[[#This Row],[tournament]],tournaments_n_rules[],2,0)</f>
        <v>УПК</v>
      </c>
      <c r="M692" s="51" t="str">
        <f>VLOOKUP(_stats[[#This Row],[tournament]],tournaments_n_rules[],3,0)</f>
        <v>Осень 2025</v>
      </c>
      <c r="N692" s="52">
        <f>VLOOKUP(_stats[[#This Row],[tournament]],tournaments_n_rules[],4,0)</f>
        <v>45901</v>
      </c>
      <c r="O692" s="52">
        <f>VLOOKUP(_stats[[#This Row],[tournament]],tournaments_n_rules[],5,0)</f>
        <v>45991</v>
      </c>
    </row>
    <row r="693" spans="1:15" x14ac:dyDescent="0.25">
      <c r="A693" s="27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51" t="str">
        <f>VLOOKUP(_stats[[#This Row],[tournament]],tournaments_n_rules[],2,0)</f>
        <v>УПК</v>
      </c>
      <c r="M693" s="51" t="str">
        <f>VLOOKUP(_stats[[#This Row],[tournament]],tournaments_n_rules[],3,0)</f>
        <v>Осень 2025</v>
      </c>
      <c r="N693" s="52">
        <f>VLOOKUP(_stats[[#This Row],[tournament]],tournaments_n_rules[],4,0)</f>
        <v>45901</v>
      </c>
      <c r="O693" s="52">
        <f>VLOOKUP(_stats[[#This Row],[tournament]],tournaments_n_rules[],5,0)</f>
        <v>45991</v>
      </c>
    </row>
    <row r="694" spans="1:15" x14ac:dyDescent="0.25">
      <c r="A694" s="27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51" t="str">
        <f>VLOOKUP(_stats[[#This Row],[tournament]],tournaments_n_rules[],2,0)</f>
        <v>УПК</v>
      </c>
      <c r="M694" s="51" t="str">
        <f>VLOOKUP(_stats[[#This Row],[tournament]],tournaments_n_rules[],3,0)</f>
        <v>Осень 2025</v>
      </c>
      <c r="N694" s="52">
        <f>VLOOKUP(_stats[[#This Row],[tournament]],tournaments_n_rules[],4,0)</f>
        <v>45901</v>
      </c>
      <c r="O694" s="52">
        <f>VLOOKUP(_stats[[#This Row],[tournament]],tournaments_n_rules[],5,0)</f>
        <v>45991</v>
      </c>
    </row>
    <row r="695" spans="1:15" x14ac:dyDescent="0.25">
      <c r="A695" s="27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51" t="str">
        <f>VLOOKUP(_stats[[#This Row],[tournament]],tournaments_n_rules[],2,0)</f>
        <v>УПК</v>
      </c>
      <c r="M695" s="51" t="str">
        <f>VLOOKUP(_stats[[#This Row],[tournament]],tournaments_n_rules[],3,0)</f>
        <v>Осень 2025</v>
      </c>
      <c r="N695" s="52">
        <f>VLOOKUP(_stats[[#This Row],[tournament]],tournaments_n_rules[],4,0)</f>
        <v>45901</v>
      </c>
      <c r="O695" s="52">
        <f>VLOOKUP(_stats[[#This Row],[tournament]],tournaments_n_rules[],5,0)</f>
        <v>45991</v>
      </c>
    </row>
    <row r="696" spans="1:15" x14ac:dyDescent="0.25">
      <c r="A696" s="27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51" t="str">
        <f>VLOOKUP(_stats[[#This Row],[tournament]],tournaments_n_rules[],2,0)</f>
        <v>УПК</v>
      </c>
      <c r="M696" s="51" t="str">
        <f>VLOOKUP(_stats[[#This Row],[tournament]],tournaments_n_rules[],3,0)</f>
        <v>Осень 2025</v>
      </c>
      <c r="N696" s="52">
        <f>VLOOKUP(_stats[[#This Row],[tournament]],tournaments_n_rules[],4,0)</f>
        <v>45901</v>
      </c>
      <c r="O696" s="52">
        <f>VLOOKUP(_stats[[#This Row],[tournament]],tournaments_n_rules[],5,0)</f>
        <v>45991</v>
      </c>
    </row>
    <row r="697" spans="1:15" x14ac:dyDescent="0.25">
      <c r="A697" s="27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51" t="str">
        <f>VLOOKUP(_stats[[#This Row],[tournament]],tournaments_n_rules[],2,0)</f>
        <v>УПК</v>
      </c>
      <c r="M697" s="51" t="str">
        <f>VLOOKUP(_stats[[#This Row],[tournament]],tournaments_n_rules[],3,0)</f>
        <v>Осень 2025</v>
      </c>
      <c r="N697" s="52">
        <f>VLOOKUP(_stats[[#This Row],[tournament]],tournaments_n_rules[],4,0)</f>
        <v>45901</v>
      </c>
      <c r="O697" s="52">
        <f>VLOOKUP(_stats[[#This Row],[tournament]],tournaments_n_rules[],5,0)</f>
        <v>45991</v>
      </c>
    </row>
    <row r="698" spans="1:15" x14ac:dyDescent="0.25">
      <c r="A698" s="27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51" t="str">
        <f>VLOOKUP(_stats[[#This Row],[tournament]],tournaments_n_rules[],2,0)</f>
        <v>УПК</v>
      </c>
      <c r="M698" s="51" t="str">
        <f>VLOOKUP(_stats[[#This Row],[tournament]],tournaments_n_rules[],3,0)</f>
        <v>Осень 2025</v>
      </c>
      <c r="N698" s="52">
        <f>VLOOKUP(_stats[[#This Row],[tournament]],tournaments_n_rules[],4,0)</f>
        <v>45901</v>
      </c>
      <c r="O698" s="52">
        <f>VLOOKUP(_stats[[#This Row],[tournament]],tournaments_n_rules[],5,0)</f>
        <v>45991</v>
      </c>
    </row>
    <row r="699" spans="1:15" x14ac:dyDescent="0.25">
      <c r="A699" s="27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51" t="str">
        <f>VLOOKUP(_stats[[#This Row],[tournament]],tournaments_n_rules[],2,0)</f>
        <v>УПК</v>
      </c>
      <c r="M699" s="51" t="str">
        <f>VLOOKUP(_stats[[#This Row],[tournament]],tournaments_n_rules[],3,0)</f>
        <v>Осень 2025</v>
      </c>
      <c r="N699" s="52">
        <f>VLOOKUP(_stats[[#This Row],[tournament]],tournaments_n_rules[],4,0)</f>
        <v>45901</v>
      </c>
      <c r="O699" s="52">
        <f>VLOOKUP(_stats[[#This Row],[tournament]],tournaments_n_rules[],5,0)</f>
        <v>45991</v>
      </c>
    </row>
    <row r="700" spans="1:15" x14ac:dyDescent="0.25">
      <c r="A700" s="27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51" t="str">
        <f>VLOOKUP(_stats[[#This Row],[tournament]],tournaments_n_rules[],2,0)</f>
        <v>УПК</v>
      </c>
      <c r="M700" s="51" t="str">
        <f>VLOOKUP(_stats[[#This Row],[tournament]],tournaments_n_rules[],3,0)</f>
        <v>Осень 2025</v>
      </c>
      <c r="N700" s="52">
        <f>VLOOKUP(_stats[[#This Row],[tournament]],tournaments_n_rules[],4,0)</f>
        <v>45901</v>
      </c>
      <c r="O700" s="52">
        <f>VLOOKUP(_stats[[#This Row],[tournament]],tournaments_n_rules[],5,0)</f>
        <v>45991</v>
      </c>
    </row>
    <row r="701" spans="1:15" x14ac:dyDescent="0.25">
      <c r="A701" s="27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51" t="str">
        <f>VLOOKUP(_stats[[#This Row],[tournament]],tournaments_n_rules[],2,0)</f>
        <v>УПК</v>
      </c>
      <c r="M701" s="51" t="str">
        <f>VLOOKUP(_stats[[#This Row],[tournament]],tournaments_n_rules[],3,0)</f>
        <v>Осень 2025</v>
      </c>
      <c r="N701" s="52">
        <f>VLOOKUP(_stats[[#This Row],[tournament]],tournaments_n_rules[],4,0)</f>
        <v>45901</v>
      </c>
      <c r="O701" s="52">
        <f>VLOOKUP(_stats[[#This Row],[tournament]],tournaments_n_rules[],5,0)</f>
        <v>45991</v>
      </c>
    </row>
    <row r="702" spans="1:15" x14ac:dyDescent="0.25">
      <c r="A702" s="27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51" t="str">
        <f>VLOOKUP(_stats[[#This Row],[tournament]],tournaments_n_rules[],2,0)</f>
        <v>УПК</v>
      </c>
      <c r="M702" s="51" t="str">
        <f>VLOOKUP(_stats[[#This Row],[tournament]],tournaments_n_rules[],3,0)</f>
        <v>Осень 2025</v>
      </c>
      <c r="N702" s="52">
        <f>VLOOKUP(_stats[[#This Row],[tournament]],tournaments_n_rules[],4,0)</f>
        <v>45901</v>
      </c>
      <c r="O702" s="52">
        <f>VLOOKUP(_stats[[#This Row],[tournament]],tournaments_n_rules[],5,0)</f>
        <v>45991</v>
      </c>
    </row>
    <row r="703" spans="1:15" x14ac:dyDescent="0.25">
      <c r="A703" s="27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51" t="str">
        <f>VLOOKUP(_stats[[#This Row],[tournament]],tournaments_n_rules[],2,0)</f>
        <v>УПК</v>
      </c>
      <c r="M703" s="51" t="str">
        <f>VLOOKUP(_stats[[#This Row],[tournament]],tournaments_n_rules[],3,0)</f>
        <v>Осень 2025</v>
      </c>
      <c r="N703" s="52">
        <f>VLOOKUP(_stats[[#This Row],[tournament]],tournaments_n_rules[],4,0)</f>
        <v>45901</v>
      </c>
      <c r="O703" s="52">
        <f>VLOOKUP(_stats[[#This Row],[tournament]],tournaments_n_rules[],5,0)</f>
        <v>45991</v>
      </c>
    </row>
    <row r="704" spans="1:15" x14ac:dyDescent="0.25">
      <c r="A704" s="27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51" t="str">
        <f>VLOOKUP(_stats[[#This Row],[tournament]],tournaments_n_rules[],2,0)</f>
        <v>УПК</v>
      </c>
      <c r="M704" s="51" t="str">
        <f>VLOOKUP(_stats[[#This Row],[tournament]],tournaments_n_rules[],3,0)</f>
        <v>Осень 2025</v>
      </c>
      <c r="N704" s="52">
        <f>VLOOKUP(_stats[[#This Row],[tournament]],tournaments_n_rules[],4,0)</f>
        <v>45901</v>
      </c>
      <c r="O704" s="52">
        <f>VLOOKUP(_stats[[#This Row],[tournament]],tournaments_n_rules[],5,0)</f>
        <v>45991</v>
      </c>
    </row>
    <row r="705" spans="1:15" x14ac:dyDescent="0.25">
      <c r="A705" s="27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51" t="str">
        <f>VLOOKUP(_stats[[#This Row],[tournament]],tournaments_n_rules[],2,0)</f>
        <v>УПК</v>
      </c>
      <c r="M705" s="51" t="str">
        <f>VLOOKUP(_stats[[#This Row],[tournament]],tournaments_n_rules[],3,0)</f>
        <v>Осень 2025</v>
      </c>
      <c r="N705" s="52">
        <f>VLOOKUP(_stats[[#This Row],[tournament]],tournaments_n_rules[],4,0)</f>
        <v>45901</v>
      </c>
      <c r="O705" s="52">
        <f>VLOOKUP(_stats[[#This Row],[tournament]],tournaments_n_rules[],5,0)</f>
        <v>45991</v>
      </c>
    </row>
    <row r="706" spans="1:15" x14ac:dyDescent="0.25">
      <c r="A706" s="27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51" t="str">
        <f>VLOOKUP(_stats[[#This Row],[tournament]],tournaments_n_rules[],2,0)</f>
        <v>УПК</v>
      </c>
      <c r="M706" s="51" t="str">
        <f>VLOOKUP(_stats[[#This Row],[tournament]],tournaments_n_rules[],3,0)</f>
        <v>Осень 2025</v>
      </c>
      <c r="N706" s="52">
        <f>VLOOKUP(_stats[[#This Row],[tournament]],tournaments_n_rules[],4,0)</f>
        <v>45901</v>
      </c>
      <c r="O706" s="52">
        <f>VLOOKUP(_stats[[#This Row],[tournament]],tournaments_n_rules[],5,0)</f>
        <v>45991</v>
      </c>
    </row>
    <row r="707" spans="1:15" x14ac:dyDescent="0.25">
      <c r="A707" s="27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51" t="str">
        <f>VLOOKUP(_stats[[#This Row],[tournament]],tournaments_n_rules[],2,0)</f>
        <v>УПК</v>
      </c>
      <c r="M707" s="51" t="str">
        <f>VLOOKUP(_stats[[#This Row],[tournament]],tournaments_n_rules[],3,0)</f>
        <v>Осень 2025</v>
      </c>
      <c r="N707" s="52">
        <f>VLOOKUP(_stats[[#This Row],[tournament]],tournaments_n_rules[],4,0)</f>
        <v>45901</v>
      </c>
      <c r="O707" s="52">
        <f>VLOOKUP(_stats[[#This Row],[tournament]],tournaments_n_rules[],5,0)</f>
        <v>45991</v>
      </c>
    </row>
    <row r="708" spans="1:15" x14ac:dyDescent="0.25">
      <c r="A708" s="27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51" t="str">
        <f>VLOOKUP(_stats[[#This Row],[tournament]],tournaments_n_rules[],2,0)</f>
        <v>УПК</v>
      </c>
      <c r="M708" s="51" t="str">
        <f>VLOOKUP(_stats[[#This Row],[tournament]],tournaments_n_rules[],3,0)</f>
        <v>Осень 2025</v>
      </c>
      <c r="N708" s="52">
        <f>VLOOKUP(_stats[[#This Row],[tournament]],tournaments_n_rules[],4,0)</f>
        <v>45901</v>
      </c>
      <c r="O708" s="52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51" t="str">
        <f>VLOOKUP(_stats[[#This Row],[tournament]],tournaments_n_rules[],2,0)</f>
        <v>УПК</v>
      </c>
      <c r="M709" s="51" t="str">
        <f>VLOOKUP(_stats[[#This Row],[tournament]],tournaments_n_rules[],3,0)</f>
        <v>Осень 2025</v>
      </c>
      <c r="N709" s="52">
        <f>VLOOKUP(_stats[[#This Row],[tournament]],tournaments_n_rules[],4,0)</f>
        <v>45901</v>
      </c>
      <c r="O709" s="52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51" t="str">
        <f>VLOOKUP(_stats[[#This Row],[tournament]],tournaments_n_rules[],2,0)</f>
        <v>УПК</v>
      </c>
      <c r="M710" s="51" t="str">
        <f>VLOOKUP(_stats[[#This Row],[tournament]],tournaments_n_rules[],3,0)</f>
        <v>Осень 2025</v>
      </c>
      <c r="N710" s="52">
        <f>VLOOKUP(_stats[[#This Row],[tournament]],tournaments_n_rules[],4,0)</f>
        <v>45901</v>
      </c>
      <c r="O710" s="52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51" t="str">
        <f>VLOOKUP(_stats[[#This Row],[tournament]],tournaments_n_rules[],2,0)</f>
        <v>УПК</v>
      </c>
      <c r="M711" s="51" t="str">
        <f>VLOOKUP(_stats[[#This Row],[tournament]],tournaments_n_rules[],3,0)</f>
        <v>Осень 2025</v>
      </c>
      <c r="N711" s="52">
        <f>VLOOKUP(_stats[[#This Row],[tournament]],tournaments_n_rules[],4,0)</f>
        <v>45901</v>
      </c>
      <c r="O711" s="52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51" t="str">
        <f>VLOOKUP(_stats[[#This Row],[tournament]],tournaments_n_rules[],2,0)</f>
        <v>УПК</v>
      </c>
      <c r="M712" s="51" t="str">
        <f>VLOOKUP(_stats[[#This Row],[tournament]],tournaments_n_rules[],3,0)</f>
        <v>Осень 2025</v>
      </c>
      <c r="N712" s="52">
        <f>VLOOKUP(_stats[[#This Row],[tournament]],tournaments_n_rules[],4,0)</f>
        <v>45901</v>
      </c>
      <c r="O712" s="52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51" t="str">
        <f>VLOOKUP(_stats[[#This Row],[tournament]],tournaments_n_rules[],2,0)</f>
        <v>УПК</v>
      </c>
      <c r="M713" s="51" t="str">
        <f>VLOOKUP(_stats[[#This Row],[tournament]],tournaments_n_rules[],3,0)</f>
        <v>Осень 2025</v>
      </c>
      <c r="N713" s="52">
        <f>VLOOKUP(_stats[[#This Row],[tournament]],tournaments_n_rules[],4,0)</f>
        <v>45901</v>
      </c>
      <c r="O713" s="52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51" t="str">
        <f>VLOOKUP(_stats[[#This Row],[tournament]],tournaments_n_rules[],2,0)</f>
        <v>УПК</v>
      </c>
      <c r="M714" s="51" t="str">
        <f>VLOOKUP(_stats[[#This Row],[tournament]],tournaments_n_rules[],3,0)</f>
        <v>Осень 2025</v>
      </c>
      <c r="N714" s="52">
        <f>VLOOKUP(_stats[[#This Row],[tournament]],tournaments_n_rules[],4,0)</f>
        <v>45901</v>
      </c>
      <c r="O714" s="52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51" t="str">
        <f>VLOOKUP(_stats[[#This Row],[tournament]],tournaments_n_rules[],2,0)</f>
        <v>УПК</v>
      </c>
      <c r="M715" s="51" t="str">
        <f>VLOOKUP(_stats[[#This Row],[tournament]],tournaments_n_rules[],3,0)</f>
        <v>Осень 2025</v>
      </c>
      <c r="N715" s="52">
        <f>VLOOKUP(_stats[[#This Row],[tournament]],tournaments_n_rules[],4,0)</f>
        <v>45901</v>
      </c>
      <c r="O715" s="52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51" t="str">
        <f>VLOOKUP(_stats[[#This Row],[tournament]],tournaments_n_rules[],2,0)</f>
        <v>УПК</v>
      </c>
      <c r="M716" s="51" t="str">
        <f>VLOOKUP(_stats[[#This Row],[tournament]],tournaments_n_rules[],3,0)</f>
        <v>Осень 2025</v>
      </c>
      <c r="N716" s="52">
        <f>VLOOKUP(_stats[[#This Row],[tournament]],tournaments_n_rules[],4,0)</f>
        <v>45901</v>
      </c>
      <c r="O716" s="52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51" t="str">
        <f>VLOOKUP(_stats[[#This Row],[tournament]],tournaments_n_rules[],2,0)</f>
        <v>УПК</v>
      </c>
      <c r="M717" s="51" t="str">
        <f>VLOOKUP(_stats[[#This Row],[tournament]],tournaments_n_rules[],3,0)</f>
        <v>Осень 2025</v>
      </c>
      <c r="N717" s="52">
        <f>VLOOKUP(_stats[[#This Row],[tournament]],tournaments_n_rules[],4,0)</f>
        <v>45901</v>
      </c>
      <c r="O717" s="52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51" t="str">
        <f>VLOOKUP(_stats[[#This Row],[tournament]],tournaments_n_rules[],2,0)</f>
        <v>УПК</v>
      </c>
      <c r="M718" s="51" t="str">
        <f>VLOOKUP(_stats[[#This Row],[tournament]],tournaments_n_rules[],3,0)</f>
        <v>Осень 2025</v>
      </c>
      <c r="N718" s="52">
        <f>VLOOKUP(_stats[[#This Row],[tournament]],tournaments_n_rules[],4,0)</f>
        <v>45901</v>
      </c>
      <c r="O718" s="52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51" t="str">
        <f>VLOOKUP(_stats[[#This Row],[tournament]],tournaments_n_rules[],2,0)</f>
        <v>УПК</v>
      </c>
      <c r="M719" s="51" t="str">
        <f>VLOOKUP(_stats[[#This Row],[tournament]],tournaments_n_rules[],3,0)</f>
        <v>Осень 2025</v>
      </c>
      <c r="N719" s="52">
        <f>VLOOKUP(_stats[[#This Row],[tournament]],tournaments_n_rules[],4,0)</f>
        <v>45901</v>
      </c>
      <c r="O719" s="52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51" t="str">
        <f>VLOOKUP(_stats[[#This Row],[tournament]],tournaments_n_rules[],2,0)</f>
        <v>УПК</v>
      </c>
      <c r="M720" s="51" t="str">
        <f>VLOOKUP(_stats[[#This Row],[tournament]],tournaments_n_rules[],3,0)</f>
        <v>Осень 2025</v>
      </c>
      <c r="N720" s="52">
        <f>VLOOKUP(_stats[[#This Row],[tournament]],tournaments_n_rules[],4,0)</f>
        <v>45901</v>
      </c>
      <c r="O720" s="52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51" t="str">
        <f>VLOOKUP(_stats[[#This Row],[tournament]],tournaments_n_rules[],2,0)</f>
        <v>УПК</v>
      </c>
      <c r="M721" s="51" t="str">
        <f>VLOOKUP(_stats[[#This Row],[tournament]],tournaments_n_rules[],3,0)</f>
        <v>Осень 2025</v>
      </c>
      <c r="N721" s="52">
        <f>VLOOKUP(_stats[[#This Row],[tournament]],tournaments_n_rules[],4,0)</f>
        <v>45901</v>
      </c>
      <c r="O721" s="52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51" t="str">
        <f>VLOOKUP(_stats[[#This Row],[tournament]],tournaments_n_rules[],2,0)</f>
        <v>УПК</v>
      </c>
      <c r="M722" s="51" t="str">
        <f>VLOOKUP(_stats[[#This Row],[tournament]],tournaments_n_rules[],3,0)</f>
        <v>Осень 2025</v>
      </c>
      <c r="N722" s="52">
        <f>VLOOKUP(_stats[[#This Row],[tournament]],tournaments_n_rules[],4,0)</f>
        <v>45901</v>
      </c>
      <c r="O722" s="52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51" t="str">
        <f>VLOOKUP(_stats[[#This Row],[tournament]],tournaments_n_rules[],2,0)</f>
        <v>УПК</v>
      </c>
      <c r="M723" s="51" t="str">
        <f>VLOOKUP(_stats[[#This Row],[tournament]],tournaments_n_rules[],3,0)</f>
        <v>Осень 2025</v>
      </c>
      <c r="N723" s="52">
        <f>VLOOKUP(_stats[[#This Row],[tournament]],tournaments_n_rules[],4,0)</f>
        <v>45901</v>
      </c>
      <c r="O723" s="52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51" t="str">
        <f>VLOOKUP(_stats[[#This Row],[tournament]],tournaments_n_rules[],2,0)</f>
        <v>УПК</v>
      </c>
      <c r="M724" s="51" t="str">
        <f>VLOOKUP(_stats[[#This Row],[tournament]],tournaments_n_rules[],3,0)</f>
        <v>Осень 2025</v>
      </c>
      <c r="N724" s="52">
        <f>VLOOKUP(_stats[[#This Row],[tournament]],tournaments_n_rules[],4,0)</f>
        <v>45901</v>
      </c>
      <c r="O724" s="52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51" t="str">
        <f>VLOOKUP(_stats[[#This Row],[tournament]],tournaments_n_rules[],2,0)</f>
        <v>УПК</v>
      </c>
      <c r="M725" s="51" t="str">
        <f>VLOOKUP(_stats[[#This Row],[tournament]],tournaments_n_rules[],3,0)</f>
        <v>Осень 2025</v>
      </c>
      <c r="N725" s="52">
        <f>VLOOKUP(_stats[[#This Row],[tournament]],tournaments_n_rules[],4,0)</f>
        <v>45901</v>
      </c>
      <c r="O725" s="52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51" t="str">
        <f>VLOOKUP(_stats[[#This Row],[tournament]],tournaments_n_rules[],2,0)</f>
        <v>УПК</v>
      </c>
      <c r="M726" s="51" t="str">
        <f>VLOOKUP(_stats[[#This Row],[tournament]],tournaments_n_rules[],3,0)</f>
        <v>Осень 2025</v>
      </c>
      <c r="N726" s="52">
        <f>VLOOKUP(_stats[[#This Row],[tournament]],tournaments_n_rules[],4,0)</f>
        <v>45901</v>
      </c>
      <c r="O726" s="52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51" t="str">
        <f>VLOOKUP(_stats[[#This Row],[tournament]],tournaments_n_rules[],2,0)</f>
        <v>УПК</v>
      </c>
      <c r="M727" s="51" t="str">
        <f>VLOOKUP(_stats[[#This Row],[tournament]],tournaments_n_rules[],3,0)</f>
        <v>Осень 2025</v>
      </c>
      <c r="N727" s="52">
        <f>VLOOKUP(_stats[[#This Row],[tournament]],tournaments_n_rules[],4,0)</f>
        <v>45901</v>
      </c>
      <c r="O727" s="52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51" t="str">
        <f>VLOOKUP(_stats[[#This Row],[tournament]],tournaments_n_rules[],2,0)</f>
        <v>УПК</v>
      </c>
      <c r="M728" s="51" t="str">
        <f>VLOOKUP(_stats[[#This Row],[tournament]],tournaments_n_rules[],3,0)</f>
        <v>Осень 2025</v>
      </c>
      <c r="N728" s="52">
        <f>VLOOKUP(_stats[[#This Row],[tournament]],tournaments_n_rules[],4,0)</f>
        <v>45901</v>
      </c>
      <c r="O728" s="52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51" t="str">
        <f>VLOOKUP(_stats[[#This Row],[tournament]],tournaments_n_rules[],2,0)</f>
        <v>УПК</v>
      </c>
      <c r="M729" s="51" t="str">
        <f>VLOOKUP(_stats[[#This Row],[tournament]],tournaments_n_rules[],3,0)</f>
        <v>Осень 2025</v>
      </c>
      <c r="N729" s="52">
        <f>VLOOKUP(_stats[[#This Row],[tournament]],tournaments_n_rules[],4,0)</f>
        <v>45901</v>
      </c>
      <c r="O729" s="52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51" t="str">
        <f>VLOOKUP(_stats[[#This Row],[tournament]],tournaments_n_rules[],2,0)</f>
        <v>УПК</v>
      </c>
      <c r="M730" s="51" t="str">
        <f>VLOOKUP(_stats[[#This Row],[tournament]],tournaments_n_rules[],3,0)</f>
        <v>Осень 2025</v>
      </c>
      <c r="N730" s="52">
        <f>VLOOKUP(_stats[[#This Row],[tournament]],tournaments_n_rules[],4,0)</f>
        <v>45901</v>
      </c>
      <c r="O730" s="52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51" t="str">
        <f>VLOOKUP(_stats[[#This Row],[tournament]],tournaments_n_rules[],2,0)</f>
        <v>УПК</v>
      </c>
      <c r="M731" s="51" t="str">
        <f>VLOOKUP(_stats[[#This Row],[tournament]],tournaments_n_rules[],3,0)</f>
        <v>Осень 2025</v>
      </c>
      <c r="N731" s="52">
        <f>VLOOKUP(_stats[[#This Row],[tournament]],tournaments_n_rules[],4,0)</f>
        <v>45901</v>
      </c>
      <c r="O731" s="52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51" t="str">
        <f>VLOOKUP(_stats[[#This Row],[tournament]],tournaments_n_rules[],2,0)</f>
        <v>УПК</v>
      </c>
      <c r="M732" s="51" t="str">
        <f>VLOOKUP(_stats[[#This Row],[tournament]],tournaments_n_rules[],3,0)</f>
        <v>Осень 2025</v>
      </c>
      <c r="N732" s="52">
        <f>VLOOKUP(_stats[[#This Row],[tournament]],tournaments_n_rules[],4,0)</f>
        <v>45901</v>
      </c>
      <c r="O732" s="52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51" t="str">
        <f>VLOOKUP(_stats[[#This Row],[tournament]],tournaments_n_rules[],2,0)</f>
        <v>УПК</v>
      </c>
      <c r="M733" s="51" t="str">
        <f>VLOOKUP(_stats[[#This Row],[tournament]],tournaments_n_rules[],3,0)</f>
        <v>Осень 2025</v>
      </c>
      <c r="N733" s="52">
        <f>VLOOKUP(_stats[[#This Row],[tournament]],tournaments_n_rules[],4,0)</f>
        <v>45901</v>
      </c>
      <c r="O733" s="52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51" t="str">
        <f>VLOOKUP(_stats[[#This Row],[tournament]],tournaments_n_rules[],2,0)</f>
        <v>УПК</v>
      </c>
      <c r="M734" s="51" t="str">
        <f>VLOOKUP(_stats[[#This Row],[tournament]],tournaments_n_rules[],3,0)</f>
        <v>Осень 2025</v>
      </c>
      <c r="N734" s="52">
        <f>VLOOKUP(_stats[[#This Row],[tournament]],tournaments_n_rules[],4,0)</f>
        <v>45901</v>
      </c>
      <c r="O734" s="52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51" t="str">
        <f>VLOOKUP(_stats[[#This Row],[tournament]],tournaments_n_rules[],2,0)</f>
        <v>УПК</v>
      </c>
      <c r="M735" s="51" t="str">
        <f>VLOOKUP(_stats[[#This Row],[tournament]],tournaments_n_rules[],3,0)</f>
        <v>Осень 2025</v>
      </c>
      <c r="N735" s="52">
        <f>VLOOKUP(_stats[[#This Row],[tournament]],tournaments_n_rules[],4,0)</f>
        <v>45901</v>
      </c>
      <c r="O735" s="52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51" t="str">
        <f>VLOOKUP(_stats[[#This Row],[tournament]],tournaments_n_rules[],2,0)</f>
        <v>УПК</v>
      </c>
      <c r="M736" s="51" t="str">
        <f>VLOOKUP(_stats[[#This Row],[tournament]],tournaments_n_rules[],3,0)</f>
        <v>Осень 2025</v>
      </c>
      <c r="N736" s="52">
        <f>VLOOKUP(_stats[[#This Row],[tournament]],tournaments_n_rules[],4,0)</f>
        <v>45901</v>
      </c>
      <c r="O736" s="52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51" t="str">
        <f>VLOOKUP(_stats[[#This Row],[tournament]],tournaments_n_rules[],2,0)</f>
        <v>УПК</v>
      </c>
      <c r="M737" s="51" t="str">
        <f>VLOOKUP(_stats[[#This Row],[tournament]],tournaments_n_rules[],3,0)</f>
        <v>Осень 2025</v>
      </c>
      <c r="N737" s="52">
        <f>VLOOKUP(_stats[[#This Row],[tournament]],tournaments_n_rules[],4,0)</f>
        <v>45901</v>
      </c>
      <c r="O737" s="52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51" t="str">
        <f>VLOOKUP(_stats[[#This Row],[tournament]],tournaments_n_rules[],2,0)</f>
        <v>УПК</v>
      </c>
      <c r="M738" s="51" t="str">
        <f>VLOOKUP(_stats[[#This Row],[tournament]],tournaments_n_rules[],3,0)</f>
        <v>Осень 2025</v>
      </c>
      <c r="N738" s="52">
        <f>VLOOKUP(_stats[[#This Row],[tournament]],tournaments_n_rules[],4,0)</f>
        <v>45901</v>
      </c>
      <c r="O738" s="52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51" t="str">
        <f>VLOOKUP(_stats[[#This Row],[tournament]],tournaments_n_rules[],2,0)</f>
        <v>УПК</v>
      </c>
      <c r="M739" s="51" t="str">
        <f>VLOOKUP(_stats[[#This Row],[tournament]],tournaments_n_rules[],3,0)</f>
        <v>Осень 2025</v>
      </c>
      <c r="N739" s="52">
        <f>VLOOKUP(_stats[[#This Row],[tournament]],tournaments_n_rules[],4,0)</f>
        <v>45901</v>
      </c>
      <c r="O739" s="52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51" t="str">
        <f>VLOOKUP(_stats[[#This Row],[tournament]],tournaments_n_rules[],2,0)</f>
        <v>УПК</v>
      </c>
      <c r="M740" s="51" t="str">
        <f>VLOOKUP(_stats[[#This Row],[tournament]],tournaments_n_rules[],3,0)</f>
        <v>Осень 2025</v>
      </c>
      <c r="N740" s="52">
        <f>VLOOKUP(_stats[[#This Row],[tournament]],tournaments_n_rules[],4,0)</f>
        <v>45901</v>
      </c>
      <c r="O740" s="52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51" t="str">
        <f>VLOOKUP(_stats[[#This Row],[tournament]],tournaments_n_rules[],2,0)</f>
        <v>УПК</v>
      </c>
      <c r="M741" s="51" t="str">
        <f>VLOOKUP(_stats[[#This Row],[tournament]],tournaments_n_rules[],3,0)</f>
        <v>Осень 2025</v>
      </c>
      <c r="N741" s="52">
        <f>VLOOKUP(_stats[[#This Row],[tournament]],tournaments_n_rules[],4,0)</f>
        <v>45901</v>
      </c>
      <c r="O741" s="52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51" t="str">
        <f>VLOOKUP(_stats[[#This Row],[tournament]],tournaments_n_rules[],2,0)</f>
        <v>УПК</v>
      </c>
      <c r="M742" s="51" t="str">
        <f>VLOOKUP(_stats[[#This Row],[tournament]],tournaments_n_rules[],3,0)</f>
        <v>Осень 2025</v>
      </c>
      <c r="N742" s="52">
        <f>VLOOKUP(_stats[[#This Row],[tournament]],tournaments_n_rules[],4,0)</f>
        <v>45901</v>
      </c>
      <c r="O742" s="52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51" t="str">
        <f>VLOOKUP(_stats[[#This Row],[tournament]],tournaments_n_rules[],2,0)</f>
        <v>УПК</v>
      </c>
      <c r="M743" s="51" t="str">
        <f>VLOOKUP(_stats[[#This Row],[tournament]],tournaments_n_rules[],3,0)</f>
        <v>Осень 2025</v>
      </c>
      <c r="N743" s="52">
        <f>VLOOKUP(_stats[[#This Row],[tournament]],tournaments_n_rules[],4,0)</f>
        <v>45901</v>
      </c>
      <c r="O743" s="52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51" t="str">
        <f>VLOOKUP(_stats[[#This Row],[tournament]],tournaments_n_rules[],2,0)</f>
        <v>УПК</v>
      </c>
      <c r="M744" s="51" t="str">
        <f>VLOOKUP(_stats[[#This Row],[tournament]],tournaments_n_rules[],3,0)</f>
        <v>Осень 2025</v>
      </c>
      <c r="N744" s="52">
        <f>VLOOKUP(_stats[[#This Row],[tournament]],tournaments_n_rules[],4,0)</f>
        <v>45901</v>
      </c>
      <c r="O744" s="52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51" t="str">
        <f>VLOOKUP(_stats[[#This Row],[tournament]],tournaments_n_rules[],2,0)</f>
        <v>УПК</v>
      </c>
      <c r="M745" s="51" t="str">
        <f>VLOOKUP(_stats[[#This Row],[tournament]],tournaments_n_rules[],3,0)</f>
        <v>Осень 2025</v>
      </c>
      <c r="N745" s="52">
        <f>VLOOKUP(_stats[[#This Row],[tournament]],tournaments_n_rules[],4,0)</f>
        <v>45901</v>
      </c>
      <c r="O745" s="52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51" t="str">
        <f>VLOOKUP(_stats[[#This Row],[tournament]],tournaments_n_rules[],2,0)</f>
        <v>УПК</v>
      </c>
      <c r="M746" s="51" t="str">
        <f>VLOOKUP(_stats[[#This Row],[tournament]],tournaments_n_rules[],3,0)</f>
        <v>Осень 2025</v>
      </c>
      <c r="N746" s="52">
        <f>VLOOKUP(_stats[[#This Row],[tournament]],tournaments_n_rules[],4,0)</f>
        <v>45901</v>
      </c>
      <c r="O746" s="52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51" t="str">
        <f>VLOOKUP(_stats[[#This Row],[tournament]],tournaments_n_rules[],2,0)</f>
        <v>УПК</v>
      </c>
      <c r="M747" s="51" t="str">
        <f>VLOOKUP(_stats[[#This Row],[tournament]],tournaments_n_rules[],3,0)</f>
        <v>Осень 2025</v>
      </c>
      <c r="N747" s="52">
        <f>VLOOKUP(_stats[[#This Row],[tournament]],tournaments_n_rules[],4,0)</f>
        <v>45901</v>
      </c>
      <c r="O747" s="52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51" t="str">
        <f>VLOOKUP(_stats[[#This Row],[tournament]],tournaments_n_rules[],2,0)</f>
        <v>УПК</v>
      </c>
      <c r="M748" s="51" t="str">
        <f>VLOOKUP(_stats[[#This Row],[tournament]],tournaments_n_rules[],3,0)</f>
        <v>Осень 2025</v>
      </c>
      <c r="N748" s="52">
        <f>VLOOKUP(_stats[[#This Row],[tournament]],tournaments_n_rules[],4,0)</f>
        <v>45901</v>
      </c>
      <c r="O748" s="52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51" t="str">
        <f>VLOOKUP(_stats[[#This Row],[tournament]],tournaments_n_rules[],2,0)</f>
        <v>УПК</v>
      </c>
      <c r="M749" s="51" t="str">
        <f>VLOOKUP(_stats[[#This Row],[tournament]],tournaments_n_rules[],3,0)</f>
        <v>Осень 2025</v>
      </c>
      <c r="N749" s="52">
        <f>VLOOKUP(_stats[[#This Row],[tournament]],tournaments_n_rules[],4,0)</f>
        <v>45901</v>
      </c>
      <c r="O749" s="52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51" t="str">
        <f>VLOOKUP(_stats[[#This Row],[tournament]],tournaments_n_rules[],2,0)</f>
        <v>УПК</v>
      </c>
      <c r="M750" s="51" t="str">
        <f>VLOOKUP(_stats[[#This Row],[tournament]],tournaments_n_rules[],3,0)</f>
        <v>Осень 2025</v>
      </c>
      <c r="N750" s="52">
        <f>VLOOKUP(_stats[[#This Row],[tournament]],tournaments_n_rules[],4,0)</f>
        <v>45901</v>
      </c>
      <c r="O750" s="52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51" t="str">
        <f>VLOOKUP(_stats[[#This Row],[tournament]],tournaments_n_rules[],2,0)</f>
        <v>УПК</v>
      </c>
      <c r="M751" s="51" t="str">
        <f>VLOOKUP(_stats[[#This Row],[tournament]],tournaments_n_rules[],3,0)</f>
        <v>Осень 2025</v>
      </c>
      <c r="N751" s="52">
        <f>VLOOKUP(_stats[[#This Row],[tournament]],tournaments_n_rules[],4,0)</f>
        <v>45901</v>
      </c>
      <c r="O751" s="52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51" t="str">
        <f>VLOOKUP(_stats[[#This Row],[tournament]],tournaments_n_rules[],2,0)</f>
        <v>УПК</v>
      </c>
      <c r="M752" s="51" t="str">
        <f>VLOOKUP(_stats[[#This Row],[tournament]],tournaments_n_rules[],3,0)</f>
        <v>Осень 2025</v>
      </c>
      <c r="N752" s="52">
        <f>VLOOKUP(_stats[[#This Row],[tournament]],tournaments_n_rules[],4,0)</f>
        <v>45901</v>
      </c>
      <c r="O752" s="52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51" t="str">
        <f>VLOOKUP(_stats[[#This Row],[tournament]],tournaments_n_rules[],2,0)</f>
        <v>УПК</v>
      </c>
      <c r="M753" s="51" t="str">
        <f>VLOOKUP(_stats[[#This Row],[tournament]],tournaments_n_rules[],3,0)</f>
        <v>Осень 2025</v>
      </c>
      <c r="N753" s="52">
        <f>VLOOKUP(_stats[[#This Row],[tournament]],tournaments_n_rules[],4,0)</f>
        <v>45901</v>
      </c>
      <c r="O753" s="52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51" t="str">
        <f>VLOOKUP(_stats[[#This Row],[tournament]],tournaments_n_rules[],2,0)</f>
        <v>УПК</v>
      </c>
      <c r="M754" s="51" t="str">
        <f>VLOOKUP(_stats[[#This Row],[tournament]],tournaments_n_rules[],3,0)</f>
        <v>Осень 2025</v>
      </c>
      <c r="N754" s="52">
        <f>VLOOKUP(_stats[[#This Row],[tournament]],tournaments_n_rules[],4,0)</f>
        <v>45901</v>
      </c>
      <c r="O754" s="52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51" t="str">
        <f>VLOOKUP(_stats[[#This Row],[tournament]],tournaments_n_rules[],2,0)</f>
        <v>УПК</v>
      </c>
      <c r="M755" s="51" t="str">
        <f>VLOOKUP(_stats[[#This Row],[tournament]],tournaments_n_rules[],3,0)</f>
        <v>Осень 2025</v>
      </c>
      <c r="N755" s="52">
        <f>VLOOKUP(_stats[[#This Row],[tournament]],tournaments_n_rules[],4,0)</f>
        <v>45901</v>
      </c>
      <c r="O755" s="52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51" t="str">
        <f>VLOOKUP(_stats[[#This Row],[tournament]],tournaments_n_rules[],2,0)</f>
        <v>УПК</v>
      </c>
      <c r="M756" s="51" t="str">
        <f>VLOOKUP(_stats[[#This Row],[tournament]],tournaments_n_rules[],3,0)</f>
        <v>Осень 2025</v>
      </c>
      <c r="N756" s="52">
        <f>VLOOKUP(_stats[[#This Row],[tournament]],tournaments_n_rules[],4,0)</f>
        <v>45901</v>
      </c>
      <c r="O756" s="52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51" t="str">
        <f>VLOOKUP(_stats[[#This Row],[tournament]],tournaments_n_rules[],2,0)</f>
        <v>УПК</v>
      </c>
      <c r="M757" s="51" t="str">
        <f>VLOOKUP(_stats[[#This Row],[tournament]],tournaments_n_rules[],3,0)</f>
        <v>Осень 2025</v>
      </c>
      <c r="N757" s="52">
        <f>VLOOKUP(_stats[[#This Row],[tournament]],tournaments_n_rules[],4,0)</f>
        <v>45901</v>
      </c>
      <c r="O757" s="52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51" t="str">
        <f>VLOOKUP(_stats[[#This Row],[tournament]],tournaments_n_rules[],2,0)</f>
        <v>УПК</v>
      </c>
      <c r="M758" s="51" t="str">
        <f>VLOOKUP(_stats[[#This Row],[tournament]],tournaments_n_rules[],3,0)</f>
        <v>Осень 2025</v>
      </c>
      <c r="N758" s="52">
        <f>VLOOKUP(_stats[[#This Row],[tournament]],tournaments_n_rules[],4,0)</f>
        <v>45901</v>
      </c>
      <c r="O758" s="52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51" t="str">
        <f>VLOOKUP(_stats[[#This Row],[tournament]],tournaments_n_rules[],2,0)</f>
        <v>УПК</v>
      </c>
      <c r="M759" s="51" t="str">
        <f>VLOOKUP(_stats[[#This Row],[tournament]],tournaments_n_rules[],3,0)</f>
        <v>Осень 2025</v>
      </c>
      <c r="N759" s="52">
        <f>VLOOKUP(_stats[[#This Row],[tournament]],tournaments_n_rules[],4,0)</f>
        <v>45901</v>
      </c>
      <c r="O759" s="52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51" t="str">
        <f>VLOOKUP(_stats[[#This Row],[tournament]],tournaments_n_rules[],2,0)</f>
        <v>УПК</v>
      </c>
      <c r="M760" s="51" t="str">
        <f>VLOOKUP(_stats[[#This Row],[tournament]],tournaments_n_rules[],3,0)</f>
        <v>Осень 2025</v>
      </c>
      <c r="N760" s="52">
        <f>VLOOKUP(_stats[[#This Row],[tournament]],tournaments_n_rules[],4,0)</f>
        <v>45901</v>
      </c>
      <c r="O760" s="52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51" t="str">
        <f>VLOOKUP(_stats[[#This Row],[tournament]],tournaments_n_rules[],2,0)</f>
        <v>УПК</v>
      </c>
      <c r="M761" s="51" t="str">
        <f>VLOOKUP(_stats[[#This Row],[tournament]],tournaments_n_rules[],3,0)</f>
        <v>Осень 2025</v>
      </c>
      <c r="N761" s="52">
        <f>VLOOKUP(_stats[[#This Row],[tournament]],tournaments_n_rules[],4,0)</f>
        <v>45901</v>
      </c>
      <c r="O761" s="52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51" t="str">
        <f>VLOOKUP(_stats[[#This Row],[tournament]],tournaments_n_rules[],2,0)</f>
        <v>УПК</v>
      </c>
      <c r="M762" s="51" t="str">
        <f>VLOOKUP(_stats[[#This Row],[tournament]],tournaments_n_rules[],3,0)</f>
        <v>Осень 2025</v>
      </c>
      <c r="N762" s="52">
        <f>VLOOKUP(_stats[[#This Row],[tournament]],tournaments_n_rules[],4,0)</f>
        <v>45901</v>
      </c>
      <c r="O762" s="52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51" t="str">
        <f>VLOOKUP(_stats[[#This Row],[tournament]],tournaments_n_rules[],2,0)</f>
        <v>УПК</v>
      </c>
      <c r="M763" s="51" t="str">
        <f>VLOOKUP(_stats[[#This Row],[tournament]],tournaments_n_rules[],3,0)</f>
        <v>Осень 2025</v>
      </c>
      <c r="N763" s="52">
        <f>VLOOKUP(_stats[[#This Row],[tournament]],tournaments_n_rules[],4,0)</f>
        <v>45901</v>
      </c>
      <c r="O763" s="52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51" t="str">
        <f>VLOOKUP(_stats[[#This Row],[tournament]],tournaments_n_rules[],2,0)</f>
        <v>УПК</v>
      </c>
      <c r="M764" s="51" t="str">
        <f>VLOOKUP(_stats[[#This Row],[tournament]],tournaments_n_rules[],3,0)</f>
        <v>Осень 2025</v>
      </c>
      <c r="N764" s="52">
        <f>VLOOKUP(_stats[[#This Row],[tournament]],tournaments_n_rules[],4,0)</f>
        <v>45901</v>
      </c>
      <c r="O764" s="52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51" t="str">
        <f>VLOOKUP(_stats[[#This Row],[tournament]],tournaments_n_rules[],2,0)</f>
        <v>УПК</v>
      </c>
      <c r="M765" s="51" t="str">
        <f>VLOOKUP(_stats[[#This Row],[tournament]],tournaments_n_rules[],3,0)</f>
        <v>Осень 2025</v>
      </c>
      <c r="N765" s="52">
        <f>VLOOKUP(_stats[[#This Row],[tournament]],tournaments_n_rules[],4,0)</f>
        <v>45901</v>
      </c>
      <c r="O765" s="52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51" t="str">
        <f>VLOOKUP(_stats[[#This Row],[tournament]],tournaments_n_rules[],2,0)</f>
        <v>УПК</v>
      </c>
      <c r="M766" s="51" t="str">
        <f>VLOOKUP(_stats[[#This Row],[tournament]],tournaments_n_rules[],3,0)</f>
        <v>Осень 2025</v>
      </c>
      <c r="N766" s="52">
        <f>VLOOKUP(_stats[[#This Row],[tournament]],tournaments_n_rules[],4,0)</f>
        <v>45901</v>
      </c>
      <c r="O766" s="52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51" t="str">
        <f>VLOOKUP(_stats[[#This Row],[tournament]],tournaments_n_rules[],2,0)</f>
        <v>УПК</v>
      </c>
      <c r="M767" s="51" t="str">
        <f>VLOOKUP(_stats[[#This Row],[tournament]],tournaments_n_rules[],3,0)</f>
        <v>Осень 2025</v>
      </c>
      <c r="N767" s="52">
        <f>VLOOKUP(_stats[[#This Row],[tournament]],tournaments_n_rules[],4,0)</f>
        <v>45901</v>
      </c>
      <c r="O767" s="52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51" t="str">
        <f>VLOOKUP(_stats[[#This Row],[tournament]],tournaments_n_rules[],2,0)</f>
        <v>УПК</v>
      </c>
      <c r="M768" s="51" t="str">
        <f>VLOOKUP(_stats[[#This Row],[tournament]],tournaments_n_rules[],3,0)</f>
        <v>Осень 2025</v>
      </c>
      <c r="N768" s="52">
        <f>VLOOKUP(_stats[[#This Row],[tournament]],tournaments_n_rules[],4,0)</f>
        <v>45901</v>
      </c>
      <c r="O768" s="52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51" t="str">
        <f>VLOOKUP(_stats[[#This Row],[tournament]],tournaments_n_rules[],2,0)</f>
        <v>УПК</v>
      </c>
      <c r="M769" s="51" t="str">
        <f>VLOOKUP(_stats[[#This Row],[tournament]],tournaments_n_rules[],3,0)</f>
        <v>Осень 2025</v>
      </c>
      <c r="N769" s="52">
        <f>VLOOKUP(_stats[[#This Row],[tournament]],tournaments_n_rules[],4,0)</f>
        <v>45901</v>
      </c>
      <c r="O769" s="52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51" t="str">
        <f>VLOOKUP(_stats[[#This Row],[tournament]],tournaments_n_rules[],2,0)</f>
        <v>УПК</v>
      </c>
      <c r="M770" s="51" t="str">
        <f>VLOOKUP(_stats[[#This Row],[tournament]],tournaments_n_rules[],3,0)</f>
        <v>Осень 2025</v>
      </c>
      <c r="N770" s="52">
        <f>VLOOKUP(_stats[[#This Row],[tournament]],tournaments_n_rules[],4,0)</f>
        <v>45901</v>
      </c>
      <c r="O770" s="52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51" t="str">
        <f>VLOOKUP(_stats[[#This Row],[tournament]],tournaments_n_rules[],2,0)</f>
        <v>УПК</v>
      </c>
      <c r="M771" s="51" t="str">
        <f>VLOOKUP(_stats[[#This Row],[tournament]],tournaments_n_rules[],3,0)</f>
        <v>Осень 2025</v>
      </c>
      <c r="N771" s="52">
        <f>VLOOKUP(_stats[[#This Row],[tournament]],tournaments_n_rules[],4,0)</f>
        <v>45901</v>
      </c>
      <c r="O771" s="52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51" t="str">
        <f>VLOOKUP(_stats[[#This Row],[tournament]],tournaments_n_rules[],2,0)</f>
        <v>УПК</v>
      </c>
      <c r="M772" s="51" t="str">
        <f>VLOOKUP(_stats[[#This Row],[tournament]],tournaments_n_rules[],3,0)</f>
        <v>Осень 2025</v>
      </c>
      <c r="N772" s="52">
        <f>VLOOKUP(_stats[[#This Row],[tournament]],tournaments_n_rules[],4,0)</f>
        <v>45901</v>
      </c>
      <c r="O772" s="52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51" t="str">
        <f>VLOOKUP(_stats[[#This Row],[tournament]],tournaments_n_rules[],2,0)</f>
        <v>УПК</v>
      </c>
      <c r="M773" s="51" t="str">
        <f>VLOOKUP(_stats[[#This Row],[tournament]],tournaments_n_rules[],3,0)</f>
        <v>Осень 2025</v>
      </c>
      <c r="N773" s="52">
        <f>VLOOKUP(_stats[[#This Row],[tournament]],tournaments_n_rules[],4,0)</f>
        <v>45901</v>
      </c>
      <c r="O773" s="52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51" t="str">
        <f>VLOOKUP(_stats[[#This Row],[tournament]],tournaments_n_rules[],2,0)</f>
        <v>УПК</v>
      </c>
      <c r="M774" s="51" t="str">
        <f>VLOOKUP(_stats[[#This Row],[tournament]],tournaments_n_rules[],3,0)</f>
        <v>Осень 2025</v>
      </c>
      <c r="N774" s="52">
        <f>VLOOKUP(_stats[[#This Row],[tournament]],tournaments_n_rules[],4,0)</f>
        <v>45901</v>
      </c>
      <c r="O774" s="52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51" t="str">
        <f>VLOOKUP(_stats[[#This Row],[tournament]],tournaments_n_rules[],2,0)</f>
        <v>УПК</v>
      </c>
      <c r="M775" s="51" t="str">
        <f>VLOOKUP(_stats[[#This Row],[tournament]],tournaments_n_rules[],3,0)</f>
        <v>Осень 2025</v>
      </c>
      <c r="N775" s="52">
        <f>VLOOKUP(_stats[[#This Row],[tournament]],tournaments_n_rules[],4,0)</f>
        <v>45901</v>
      </c>
      <c r="O775" s="52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51" t="str">
        <f>VLOOKUP(_stats[[#This Row],[tournament]],tournaments_n_rules[],2,0)</f>
        <v>УПК</v>
      </c>
      <c r="M776" s="51" t="str">
        <f>VLOOKUP(_stats[[#This Row],[tournament]],tournaments_n_rules[],3,0)</f>
        <v>Осень 2025</v>
      </c>
      <c r="N776" s="52">
        <f>VLOOKUP(_stats[[#This Row],[tournament]],tournaments_n_rules[],4,0)</f>
        <v>45901</v>
      </c>
      <c r="O776" s="52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51" t="str">
        <f>VLOOKUP(_stats[[#This Row],[tournament]],tournaments_n_rules[],2,0)</f>
        <v>УПК</v>
      </c>
      <c r="M777" s="51" t="str">
        <f>VLOOKUP(_stats[[#This Row],[tournament]],tournaments_n_rules[],3,0)</f>
        <v>Осень 2025</v>
      </c>
      <c r="N777" s="52">
        <f>VLOOKUP(_stats[[#This Row],[tournament]],tournaments_n_rules[],4,0)</f>
        <v>45901</v>
      </c>
      <c r="O777" s="52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51" t="str">
        <f>VLOOKUP(_stats[[#This Row],[tournament]],tournaments_n_rules[],2,0)</f>
        <v>УПК</v>
      </c>
      <c r="M778" s="51" t="str">
        <f>VLOOKUP(_stats[[#This Row],[tournament]],tournaments_n_rules[],3,0)</f>
        <v>Осень 2025</v>
      </c>
      <c r="N778" s="52">
        <f>VLOOKUP(_stats[[#This Row],[tournament]],tournaments_n_rules[],4,0)</f>
        <v>45901</v>
      </c>
      <c r="O778" s="52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51" t="str">
        <f>VLOOKUP(_stats[[#This Row],[tournament]],tournaments_n_rules[],2,0)</f>
        <v>УПК</v>
      </c>
      <c r="M779" s="51" t="str">
        <f>VLOOKUP(_stats[[#This Row],[tournament]],tournaments_n_rules[],3,0)</f>
        <v>Осень 2025</v>
      </c>
      <c r="N779" s="52">
        <f>VLOOKUP(_stats[[#This Row],[tournament]],tournaments_n_rules[],4,0)</f>
        <v>45901</v>
      </c>
      <c r="O779" s="52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51" t="str">
        <f>VLOOKUP(_stats[[#This Row],[tournament]],tournaments_n_rules[],2,0)</f>
        <v>УПК</v>
      </c>
      <c r="M780" s="51" t="str">
        <f>VLOOKUP(_stats[[#This Row],[tournament]],tournaments_n_rules[],3,0)</f>
        <v>Осень 2025</v>
      </c>
      <c r="N780" s="52">
        <f>VLOOKUP(_stats[[#This Row],[tournament]],tournaments_n_rules[],4,0)</f>
        <v>45901</v>
      </c>
      <c r="O780" s="52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51" t="str">
        <f>VLOOKUP(_stats[[#This Row],[tournament]],tournaments_n_rules[],2,0)</f>
        <v>УПК</v>
      </c>
      <c r="M781" s="51" t="str">
        <f>VLOOKUP(_stats[[#This Row],[tournament]],tournaments_n_rules[],3,0)</f>
        <v>Осень 2025</v>
      </c>
      <c r="N781" s="52">
        <f>VLOOKUP(_stats[[#This Row],[tournament]],tournaments_n_rules[],4,0)</f>
        <v>45901</v>
      </c>
      <c r="O781" s="52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51" t="str">
        <f>VLOOKUP(_stats[[#This Row],[tournament]],tournaments_n_rules[],2,0)</f>
        <v>УПК</v>
      </c>
      <c r="M782" s="51" t="str">
        <f>VLOOKUP(_stats[[#This Row],[tournament]],tournaments_n_rules[],3,0)</f>
        <v>Осень 2025</v>
      </c>
      <c r="N782" s="52">
        <f>VLOOKUP(_stats[[#This Row],[tournament]],tournaments_n_rules[],4,0)</f>
        <v>45901</v>
      </c>
      <c r="O782" s="52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51" t="str">
        <f>VLOOKUP(_stats[[#This Row],[tournament]],tournaments_n_rules[],2,0)</f>
        <v>УПК</v>
      </c>
      <c r="M783" s="51" t="str">
        <f>VLOOKUP(_stats[[#This Row],[tournament]],tournaments_n_rules[],3,0)</f>
        <v>Осень 2025</v>
      </c>
      <c r="N783" s="52">
        <f>VLOOKUP(_stats[[#This Row],[tournament]],tournaments_n_rules[],4,0)</f>
        <v>45901</v>
      </c>
      <c r="O783" s="52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51" t="str">
        <f>VLOOKUP(_stats[[#This Row],[tournament]],tournaments_n_rules[],2,0)</f>
        <v>УПК</v>
      </c>
      <c r="M784" s="51" t="str">
        <f>VLOOKUP(_stats[[#This Row],[tournament]],tournaments_n_rules[],3,0)</f>
        <v>Осень 2025</v>
      </c>
      <c r="N784" s="52">
        <f>VLOOKUP(_stats[[#This Row],[tournament]],tournaments_n_rules[],4,0)</f>
        <v>45901</v>
      </c>
      <c r="O784" s="52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51" t="str">
        <f>VLOOKUP(_stats[[#This Row],[tournament]],tournaments_n_rules[],2,0)</f>
        <v>УПК</v>
      </c>
      <c r="M785" s="51" t="str">
        <f>VLOOKUP(_stats[[#This Row],[tournament]],tournaments_n_rules[],3,0)</f>
        <v>Осень 2025</v>
      </c>
      <c r="N785" s="52">
        <f>VLOOKUP(_stats[[#This Row],[tournament]],tournaments_n_rules[],4,0)</f>
        <v>45901</v>
      </c>
      <c r="O785" s="52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51" t="str">
        <f>VLOOKUP(_stats[[#This Row],[tournament]],tournaments_n_rules[],2,0)</f>
        <v>УПК</v>
      </c>
      <c r="M786" s="51" t="str">
        <f>VLOOKUP(_stats[[#This Row],[tournament]],tournaments_n_rules[],3,0)</f>
        <v>Осень 2025</v>
      </c>
      <c r="N786" s="52">
        <f>VLOOKUP(_stats[[#This Row],[tournament]],tournaments_n_rules[],4,0)</f>
        <v>45901</v>
      </c>
      <c r="O786" s="52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51" t="str">
        <f>VLOOKUP(_stats[[#This Row],[tournament]],tournaments_n_rules[],2,0)</f>
        <v>УПК</v>
      </c>
      <c r="M787" s="51" t="str">
        <f>VLOOKUP(_stats[[#This Row],[tournament]],tournaments_n_rules[],3,0)</f>
        <v>Осень 2025</v>
      </c>
      <c r="N787" s="52">
        <f>VLOOKUP(_stats[[#This Row],[tournament]],tournaments_n_rules[],4,0)</f>
        <v>45901</v>
      </c>
      <c r="O787" s="52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51" t="str">
        <f>VLOOKUP(_stats[[#This Row],[tournament]],tournaments_n_rules[],2,0)</f>
        <v>УПК</v>
      </c>
      <c r="M788" s="51" t="str">
        <f>VLOOKUP(_stats[[#This Row],[tournament]],tournaments_n_rules[],3,0)</f>
        <v>Осень 2025</v>
      </c>
      <c r="N788" s="52">
        <f>VLOOKUP(_stats[[#This Row],[tournament]],tournaments_n_rules[],4,0)</f>
        <v>45901</v>
      </c>
      <c r="O788" s="52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51" t="str">
        <f>VLOOKUP(_stats[[#This Row],[tournament]],tournaments_n_rules[],2,0)</f>
        <v>УПК</v>
      </c>
      <c r="M789" s="51" t="str">
        <f>VLOOKUP(_stats[[#This Row],[tournament]],tournaments_n_rules[],3,0)</f>
        <v>Осень 2025</v>
      </c>
      <c r="N789" s="52">
        <f>VLOOKUP(_stats[[#This Row],[tournament]],tournaments_n_rules[],4,0)</f>
        <v>45901</v>
      </c>
      <c r="O789" s="52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51" t="str">
        <f>VLOOKUP(_stats[[#This Row],[tournament]],tournaments_n_rules[],2,0)</f>
        <v>УПК</v>
      </c>
      <c r="M790" s="51" t="str">
        <f>VLOOKUP(_stats[[#This Row],[tournament]],tournaments_n_rules[],3,0)</f>
        <v>Осень 2025</v>
      </c>
      <c r="N790" s="52">
        <f>VLOOKUP(_stats[[#This Row],[tournament]],tournaments_n_rules[],4,0)</f>
        <v>45901</v>
      </c>
      <c r="O790" s="52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51" t="str">
        <f>VLOOKUP(_stats[[#This Row],[tournament]],tournaments_n_rules[],2,0)</f>
        <v>УПК</v>
      </c>
      <c r="M791" s="51" t="str">
        <f>VLOOKUP(_stats[[#This Row],[tournament]],tournaments_n_rules[],3,0)</f>
        <v>Осень 2025</v>
      </c>
      <c r="N791" s="52">
        <f>VLOOKUP(_stats[[#This Row],[tournament]],tournaments_n_rules[],4,0)</f>
        <v>45901</v>
      </c>
      <c r="O791" s="52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51" t="str">
        <f>VLOOKUP(_stats[[#This Row],[tournament]],tournaments_n_rules[],2,0)</f>
        <v>УПК</v>
      </c>
      <c r="M792" s="51" t="str">
        <f>VLOOKUP(_stats[[#This Row],[tournament]],tournaments_n_rules[],3,0)</f>
        <v>Осень 2025</v>
      </c>
      <c r="N792" s="52">
        <f>VLOOKUP(_stats[[#This Row],[tournament]],tournaments_n_rules[],4,0)</f>
        <v>45901</v>
      </c>
      <c r="O792" s="52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51" t="str">
        <f>VLOOKUP(_stats[[#This Row],[tournament]],tournaments_n_rules[],2,0)</f>
        <v>УПК</v>
      </c>
      <c r="M793" s="51" t="str">
        <f>VLOOKUP(_stats[[#This Row],[tournament]],tournaments_n_rules[],3,0)</f>
        <v>Осень 2025</v>
      </c>
      <c r="N793" s="52">
        <f>VLOOKUP(_stats[[#This Row],[tournament]],tournaments_n_rules[],4,0)</f>
        <v>45901</v>
      </c>
      <c r="O793" s="52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51" t="str">
        <f>VLOOKUP(_stats[[#This Row],[tournament]],tournaments_n_rules[],2,0)</f>
        <v>УПК</v>
      </c>
      <c r="M794" s="51" t="str">
        <f>VLOOKUP(_stats[[#This Row],[tournament]],tournaments_n_rules[],3,0)</f>
        <v>Осень 2025</v>
      </c>
      <c r="N794" s="52">
        <f>VLOOKUP(_stats[[#This Row],[tournament]],tournaments_n_rules[],4,0)</f>
        <v>45901</v>
      </c>
      <c r="O794" s="52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51" t="str">
        <f>VLOOKUP(_stats[[#This Row],[tournament]],tournaments_n_rules[],2,0)</f>
        <v>УПК</v>
      </c>
      <c r="M795" s="51" t="str">
        <f>VLOOKUP(_stats[[#This Row],[tournament]],tournaments_n_rules[],3,0)</f>
        <v>Осень 2025</v>
      </c>
      <c r="N795" s="52">
        <f>VLOOKUP(_stats[[#This Row],[tournament]],tournaments_n_rules[],4,0)</f>
        <v>45901</v>
      </c>
      <c r="O795" s="52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51" t="str">
        <f>VLOOKUP(_stats[[#This Row],[tournament]],tournaments_n_rules[],2,0)</f>
        <v>УПК</v>
      </c>
      <c r="M796" s="51" t="str">
        <f>VLOOKUP(_stats[[#This Row],[tournament]],tournaments_n_rules[],3,0)</f>
        <v>Осень 2025</v>
      </c>
      <c r="N796" s="52">
        <f>VLOOKUP(_stats[[#This Row],[tournament]],tournaments_n_rules[],4,0)</f>
        <v>45901</v>
      </c>
      <c r="O796" s="52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51" t="str">
        <f>VLOOKUP(_stats[[#This Row],[tournament]],tournaments_n_rules[],2,0)</f>
        <v>УПК</v>
      </c>
      <c r="M797" s="51" t="str">
        <f>VLOOKUP(_stats[[#This Row],[tournament]],tournaments_n_rules[],3,0)</f>
        <v>Осень 2025</v>
      </c>
      <c r="N797" s="52">
        <f>VLOOKUP(_stats[[#This Row],[tournament]],tournaments_n_rules[],4,0)</f>
        <v>45901</v>
      </c>
      <c r="O797" s="52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51" t="str">
        <f>VLOOKUP(_stats[[#This Row],[tournament]],tournaments_n_rules[],2,0)</f>
        <v>УПК</v>
      </c>
      <c r="M798" s="51" t="str">
        <f>VLOOKUP(_stats[[#This Row],[tournament]],tournaments_n_rules[],3,0)</f>
        <v>Осень 2025</v>
      </c>
      <c r="N798" s="52">
        <f>VLOOKUP(_stats[[#This Row],[tournament]],tournaments_n_rules[],4,0)</f>
        <v>45901</v>
      </c>
      <c r="O798" s="52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51" t="str">
        <f>VLOOKUP(_stats[[#This Row],[tournament]],tournaments_n_rules[],2,0)</f>
        <v>УПК</v>
      </c>
      <c r="M799" s="51" t="str">
        <f>VLOOKUP(_stats[[#This Row],[tournament]],tournaments_n_rules[],3,0)</f>
        <v>Осень 2025</v>
      </c>
      <c r="N799" s="52">
        <f>VLOOKUP(_stats[[#This Row],[tournament]],tournaments_n_rules[],4,0)</f>
        <v>45901</v>
      </c>
      <c r="O799" s="52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51" t="str">
        <f>VLOOKUP(_stats[[#This Row],[tournament]],tournaments_n_rules[],2,0)</f>
        <v>УПК</v>
      </c>
      <c r="M800" s="51" t="str">
        <f>VLOOKUP(_stats[[#This Row],[tournament]],tournaments_n_rules[],3,0)</f>
        <v>Осень 2025</v>
      </c>
      <c r="N800" s="52">
        <f>VLOOKUP(_stats[[#This Row],[tournament]],tournaments_n_rules[],4,0)</f>
        <v>45901</v>
      </c>
      <c r="O800" s="52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51" t="str">
        <f>VLOOKUP(_stats[[#This Row],[tournament]],tournaments_n_rules[],2,0)</f>
        <v>УПК</v>
      </c>
      <c r="M801" s="51" t="str">
        <f>VLOOKUP(_stats[[#This Row],[tournament]],tournaments_n_rules[],3,0)</f>
        <v>Осень 2025</v>
      </c>
      <c r="N801" s="52">
        <f>VLOOKUP(_stats[[#This Row],[tournament]],tournaments_n_rules[],4,0)</f>
        <v>45901</v>
      </c>
      <c r="O801" s="52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51" t="str">
        <f>VLOOKUP(_stats[[#This Row],[tournament]],tournaments_n_rules[],2,0)</f>
        <v>УПК</v>
      </c>
      <c r="M802" s="51" t="str">
        <f>VLOOKUP(_stats[[#This Row],[tournament]],tournaments_n_rules[],3,0)</f>
        <v>Осень 2025</v>
      </c>
      <c r="N802" s="52">
        <f>VLOOKUP(_stats[[#This Row],[tournament]],tournaments_n_rules[],4,0)</f>
        <v>45901</v>
      </c>
      <c r="O802" s="52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51" t="str">
        <f>VLOOKUP(_stats[[#This Row],[tournament]],tournaments_n_rules[],2,0)</f>
        <v>УПК</v>
      </c>
      <c r="M803" s="51" t="str">
        <f>VLOOKUP(_stats[[#This Row],[tournament]],tournaments_n_rules[],3,0)</f>
        <v>Осень 2025</v>
      </c>
      <c r="N803" s="52">
        <f>VLOOKUP(_stats[[#This Row],[tournament]],tournaments_n_rules[],4,0)</f>
        <v>45901</v>
      </c>
      <c r="O803" s="52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51" t="str">
        <f>VLOOKUP(_stats[[#This Row],[tournament]],tournaments_n_rules[],2,0)</f>
        <v>УПК</v>
      </c>
      <c r="M804" s="51" t="str">
        <f>VLOOKUP(_stats[[#This Row],[tournament]],tournaments_n_rules[],3,0)</f>
        <v>Осень 2025</v>
      </c>
      <c r="N804" s="52">
        <f>VLOOKUP(_stats[[#This Row],[tournament]],tournaments_n_rules[],4,0)</f>
        <v>45901</v>
      </c>
      <c r="O804" s="52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51" t="str">
        <f>VLOOKUP(_stats[[#This Row],[tournament]],tournaments_n_rules[],2,0)</f>
        <v>УПК</v>
      </c>
      <c r="M805" s="51" t="str">
        <f>VLOOKUP(_stats[[#This Row],[tournament]],tournaments_n_rules[],3,0)</f>
        <v>Осень 2025</v>
      </c>
      <c r="N805" s="52">
        <f>VLOOKUP(_stats[[#This Row],[tournament]],tournaments_n_rules[],4,0)</f>
        <v>45901</v>
      </c>
      <c r="O805" s="52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51" t="str">
        <f>VLOOKUP(_stats[[#This Row],[tournament]],tournaments_n_rules[],2,0)</f>
        <v>УПК</v>
      </c>
      <c r="M806" s="51" t="str">
        <f>VLOOKUP(_stats[[#This Row],[tournament]],tournaments_n_rules[],3,0)</f>
        <v>Осень 2025</v>
      </c>
      <c r="N806" s="52">
        <f>VLOOKUP(_stats[[#This Row],[tournament]],tournaments_n_rules[],4,0)</f>
        <v>45901</v>
      </c>
      <c r="O806" s="52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51" t="str">
        <f>VLOOKUP(_stats[[#This Row],[tournament]],tournaments_n_rules[],2,0)</f>
        <v>УПК</v>
      </c>
      <c r="M807" s="51" t="str">
        <f>VLOOKUP(_stats[[#This Row],[tournament]],tournaments_n_rules[],3,0)</f>
        <v>Осень 2025</v>
      </c>
      <c r="N807" s="52">
        <f>VLOOKUP(_stats[[#This Row],[tournament]],tournaments_n_rules[],4,0)</f>
        <v>45901</v>
      </c>
      <c r="O807" s="52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51" t="str">
        <f>VLOOKUP(_stats[[#This Row],[tournament]],tournaments_n_rules[],2,0)</f>
        <v>УПК</v>
      </c>
      <c r="M808" s="51" t="str">
        <f>VLOOKUP(_stats[[#This Row],[tournament]],tournaments_n_rules[],3,0)</f>
        <v>Осень 2025</v>
      </c>
      <c r="N808" s="52">
        <f>VLOOKUP(_stats[[#This Row],[tournament]],tournaments_n_rules[],4,0)</f>
        <v>45901</v>
      </c>
      <c r="O808" s="52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51" t="str">
        <f>VLOOKUP(_stats[[#This Row],[tournament]],tournaments_n_rules[],2,0)</f>
        <v>УПК</v>
      </c>
      <c r="M809" s="51" t="str">
        <f>VLOOKUP(_stats[[#This Row],[tournament]],tournaments_n_rules[],3,0)</f>
        <v>Осень 2025</v>
      </c>
      <c r="N809" s="52">
        <f>VLOOKUP(_stats[[#This Row],[tournament]],tournaments_n_rules[],4,0)</f>
        <v>45901</v>
      </c>
      <c r="O809" s="52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51" t="str">
        <f>VLOOKUP(_stats[[#This Row],[tournament]],tournaments_n_rules[],2,0)</f>
        <v>УПК</v>
      </c>
      <c r="M810" s="51" t="str">
        <f>VLOOKUP(_stats[[#This Row],[tournament]],tournaments_n_rules[],3,0)</f>
        <v>Осень 2025</v>
      </c>
      <c r="N810" s="52">
        <f>VLOOKUP(_stats[[#This Row],[tournament]],tournaments_n_rules[],4,0)</f>
        <v>45901</v>
      </c>
      <c r="O810" s="52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51" t="str">
        <f>VLOOKUP(_stats[[#This Row],[tournament]],tournaments_n_rules[],2,0)</f>
        <v>УПК</v>
      </c>
      <c r="M811" s="51" t="str">
        <f>VLOOKUP(_stats[[#This Row],[tournament]],tournaments_n_rules[],3,0)</f>
        <v>Осень 2025</v>
      </c>
      <c r="N811" s="52">
        <f>VLOOKUP(_stats[[#This Row],[tournament]],tournaments_n_rules[],4,0)</f>
        <v>45901</v>
      </c>
      <c r="O811" s="52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51" t="str">
        <f>VLOOKUP(_stats[[#This Row],[tournament]],tournaments_n_rules[],2,0)</f>
        <v>УПК</v>
      </c>
      <c r="M812" s="51" t="str">
        <f>VLOOKUP(_stats[[#This Row],[tournament]],tournaments_n_rules[],3,0)</f>
        <v>Осень 2025</v>
      </c>
      <c r="N812" s="52">
        <f>VLOOKUP(_stats[[#This Row],[tournament]],tournaments_n_rules[],4,0)</f>
        <v>45901</v>
      </c>
      <c r="O812" s="52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51" t="str">
        <f>VLOOKUP(_stats[[#This Row],[tournament]],tournaments_n_rules[],2,0)</f>
        <v>УПК</v>
      </c>
      <c r="M813" s="51" t="str">
        <f>VLOOKUP(_stats[[#This Row],[tournament]],tournaments_n_rules[],3,0)</f>
        <v>Осень 2025</v>
      </c>
      <c r="N813" s="52">
        <f>VLOOKUP(_stats[[#This Row],[tournament]],tournaments_n_rules[],4,0)</f>
        <v>45901</v>
      </c>
      <c r="O813" s="52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51" t="str">
        <f>VLOOKUP(_stats[[#This Row],[tournament]],tournaments_n_rules[],2,0)</f>
        <v>УПК</v>
      </c>
      <c r="M814" s="51" t="str">
        <f>VLOOKUP(_stats[[#This Row],[tournament]],tournaments_n_rules[],3,0)</f>
        <v>Осень 2025</v>
      </c>
      <c r="N814" s="52">
        <f>VLOOKUP(_stats[[#This Row],[tournament]],tournaments_n_rules[],4,0)</f>
        <v>45901</v>
      </c>
      <c r="O814" s="52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51" t="str">
        <f>VLOOKUP(_stats[[#This Row],[tournament]],tournaments_n_rules[],2,0)</f>
        <v>УПК</v>
      </c>
      <c r="M815" s="51" t="str">
        <f>VLOOKUP(_stats[[#This Row],[tournament]],tournaments_n_rules[],3,0)</f>
        <v>Осень 2025</v>
      </c>
      <c r="N815" s="52">
        <f>VLOOKUP(_stats[[#This Row],[tournament]],tournaments_n_rules[],4,0)</f>
        <v>45901</v>
      </c>
      <c r="O815" s="52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51" t="str">
        <f>VLOOKUP(_stats[[#This Row],[tournament]],tournaments_n_rules[],2,0)</f>
        <v>УПК</v>
      </c>
      <c r="M816" s="51" t="str">
        <f>VLOOKUP(_stats[[#This Row],[tournament]],tournaments_n_rules[],3,0)</f>
        <v>Осень 2025</v>
      </c>
      <c r="N816" s="52">
        <f>VLOOKUP(_stats[[#This Row],[tournament]],tournaments_n_rules[],4,0)</f>
        <v>45901</v>
      </c>
      <c r="O816" s="52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51" t="str">
        <f>VLOOKUP(_stats[[#This Row],[tournament]],tournaments_n_rules[],2,0)</f>
        <v>УПК</v>
      </c>
      <c r="M817" s="51" t="str">
        <f>VLOOKUP(_stats[[#This Row],[tournament]],tournaments_n_rules[],3,0)</f>
        <v>Осень 2025</v>
      </c>
      <c r="N817" s="52">
        <f>VLOOKUP(_stats[[#This Row],[tournament]],tournaments_n_rules[],4,0)</f>
        <v>45901</v>
      </c>
      <c r="O817" s="52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51" t="str">
        <f>VLOOKUP(_stats[[#This Row],[tournament]],tournaments_n_rules[],2,0)</f>
        <v>УПК</v>
      </c>
      <c r="M818" s="51" t="str">
        <f>VLOOKUP(_stats[[#This Row],[tournament]],tournaments_n_rules[],3,0)</f>
        <v>Осень 2025</v>
      </c>
      <c r="N818" s="52">
        <f>VLOOKUP(_stats[[#This Row],[tournament]],tournaments_n_rules[],4,0)</f>
        <v>45901</v>
      </c>
      <c r="O818" s="52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51" t="str">
        <f>VLOOKUP(_stats[[#This Row],[tournament]],tournaments_n_rules[],2,0)</f>
        <v>УПК</v>
      </c>
      <c r="M819" s="51" t="str">
        <f>VLOOKUP(_stats[[#This Row],[tournament]],tournaments_n_rules[],3,0)</f>
        <v>Осень 2025</v>
      </c>
      <c r="N819" s="52">
        <f>VLOOKUP(_stats[[#This Row],[tournament]],tournaments_n_rules[],4,0)</f>
        <v>45901</v>
      </c>
      <c r="O819" s="52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51" t="str">
        <f>VLOOKUP(_stats[[#This Row],[tournament]],tournaments_n_rules[],2,0)</f>
        <v>УПК</v>
      </c>
      <c r="M820" s="51" t="str">
        <f>VLOOKUP(_stats[[#This Row],[tournament]],tournaments_n_rules[],3,0)</f>
        <v>Осень 2025</v>
      </c>
      <c r="N820" s="52">
        <f>VLOOKUP(_stats[[#This Row],[tournament]],tournaments_n_rules[],4,0)</f>
        <v>45901</v>
      </c>
      <c r="O820" s="52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51" t="str">
        <f>VLOOKUP(_stats[[#This Row],[tournament]],tournaments_n_rules[],2,0)</f>
        <v>УПК</v>
      </c>
      <c r="M821" s="51" t="str">
        <f>VLOOKUP(_stats[[#This Row],[tournament]],tournaments_n_rules[],3,0)</f>
        <v>Осень 2025</v>
      </c>
      <c r="N821" s="52">
        <f>VLOOKUP(_stats[[#This Row],[tournament]],tournaments_n_rules[],4,0)</f>
        <v>45901</v>
      </c>
      <c r="O821" s="52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51" t="str">
        <f>VLOOKUP(_stats[[#This Row],[tournament]],tournaments_n_rules[],2,0)</f>
        <v>УПК</v>
      </c>
      <c r="M822" s="51" t="str">
        <f>VLOOKUP(_stats[[#This Row],[tournament]],tournaments_n_rules[],3,0)</f>
        <v>Осень 2025</v>
      </c>
      <c r="N822" s="52">
        <f>VLOOKUP(_stats[[#This Row],[tournament]],tournaments_n_rules[],4,0)</f>
        <v>45901</v>
      </c>
      <c r="O822" s="52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51" t="str">
        <f>VLOOKUP(_stats[[#This Row],[tournament]],tournaments_n_rules[],2,0)</f>
        <v>УПК</v>
      </c>
      <c r="M823" s="51" t="str">
        <f>VLOOKUP(_stats[[#This Row],[tournament]],tournaments_n_rules[],3,0)</f>
        <v>Осень 2025</v>
      </c>
      <c r="N823" s="52">
        <f>VLOOKUP(_stats[[#This Row],[tournament]],tournaments_n_rules[],4,0)</f>
        <v>45901</v>
      </c>
      <c r="O823" s="52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51" t="str">
        <f>VLOOKUP(_stats[[#This Row],[tournament]],tournaments_n_rules[],2,0)</f>
        <v>УПК</v>
      </c>
      <c r="M824" s="51" t="str">
        <f>VLOOKUP(_stats[[#This Row],[tournament]],tournaments_n_rules[],3,0)</f>
        <v>Осень 2025</v>
      </c>
      <c r="N824" s="52">
        <f>VLOOKUP(_stats[[#This Row],[tournament]],tournaments_n_rules[],4,0)</f>
        <v>45901</v>
      </c>
      <c r="O824" s="52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51" t="str">
        <f>VLOOKUP(_stats[[#This Row],[tournament]],tournaments_n_rules[],2,0)</f>
        <v>УПК</v>
      </c>
      <c r="M825" s="51" t="str">
        <f>VLOOKUP(_stats[[#This Row],[tournament]],tournaments_n_rules[],3,0)</f>
        <v>Осень 2025</v>
      </c>
      <c r="N825" s="52">
        <f>VLOOKUP(_stats[[#This Row],[tournament]],tournaments_n_rules[],4,0)</f>
        <v>45901</v>
      </c>
      <c r="O825" s="52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51" t="str">
        <f>VLOOKUP(_stats[[#This Row],[tournament]],tournaments_n_rules[],2,0)</f>
        <v>УПК</v>
      </c>
      <c r="M826" s="51" t="str">
        <f>VLOOKUP(_stats[[#This Row],[tournament]],tournaments_n_rules[],3,0)</f>
        <v>Осень 2025</v>
      </c>
      <c r="N826" s="52">
        <f>VLOOKUP(_stats[[#This Row],[tournament]],tournaments_n_rules[],4,0)</f>
        <v>45901</v>
      </c>
      <c r="O826" s="52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51" t="str">
        <f>VLOOKUP(_stats[[#This Row],[tournament]],tournaments_n_rules[],2,0)</f>
        <v>УПК</v>
      </c>
      <c r="M827" s="51" t="str">
        <f>VLOOKUP(_stats[[#This Row],[tournament]],tournaments_n_rules[],3,0)</f>
        <v>Осень 2025</v>
      </c>
      <c r="N827" s="52">
        <f>VLOOKUP(_stats[[#This Row],[tournament]],tournaments_n_rules[],4,0)</f>
        <v>45901</v>
      </c>
      <c r="O827" s="52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51" t="str">
        <f>VLOOKUP(_stats[[#This Row],[tournament]],tournaments_n_rules[],2,0)</f>
        <v>УПК</v>
      </c>
      <c r="M828" s="51" t="str">
        <f>VLOOKUP(_stats[[#This Row],[tournament]],tournaments_n_rules[],3,0)</f>
        <v>Осень 2025</v>
      </c>
      <c r="N828" s="52">
        <f>VLOOKUP(_stats[[#This Row],[tournament]],tournaments_n_rules[],4,0)</f>
        <v>45901</v>
      </c>
      <c r="O828" s="52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51" t="str">
        <f>VLOOKUP(_stats[[#This Row],[tournament]],tournaments_n_rules[],2,0)</f>
        <v>УПК</v>
      </c>
      <c r="M829" s="51" t="str">
        <f>VLOOKUP(_stats[[#This Row],[tournament]],tournaments_n_rules[],3,0)</f>
        <v>Осень 2025</v>
      </c>
      <c r="N829" s="52">
        <f>VLOOKUP(_stats[[#This Row],[tournament]],tournaments_n_rules[],4,0)</f>
        <v>45901</v>
      </c>
      <c r="O829" s="52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51" t="str">
        <f>VLOOKUP(_stats[[#This Row],[tournament]],tournaments_n_rules[],2,0)</f>
        <v>УПК</v>
      </c>
      <c r="M830" s="51" t="str">
        <f>VLOOKUP(_stats[[#This Row],[tournament]],tournaments_n_rules[],3,0)</f>
        <v>Осень 2025</v>
      </c>
      <c r="N830" s="52">
        <f>VLOOKUP(_stats[[#This Row],[tournament]],tournaments_n_rules[],4,0)</f>
        <v>45901</v>
      </c>
      <c r="O830" s="52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51" t="str">
        <f>VLOOKUP(_stats[[#This Row],[tournament]],tournaments_n_rules[],2,0)</f>
        <v>УПК</v>
      </c>
      <c r="M831" s="51" t="str">
        <f>VLOOKUP(_stats[[#This Row],[tournament]],tournaments_n_rules[],3,0)</f>
        <v>Осень 2025</v>
      </c>
      <c r="N831" s="52">
        <f>VLOOKUP(_stats[[#This Row],[tournament]],tournaments_n_rules[],4,0)</f>
        <v>45901</v>
      </c>
      <c r="O831" s="52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51" t="str">
        <f>VLOOKUP(_stats[[#This Row],[tournament]],tournaments_n_rules[],2,0)</f>
        <v>УПК</v>
      </c>
      <c r="M832" s="51" t="str">
        <f>VLOOKUP(_stats[[#This Row],[tournament]],tournaments_n_rules[],3,0)</f>
        <v>Осень 2025</v>
      </c>
      <c r="N832" s="52">
        <f>VLOOKUP(_stats[[#This Row],[tournament]],tournaments_n_rules[],4,0)</f>
        <v>45901</v>
      </c>
      <c r="O832" s="52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51" t="str">
        <f>VLOOKUP(_stats[[#This Row],[tournament]],tournaments_n_rules[],2,0)</f>
        <v>УПК</v>
      </c>
      <c r="M833" s="51" t="str">
        <f>VLOOKUP(_stats[[#This Row],[tournament]],tournaments_n_rules[],3,0)</f>
        <v>Осень 2025</v>
      </c>
      <c r="N833" s="52">
        <f>VLOOKUP(_stats[[#This Row],[tournament]],tournaments_n_rules[],4,0)</f>
        <v>45901</v>
      </c>
      <c r="O833" s="52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51" t="str">
        <f>VLOOKUP(_stats[[#This Row],[tournament]],tournaments_n_rules[],2,0)</f>
        <v>УПК</v>
      </c>
      <c r="M834" s="51" t="str">
        <f>VLOOKUP(_stats[[#This Row],[tournament]],tournaments_n_rules[],3,0)</f>
        <v>Осень 2025</v>
      </c>
      <c r="N834" s="52">
        <f>VLOOKUP(_stats[[#This Row],[tournament]],tournaments_n_rules[],4,0)</f>
        <v>45901</v>
      </c>
      <c r="O834" s="52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51" t="str">
        <f>VLOOKUP(_stats[[#This Row],[tournament]],tournaments_n_rules[],2,0)</f>
        <v>УПК</v>
      </c>
      <c r="M835" s="51" t="str">
        <f>VLOOKUP(_stats[[#This Row],[tournament]],tournaments_n_rules[],3,0)</f>
        <v>Осень 2025</v>
      </c>
      <c r="N835" s="52">
        <f>VLOOKUP(_stats[[#This Row],[tournament]],tournaments_n_rules[],4,0)</f>
        <v>45901</v>
      </c>
      <c r="O835" s="52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51" t="str">
        <f>VLOOKUP(_stats[[#This Row],[tournament]],tournaments_n_rules[],2,0)</f>
        <v>УПК</v>
      </c>
      <c r="M836" s="51" t="str">
        <f>VLOOKUP(_stats[[#This Row],[tournament]],tournaments_n_rules[],3,0)</f>
        <v>Осень 2025</v>
      </c>
      <c r="N836" s="52">
        <f>VLOOKUP(_stats[[#This Row],[tournament]],tournaments_n_rules[],4,0)</f>
        <v>45901</v>
      </c>
      <c r="O836" s="52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51" t="str">
        <f>VLOOKUP(_stats[[#This Row],[tournament]],tournaments_n_rules[],2,0)</f>
        <v>УПК</v>
      </c>
      <c r="M837" s="51" t="str">
        <f>VLOOKUP(_stats[[#This Row],[tournament]],tournaments_n_rules[],3,0)</f>
        <v>Осень 2025</v>
      </c>
      <c r="N837" s="52">
        <f>VLOOKUP(_stats[[#This Row],[tournament]],tournaments_n_rules[],4,0)</f>
        <v>45901</v>
      </c>
      <c r="O837" s="52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51" t="str">
        <f>VLOOKUP(_stats[[#This Row],[tournament]],tournaments_n_rules[],2,0)</f>
        <v>УПК</v>
      </c>
      <c r="M838" s="51" t="str">
        <f>VLOOKUP(_stats[[#This Row],[tournament]],tournaments_n_rules[],3,0)</f>
        <v>Осень 2025</v>
      </c>
      <c r="N838" s="52">
        <f>VLOOKUP(_stats[[#This Row],[tournament]],tournaments_n_rules[],4,0)</f>
        <v>45901</v>
      </c>
      <c r="O838" s="52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51" t="str">
        <f>VLOOKUP(_stats[[#This Row],[tournament]],tournaments_n_rules[],2,0)</f>
        <v>УПК</v>
      </c>
      <c r="M839" s="51" t="str">
        <f>VLOOKUP(_stats[[#This Row],[tournament]],tournaments_n_rules[],3,0)</f>
        <v>Осень 2025</v>
      </c>
      <c r="N839" s="52">
        <f>VLOOKUP(_stats[[#This Row],[tournament]],tournaments_n_rules[],4,0)</f>
        <v>45901</v>
      </c>
      <c r="O839" s="52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51" t="str">
        <f>VLOOKUP(_stats[[#This Row],[tournament]],tournaments_n_rules[],2,0)</f>
        <v>УПК</v>
      </c>
      <c r="M840" s="51" t="str">
        <f>VLOOKUP(_stats[[#This Row],[tournament]],tournaments_n_rules[],3,0)</f>
        <v>Осень 2025</v>
      </c>
      <c r="N840" s="52">
        <f>VLOOKUP(_stats[[#This Row],[tournament]],tournaments_n_rules[],4,0)</f>
        <v>45901</v>
      </c>
      <c r="O840" s="52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51" t="str">
        <f>VLOOKUP(_stats[[#This Row],[tournament]],tournaments_n_rules[],2,0)</f>
        <v>УПК</v>
      </c>
      <c r="M841" s="51" t="str">
        <f>VLOOKUP(_stats[[#This Row],[tournament]],tournaments_n_rules[],3,0)</f>
        <v>Осень 2025</v>
      </c>
      <c r="N841" s="52">
        <f>VLOOKUP(_stats[[#This Row],[tournament]],tournaments_n_rules[],4,0)</f>
        <v>45901</v>
      </c>
      <c r="O841" s="52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51" t="str">
        <f>VLOOKUP(_stats[[#This Row],[tournament]],tournaments_n_rules[],2,0)</f>
        <v>УПК</v>
      </c>
      <c r="M842" s="51" t="str">
        <f>VLOOKUP(_stats[[#This Row],[tournament]],tournaments_n_rules[],3,0)</f>
        <v>Осень 2025</v>
      </c>
      <c r="N842" s="52">
        <f>VLOOKUP(_stats[[#This Row],[tournament]],tournaments_n_rules[],4,0)</f>
        <v>45901</v>
      </c>
      <c r="O842" s="52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51" t="str">
        <f>VLOOKUP(_stats[[#This Row],[tournament]],tournaments_n_rules[],2,0)</f>
        <v>УПК</v>
      </c>
      <c r="M843" s="51" t="str">
        <f>VLOOKUP(_stats[[#This Row],[tournament]],tournaments_n_rules[],3,0)</f>
        <v>Осень 2025</v>
      </c>
      <c r="N843" s="52">
        <f>VLOOKUP(_stats[[#This Row],[tournament]],tournaments_n_rules[],4,0)</f>
        <v>45901</v>
      </c>
      <c r="O843" s="52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51" t="str">
        <f>VLOOKUP(_stats[[#This Row],[tournament]],tournaments_n_rules[],2,0)</f>
        <v>УПК</v>
      </c>
      <c r="M844" s="51" t="str">
        <f>VLOOKUP(_stats[[#This Row],[tournament]],tournaments_n_rules[],3,0)</f>
        <v>Осень 2025</v>
      </c>
      <c r="N844" s="52">
        <f>VLOOKUP(_stats[[#This Row],[tournament]],tournaments_n_rules[],4,0)</f>
        <v>45901</v>
      </c>
      <c r="O844" s="52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51" t="str">
        <f>VLOOKUP(_stats[[#This Row],[tournament]],tournaments_n_rules[],2,0)</f>
        <v>УПК</v>
      </c>
      <c r="M845" s="51" t="str">
        <f>VLOOKUP(_stats[[#This Row],[tournament]],tournaments_n_rules[],3,0)</f>
        <v>Осень 2025</v>
      </c>
      <c r="N845" s="52">
        <f>VLOOKUP(_stats[[#This Row],[tournament]],tournaments_n_rules[],4,0)</f>
        <v>45901</v>
      </c>
      <c r="O845" s="52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51" t="str">
        <f>VLOOKUP(_stats[[#This Row],[tournament]],tournaments_n_rules[],2,0)</f>
        <v>УПК</v>
      </c>
      <c r="M846" s="51" t="str">
        <f>VLOOKUP(_stats[[#This Row],[tournament]],tournaments_n_rules[],3,0)</f>
        <v>Осень 2025</v>
      </c>
      <c r="N846" s="52">
        <f>VLOOKUP(_stats[[#This Row],[tournament]],tournaments_n_rules[],4,0)</f>
        <v>45901</v>
      </c>
      <c r="O846" s="52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51" t="str">
        <f>VLOOKUP(_stats[[#This Row],[tournament]],tournaments_n_rules[],2,0)</f>
        <v>УПК</v>
      </c>
      <c r="M847" s="51" t="str">
        <f>VLOOKUP(_stats[[#This Row],[tournament]],tournaments_n_rules[],3,0)</f>
        <v>Осень 2025</v>
      </c>
      <c r="N847" s="52">
        <f>VLOOKUP(_stats[[#This Row],[tournament]],tournaments_n_rules[],4,0)</f>
        <v>45901</v>
      </c>
      <c r="O847" s="52">
        <f>VLOOKUP(_stats[[#This Row],[tournament]],tournaments_n_rules[],5,0)</f>
        <v>45991</v>
      </c>
    </row>
    <row r="848" spans="1:15" x14ac:dyDescent="0.25">
      <c r="A848" s="23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51" t="str">
        <f>VLOOKUP(_stats[[#This Row],[tournament]],tournaments_n_rules[],2,0)</f>
        <v>УПК</v>
      </c>
      <c r="M848" s="51" t="str">
        <f>VLOOKUP(_stats[[#This Row],[tournament]],tournaments_n_rules[],3,0)</f>
        <v>Осень 2025</v>
      </c>
      <c r="N848" s="52">
        <f>VLOOKUP(_stats[[#This Row],[tournament]],tournaments_n_rules[],4,0)</f>
        <v>45901</v>
      </c>
      <c r="O848" s="52">
        <f>VLOOKUP(_stats[[#This Row],[tournament]],tournaments_n_rules[],5,0)</f>
        <v>45991</v>
      </c>
    </row>
    <row r="849" spans="1:15" x14ac:dyDescent="0.25">
      <c r="A849" s="23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51" t="str">
        <f>VLOOKUP(_stats[[#This Row],[tournament]],tournaments_n_rules[],2,0)</f>
        <v>УПК</v>
      </c>
      <c r="M849" s="51" t="str">
        <f>VLOOKUP(_stats[[#This Row],[tournament]],tournaments_n_rules[],3,0)</f>
        <v>Осень 2025</v>
      </c>
      <c r="N849" s="52">
        <f>VLOOKUP(_stats[[#This Row],[tournament]],tournaments_n_rules[],4,0)</f>
        <v>45901</v>
      </c>
      <c r="O849" s="52">
        <f>VLOOKUP(_stats[[#This Row],[tournament]],tournaments_n_rules[],5,0)</f>
        <v>45991</v>
      </c>
    </row>
    <row r="850" spans="1:15" x14ac:dyDescent="0.25">
      <c r="A850" s="23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51" t="str">
        <f>VLOOKUP(_stats[[#This Row],[tournament]],tournaments_n_rules[],2,0)</f>
        <v>УПК</v>
      </c>
      <c r="M850" s="51" t="str">
        <f>VLOOKUP(_stats[[#This Row],[tournament]],tournaments_n_rules[],3,0)</f>
        <v>Осень 2025</v>
      </c>
      <c r="N850" s="52">
        <f>VLOOKUP(_stats[[#This Row],[tournament]],tournaments_n_rules[],4,0)</f>
        <v>45901</v>
      </c>
      <c r="O850" s="52">
        <f>VLOOKUP(_stats[[#This Row],[tournament]],tournaments_n_rules[],5,0)</f>
        <v>45991</v>
      </c>
    </row>
    <row r="851" spans="1:15" x14ac:dyDescent="0.25">
      <c r="A851" s="23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51" t="str">
        <f>VLOOKUP(_stats[[#This Row],[tournament]],tournaments_n_rules[],2,0)</f>
        <v>УПК</v>
      </c>
      <c r="M851" s="51" t="str">
        <f>VLOOKUP(_stats[[#This Row],[tournament]],tournaments_n_rules[],3,0)</f>
        <v>Осень 2025</v>
      </c>
      <c r="N851" s="52">
        <f>VLOOKUP(_stats[[#This Row],[tournament]],tournaments_n_rules[],4,0)</f>
        <v>45901</v>
      </c>
      <c r="O851" s="52">
        <f>VLOOKUP(_stats[[#This Row],[tournament]],tournaments_n_rules[],5,0)</f>
        <v>45991</v>
      </c>
    </row>
    <row r="852" spans="1:15" x14ac:dyDescent="0.25">
      <c r="A852" s="23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51" t="str">
        <f>VLOOKUP(_stats[[#This Row],[tournament]],tournaments_n_rules[],2,0)</f>
        <v>УПК</v>
      </c>
      <c r="M852" s="51" t="str">
        <f>VLOOKUP(_stats[[#This Row],[tournament]],tournaments_n_rules[],3,0)</f>
        <v>Осень 2025</v>
      </c>
      <c r="N852" s="52">
        <f>VLOOKUP(_stats[[#This Row],[tournament]],tournaments_n_rules[],4,0)</f>
        <v>45901</v>
      </c>
      <c r="O852" s="52">
        <f>VLOOKUP(_stats[[#This Row],[tournament]],tournaments_n_rules[],5,0)</f>
        <v>45991</v>
      </c>
    </row>
    <row r="853" spans="1:15" x14ac:dyDescent="0.25">
      <c r="A853" s="23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51" t="str">
        <f>VLOOKUP(_stats[[#This Row],[tournament]],tournaments_n_rules[],2,0)</f>
        <v>УПК</v>
      </c>
      <c r="M853" s="51" t="str">
        <f>VLOOKUP(_stats[[#This Row],[tournament]],tournaments_n_rules[],3,0)</f>
        <v>Осень 2025</v>
      </c>
      <c r="N853" s="52">
        <f>VLOOKUP(_stats[[#This Row],[tournament]],tournaments_n_rules[],4,0)</f>
        <v>45901</v>
      </c>
      <c r="O853" s="52">
        <f>VLOOKUP(_stats[[#This Row],[tournament]],tournaments_n_rules[],5,0)</f>
        <v>45991</v>
      </c>
    </row>
    <row r="854" spans="1:15" x14ac:dyDescent="0.25">
      <c r="A854" s="23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51" t="str">
        <f>VLOOKUP(_stats[[#This Row],[tournament]],tournaments_n_rules[],2,0)</f>
        <v>УПК</v>
      </c>
      <c r="M854" s="51" t="str">
        <f>VLOOKUP(_stats[[#This Row],[tournament]],tournaments_n_rules[],3,0)</f>
        <v>Осень 2025</v>
      </c>
      <c r="N854" s="52">
        <f>VLOOKUP(_stats[[#This Row],[tournament]],tournaments_n_rules[],4,0)</f>
        <v>45901</v>
      </c>
      <c r="O854" s="52">
        <f>VLOOKUP(_stats[[#This Row],[tournament]],tournaments_n_rules[],5,0)</f>
        <v>45991</v>
      </c>
    </row>
    <row r="855" spans="1:15" x14ac:dyDescent="0.25">
      <c r="A855" s="23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51" t="str">
        <f>VLOOKUP(_stats[[#This Row],[tournament]],tournaments_n_rules[],2,0)</f>
        <v>УПК</v>
      </c>
      <c r="M855" s="51" t="str">
        <f>VLOOKUP(_stats[[#This Row],[tournament]],tournaments_n_rules[],3,0)</f>
        <v>Осень 2025</v>
      </c>
      <c r="N855" s="52">
        <f>VLOOKUP(_stats[[#This Row],[tournament]],tournaments_n_rules[],4,0)</f>
        <v>45901</v>
      </c>
      <c r="O855" s="52">
        <f>VLOOKUP(_stats[[#This Row],[tournament]],tournaments_n_rules[],5,0)</f>
        <v>45991</v>
      </c>
    </row>
    <row r="856" spans="1:15" x14ac:dyDescent="0.25">
      <c r="A856" s="23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51" t="str">
        <f>VLOOKUP(_stats[[#This Row],[tournament]],tournaments_n_rules[],2,0)</f>
        <v>УПК</v>
      </c>
      <c r="M856" s="51" t="str">
        <f>VLOOKUP(_stats[[#This Row],[tournament]],tournaments_n_rules[],3,0)</f>
        <v>Осень 2025</v>
      </c>
      <c r="N856" s="52">
        <f>VLOOKUP(_stats[[#This Row],[tournament]],tournaments_n_rules[],4,0)</f>
        <v>45901</v>
      </c>
      <c r="O856" s="52">
        <f>VLOOKUP(_stats[[#This Row],[tournament]],tournaments_n_rules[],5,0)</f>
        <v>45991</v>
      </c>
    </row>
    <row r="857" spans="1:15" x14ac:dyDescent="0.25">
      <c r="A857" s="23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51" t="str">
        <f>VLOOKUP(_stats[[#This Row],[tournament]],tournaments_n_rules[],2,0)</f>
        <v>УПК</v>
      </c>
      <c r="M857" s="51" t="str">
        <f>VLOOKUP(_stats[[#This Row],[tournament]],tournaments_n_rules[],3,0)</f>
        <v>Осень 2025</v>
      </c>
      <c r="N857" s="52">
        <f>VLOOKUP(_stats[[#This Row],[tournament]],tournaments_n_rules[],4,0)</f>
        <v>45901</v>
      </c>
      <c r="O857" s="52">
        <f>VLOOKUP(_stats[[#This Row],[tournament]],tournaments_n_rules[],5,0)</f>
        <v>45991</v>
      </c>
    </row>
    <row r="858" spans="1:15" x14ac:dyDescent="0.25">
      <c r="A858" s="23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51" t="str">
        <f>VLOOKUP(_stats[[#This Row],[tournament]],tournaments_n_rules[],2,0)</f>
        <v>УПК</v>
      </c>
      <c r="M858" s="51" t="str">
        <f>VLOOKUP(_stats[[#This Row],[tournament]],tournaments_n_rules[],3,0)</f>
        <v>Осень 2025</v>
      </c>
      <c r="N858" s="52">
        <f>VLOOKUP(_stats[[#This Row],[tournament]],tournaments_n_rules[],4,0)</f>
        <v>45901</v>
      </c>
      <c r="O858" s="52">
        <f>VLOOKUP(_stats[[#This Row],[tournament]],tournaments_n_rules[],5,0)</f>
        <v>45991</v>
      </c>
    </row>
    <row r="859" spans="1:15" x14ac:dyDescent="0.25">
      <c r="A859" s="23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51" t="str">
        <f>VLOOKUP(_stats[[#This Row],[tournament]],tournaments_n_rules[],2,0)</f>
        <v>УПК</v>
      </c>
      <c r="M859" s="51" t="str">
        <f>VLOOKUP(_stats[[#This Row],[tournament]],tournaments_n_rules[],3,0)</f>
        <v>Осень 2025</v>
      </c>
      <c r="N859" s="52">
        <f>VLOOKUP(_stats[[#This Row],[tournament]],tournaments_n_rules[],4,0)</f>
        <v>45901</v>
      </c>
      <c r="O859" s="52">
        <f>VLOOKUP(_stats[[#This Row],[tournament]],tournaments_n_rules[],5,0)</f>
        <v>45991</v>
      </c>
    </row>
    <row r="860" spans="1:15" x14ac:dyDescent="0.25">
      <c r="A860" s="23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51" t="str">
        <f>VLOOKUP(_stats[[#This Row],[tournament]],tournaments_n_rules[],2,0)</f>
        <v>УПК</v>
      </c>
      <c r="M860" s="51" t="str">
        <f>VLOOKUP(_stats[[#This Row],[tournament]],tournaments_n_rules[],3,0)</f>
        <v>Осень 2025</v>
      </c>
      <c r="N860" s="52">
        <f>VLOOKUP(_stats[[#This Row],[tournament]],tournaments_n_rules[],4,0)</f>
        <v>45901</v>
      </c>
      <c r="O860" s="52">
        <f>VLOOKUP(_stats[[#This Row],[tournament]],tournaments_n_rules[],5,0)</f>
        <v>45991</v>
      </c>
    </row>
    <row r="861" spans="1:15" x14ac:dyDescent="0.25">
      <c r="A861" s="23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51" t="str">
        <f>VLOOKUP(_stats[[#This Row],[tournament]],tournaments_n_rules[],2,0)</f>
        <v>УПК</v>
      </c>
      <c r="M861" s="51" t="str">
        <f>VLOOKUP(_stats[[#This Row],[tournament]],tournaments_n_rules[],3,0)</f>
        <v>Осень 2025</v>
      </c>
      <c r="N861" s="52">
        <f>VLOOKUP(_stats[[#This Row],[tournament]],tournaments_n_rules[],4,0)</f>
        <v>45901</v>
      </c>
      <c r="O861" s="52">
        <f>VLOOKUP(_stats[[#This Row],[tournament]],tournaments_n_rules[],5,0)</f>
        <v>45991</v>
      </c>
    </row>
    <row r="862" spans="1:15" x14ac:dyDescent="0.25">
      <c r="A862" s="23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51" t="str">
        <f>VLOOKUP(_stats[[#This Row],[tournament]],tournaments_n_rules[],2,0)</f>
        <v>УПК</v>
      </c>
      <c r="M862" s="51" t="str">
        <f>VLOOKUP(_stats[[#This Row],[tournament]],tournaments_n_rules[],3,0)</f>
        <v>Осень 2025</v>
      </c>
      <c r="N862" s="52">
        <f>VLOOKUP(_stats[[#This Row],[tournament]],tournaments_n_rules[],4,0)</f>
        <v>45901</v>
      </c>
      <c r="O862" s="52">
        <f>VLOOKUP(_stats[[#This Row],[tournament]],tournaments_n_rules[],5,0)</f>
        <v>45991</v>
      </c>
    </row>
    <row r="863" spans="1:15" x14ac:dyDescent="0.25">
      <c r="A863" s="23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51" t="str">
        <f>VLOOKUP(_stats[[#This Row],[tournament]],tournaments_n_rules[],2,0)</f>
        <v>УПК</v>
      </c>
      <c r="M863" s="51" t="str">
        <f>VLOOKUP(_stats[[#This Row],[tournament]],tournaments_n_rules[],3,0)</f>
        <v>Осень 2025</v>
      </c>
      <c r="N863" s="52">
        <f>VLOOKUP(_stats[[#This Row],[tournament]],tournaments_n_rules[],4,0)</f>
        <v>45901</v>
      </c>
      <c r="O863" s="52">
        <f>VLOOKUP(_stats[[#This Row],[tournament]],tournaments_n_rules[],5,0)</f>
        <v>45991</v>
      </c>
    </row>
    <row r="864" spans="1:15" x14ac:dyDescent="0.25">
      <c r="A864" s="23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51" t="str">
        <f>VLOOKUP(_stats[[#This Row],[tournament]],tournaments_n_rules[],2,0)</f>
        <v>УПК</v>
      </c>
      <c r="M864" s="51" t="str">
        <f>VLOOKUP(_stats[[#This Row],[tournament]],tournaments_n_rules[],3,0)</f>
        <v>Осень 2025</v>
      </c>
      <c r="N864" s="52">
        <f>VLOOKUP(_stats[[#This Row],[tournament]],tournaments_n_rules[],4,0)</f>
        <v>45901</v>
      </c>
      <c r="O864" s="52">
        <f>VLOOKUP(_stats[[#This Row],[tournament]],tournaments_n_rules[],5,0)</f>
        <v>45991</v>
      </c>
    </row>
    <row r="865" spans="1:15" x14ac:dyDescent="0.25">
      <c r="A865" s="23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51" t="str">
        <f>VLOOKUP(_stats[[#This Row],[tournament]],tournaments_n_rules[],2,0)</f>
        <v>УПК</v>
      </c>
      <c r="M865" s="51" t="str">
        <f>VLOOKUP(_stats[[#This Row],[tournament]],tournaments_n_rules[],3,0)</f>
        <v>Осень 2025</v>
      </c>
      <c r="N865" s="52">
        <f>VLOOKUP(_stats[[#This Row],[tournament]],tournaments_n_rules[],4,0)</f>
        <v>45901</v>
      </c>
      <c r="O865" s="52">
        <f>VLOOKUP(_stats[[#This Row],[tournament]],tournaments_n_rules[],5,0)</f>
        <v>45991</v>
      </c>
    </row>
    <row r="866" spans="1:15" x14ac:dyDescent="0.25">
      <c r="A866" s="23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51" t="str">
        <f>VLOOKUP(_stats[[#This Row],[tournament]],tournaments_n_rules[],2,0)</f>
        <v>УПК</v>
      </c>
      <c r="M866" s="51" t="str">
        <f>VLOOKUP(_stats[[#This Row],[tournament]],tournaments_n_rules[],3,0)</f>
        <v>Осень 2025</v>
      </c>
      <c r="N866" s="52">
        <f>VLOOKUP(_stats[[#This Row],[tournament]],tournaments_n_rules[],4,0)</f>
        <v>45901</v>
      </c>
      <c r="O866" s="52">
        <f>VLOOKUP(_stats[[#This Row],[tournament]],tournaments_n_rules[],5,0)</f>
        <v>45991</v>
      </c>
    </row>
    <row r="867" spans="1:15" x14ac:dyDescent="0.25">
      <c r="A867" s="23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51" t="str">
        <f>VLOOKUP(_stats[[#This Row],[tournament]],tournaments_n_rules[],2,0)</f>
        <v>УПК</v>
      </c>
      <c r="M867" s="51" t="str">
        <f>VLOOKUP(_stats[[#This Row],[tournament]],tournaments_n_rules[],3,0)</f>
        <v>Зима 2025-26</v>
      </c>
      <c r="N867" s="52">
        <f>VLOOKUP(_stats[[#This Row],[tournament]],tournaments_n_rules[],4,0)</f>
        <v>45992</v>
      </c>
      <c r="O867" s="52">
        <f>VLOOKUP(_stats[[#This Row],[tournament]],tournaments_n_rules[],5,0)</f>
        <v>46081</v>
      </c>
    </row>
    <row r="868" spans="1:15" x14ac:dyDescent="0.25">
      <c r="A868" s="23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51" t="str">
        <f>VLOOKUP(_stats[[#This Row],[tournament]],tournaments_n_rules[],2,0)</f>
        <v>УПК</v>
      </c>
      <c r="M868" s="51" t="str">
        <f>VLOOKUP(_stats[[#This Row],[tournament]],tournaments_n_rules[],3,0)</f>
        <v>Зима 2025-26</v>
      </c>
      <c r="N868" s="52">
        <f>VLOOKUP(_stats[[#This Row],[tournament]],tournaments_n_rules[],4,0)</f>
        <v>45992</v>
      </c>
      <c r="O868" s="52">
        <f>VLOOKUP(_stats[[#This Row],[tournament]],tournaments_n_rules[],5,0)</f>
        <v>46081</v>
      </c>
    </row>
    <row r="869" spans="1:15" x14ac:dyDescent="0.25">
      <c r="A869" s="23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51" t="str">
        <f>VLOOKUP(_stats[[#This Row],[tournament]],tournaments_n_rules[],2,0)</f>
        <v>УПК</v>
      </c>
      <c r="M869" s="51" t="str">
        <f>VLOOKUP(_stats[[#This Row],[tournament]],tournaments_n_rules[],3,0)</f>
        <v>Зима 2025-26</v>
      </c>
      <c r="N869" s="52">
        <f>VLOOKUP(_stats[[#This Row],[tournament]],tournaments_n_rules[],4,0)</f>
        <v>45992</v>
      </c>
      <c r="O869" s="52">
        <f>VLOOKUP(_stats[[#This Row],[tournament]],tournaments_n_rules[],5,0)</f>
        <v>46081</v>
      </c>
    </row>
    <row r="870" spans="1:15" x14ac:dyDescent="0.25">
      <c r="A870" s="23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51" t="str">
        <f>VLOOKUP(_stats[[#This Row],[tournament]],tournaments_n_rules[],2,0)</f>
        <v>УПК</v>
      </c>
      <c r="M870" s="51" t="str">
        <f>VLOOKUP(_stats[[#This Row],[tournament]],tournaments_n_rules[],3,0)</f>
        <v>Зима 2025-26</v>
      </c>
      <c r="N870" s="52">
        <f>VLOOKUP(_stats[[#This Row],[tournament]],tournaments_n_rules[],4,0)</f>
        <v>45992</v>
      </c>
      <c r="O870" s="52">
        <f>VLOOKUP(_stats[[#This Row],[tournament]],tournaments_n_rules[],5,0)</f>
        <v>46081</v>
      </c>
    </row>
    <row r="871" spans="1:15" x14ac:dyDescent="0.25">
      <c r="A871" s="23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51" t="str">
        <f>VLOOKUP(_stats[[#This Row],[tournament]],tournaments_n_rules[],2,0)</f>
        <v>УПК</v>
      </c>
      <c r="M871" s="51" t="str">
        <f>VLOOKUP(_stats[[#This Row],[tournament]],tournaments_n_rules[],3,0)</f>
        <v>Зима 2025-26</v>
      </c>
      <c r="N871" s="52">
        <f>VLOOKUP(_stats[[#This Row],[tournament]],tournaments_n_rules[],4,0)</f>
        <v>45992</v>
      </c>
      <c r="O871" s="52">
        <f>VLOOKUP(_stats[[#This Row],[tournament]],tournaments_n_rules[],5,0)</f>
        <v>46081</v>
      </c>
    </row>
    <row r="872" spans="1:15" x14ac:dyDescent="0.25">
      <c r="A872" s="23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51" t="str">
        <f>VLOOKUP(_stats[[#This Row],[tournament]],tournaments_n_rules[],2,0)</f>
        <v>УПК</v>
      </c>
      <c r="M872" s="51" t="str">
        <f>VLOOKUP(_stats[[#This Row],[tournament]],tournaments_n_rules[],3,0)</f>
        <v>Зима 2025-26</v>
      </c>
      <c r="N872" s="52">
        <f>VLOOKUP(_stats[[#This Row],[tournament]],tournaments_n_rules[],4,0)</f>
        <v>45992</v>
      </c>
      <c r="O872" s="52">
        <f>VLOOKUP(_stats[[#This Row],[tournament]],tournaments_n_rules[],5,0)</f>
        <v>46081</v>
      </c>
    </row>
    <row r="873" spans="1:15" x14ac:dyDescent="0.25">
      <c r="A873" s="23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51" t="str">
        <f>VLOOKUP(_stats[[#This Row],[tournament]],tournaments_n_rules[],2,0)</f>
        <v>УПК</v>
      </c>
      <c r="M873" s="51" t="str">
        <f>VLOOKUP(_stats[[#This Row],[tournament]],tournaments_n_rules[],3,0)</f>
        <v>Зима 2025-26</v>
      </c>
      <c r="N873" s="52">
        <f>VLOOKUP(_stats[[#This Row],[tournament]],tournaments_n_rules[],4,0)</f>
        <v>45992</v>
      </c>
      <c r="O873" s="52">
        <f>VLOOKUP(_stats[[#This Row],[tournament]],tournaments_n_rules[],5,0)</f>
        <v>46081</v>
      </c>
    </row>
    <row r="874" spans="1:15" x14ac:dyDescent="0.25">
      <c r="A874" s="23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51" t="str">
        <f>VLOOKUP(_stats[[#This Row],[tournament]],tournaments_n_rules[],2,0)</f>
        <v>УПК</v>
      </c>
      <c r="M874" s="51" t="str">
        <f>VLOOKUP(_stats[[#This Row],[tournament]],tournaments_n_rules[],3,0)</f>
        <v>Зима 2025-26</v>
      </c>
      <c r="N874" s="52">
        <f>VLOOKUP(_stats[[#This Row],[tournament]],tournaments_n_rules[],4,0)</f>
        <v>45992</v>
      </c>
      <c r="O874" s="52">
        <f>VLOOKUP(_stats[[#This Row],[tournament]],tournaments_n_rules[],5,0)</f>
        <v>46081</v>
      </c>
    </row>
    <row r="875" spans="1:15" x14ac:dyDescent="0.25">
      <c r="A875" s="23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51" t="str">
        <f>VLOOKUP(_stats[[#This Row],[tournament]],tournaments_n_rules[],2,0)</f>
        <v>УПК</v>
      </c>
      <c r="M875" s="51" t="str">
        <f>VLOOKUP(_stats[[#This Row],[tournament]],tournaments_n_rules[],3,0)</f>
        <v>Зима 2025-26</v>
      </c>
      <c r="N875" s="52">
        <f>VLOOKUP(_stats[[#This Row],[tournament]],tournaments_n_rules[],4,0)</f>
        <v>45992</v>
      </c>
      <c r="O875" s="52">
        <f>VLOOKUP(_stats[[#This Row],[tournament]],tournaments_n_rules[],5,0)</f>
        <v>46081</v>
      </c>
    </row>
    <row r="876" spans="1:15" x14ac:dyDescent="0.25">
      <c r="A876" s="23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51" t="str">
        <f>VLOOKUP(_stats[[#This Row],[tournament]],tournaments_n_rules[],2,0)</f>
        <v>УПК</v>
      </c>
      <c r="M876" s="51" t="str">
        <f>VLOOKUP(_stats[[#This Row],[tournament]],tournaments_n_rules[],3,0)</f>
        <v>Зима 2025-26</v>
      </c>
      <c r="N876" s="52">
        <f>VLOOKUP(_stats[[#This Row],[tournament]],tournaments_n_rules[],4,0)</f>
        <v>45992</v>
      </c>
      <c r="O876" s="52">
        <f>VLOOKUP(_stats[[#This Row],[tournament]],tournaments_n_rules[],5,0)</f>
        <v>46081</v>
      </c>
    </row>
    <row r="877" spans="1:15" x14ac:dyDescent="0.25">
      <c r="A877" s="23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51" t="str">
        <f>VLOOKUP(_stats[[#This Row],[tournament]],tournaments_n_rules[],2,0)</f>
        <v>УПК</v>
      </c>
      <c r="M877" s="51" t="str">
        <f>VLOOKUP(_stats[[#This Row],[tournament]],tournaments_n_rules[],3,0)</f>
        <v>Зима 2025-26</v>
      </c>
      <c r="N877" s="52">
        <f>VLOOKUP(_stats[[#This Row],[tournament]],tournaments_n_rules[],4,0)</f>
        <v>45992</v>
      </c>
      <c r="O877" s="52">
        <f>VLOOKUP(_stats[[#This Row],[tournament]],tournaments_n_rules[],5,0)</f>
        <v>46081</v>
      </c>
    </row>
    <row r="878" spans="1:15" x14ac:dyDescent="0.25">
      <c r="A878" s="23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51" t="str">
        <f>VLOOKUP(_stats[[#This Row],[tournament]],tournaments_n_rules[],2,0)</f>
        <v>УПК</v>
      </c>
      <c r="M878" s="51" t="str">
        <f>VLOOKUP(_stats[[#This Row],[tournament]],tournaments_n_rules[],3,0)</f>
        <v>Зима 2025-26</v>
      </c>
      <c r="N878" s="52">
        <f>VLOOKUP(_stats[[#This Row],[tournament]],tournaments_n_rules[],4,0)</f>
        <v>45992</v>
      </c>
      <c r="O878" s="52">
        <f>VLOOKUP(_stats[[#This Row],[tournament]],tournaments_n_rules[],5,0)</f>
        <v>46081</v>
      </c>
    </row>
    <row r="879" spans="1:15" x14ac:dyDescent="0.25">
      <c r="A879" s="23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51" t="str">
        <f>VLOOKUP(_stats[[#This Row],[tournament]],tournaments_n_rules[],2,0)</f>
        <v>УПК</v>
      </c>
      <c r="M879" s="51" t="str">
        <f>VLOOKUP(_stats[[#This Row],[tournament]],tournaments_n_rules[],3,0)</f>
        <v>Зима 2025-26</v>
      </c>
      <c r="N879" s="52">
        <f>VLOOKUP(_stats[[#This Row],[tournament]],tournaments_n_rules[],4,0)</f>
        <v>45992</v>
      </c>
      <c r="O879" s="52">
        <f>VLOOKUP(_stats[[#This Row],[tournament]],tournaments_n_rules[],5,0)</f>
        <v>46081</v>
      </c>
    </row>
    <row r="880" spans="1:15" x14ac:dyDescent="0.25">
      <c r="A880" s="23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51" t="str">
        <f>VLOOKUP(_stats[[#This Row],[tournament]],tournaments_n_rules[],2,0)</f>
        <v>УПК</v>
      </c>
      <c r="M880" s="51" t="str">
        <f>VLOOKUP(_stats[[#This Row],[tournament]],tournaments_n_rules[],3,0)</f>
        <v>Зима 2025-26</v>
      </c>
      <c r="N880" s="52">
        <f>VLOOKUP(_stats[[#This Row],[tournament]],tournaments_n_rules[],4,0)</f>
        <v>45992</v>
      </c>
      <c r="O880" s="52">
        <f>VLOOKUP(_stats[[#This Row],[tournament]],tournaments_n_rules[],5,0)</f>
        <v>46081</v>
      </c>
    </row>
    <row r="881" spans="1:15" x14ac:dyDescent="0.25">
      <c r="A881" s="23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51" t="str">
        <f>VLOOKUP(_stats[[#This Row],[tournament]],tournaments_n_rules[],2,0)</f>
        <v>УПК</v>
      </c>
      <c r="M881" s="51" t="str">
        <f>VLOOKUP(_stats[[#This Row],[tournament]],tournaments_n_rules[],3,0)</f>
        <v>Зима 2025-26</v>
      </c>
      <c r="N881" s="52">
        <f>VLOOKUP(_stats[[#This Row],[tournament]],tournaments_n_rules[],4,0)</f>
        <v>45992</v>
      </c>
      <c r="O881" s="52">
        <f>VLOOKUP(_stats[[#This Row],[tournament]],tournaments_n_rules[],5,0)</f>
        <v>46081</v>
      </c>
    </row>
    <row r="882" spans="1:15" x14ac:dyDescent="0.25">
      <c r="A882" s="23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51" t="str">
        <f>VLOOKUP(_stats[[#This Row],[tournament]],tournaments_n_rules[],2,0)</f>
        <v>УПК</v>
      </c>
      <c r="M882" s="51" t="str">
        <f>VLOOKUP(_stats[[#This Row],[tournament]],tournaments_n_rules[],3,0)</f>
        <v>Зима 2025-26</v>
      </c>
      <c r="N882" s="52">
        <f>VLOOKUP(_stats[[#This Row],[tournament]],tournaments_n_rules[],4,0)</f>
        <v>45992</v>
      </c>
      <c r="O882" s="52">
        <f>VLOOKUP(_stats[[#This Row],[tournament]],tournaments_n_rules[],5,0)</f>
        <v>46081</v>
      </c>
    </row>
    <row r="883" spans="1:15" x14ac:dyDescent="0.25">
      <c r="A883" s="23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51" t="str">
        <f>VLOOKUP(_stats[[#This Row],[tournament]],tournaments_n_rules[],2,0)</f>
        <v>УПК</v>
      </c>
      <c r="M883" s="51" t="str">
        <f>VLOOKUP(_stats[[#This Row],[tournament]],tournaments_n_rules[],3,0)</f>
        <v>Зима 2025-26</v>
      </c>
      <c r="N883" s="52">
        <f>VLOOKUP(_stats[[#This Row],[tournament]],tournaments_n_rules[],4,0)</f>
        <v>45992</v>
      </c>
      <c r="O883" s="52">
        <f>VLOOKUP(_stats[[#This Row],[tournament]],tournaments_n_rules[],5,0)</f>
        <v>46081</v>
      </c>
    </row>
    <row r="884" spans="1:15" x14ac:dyDescent="0.25">
      <c r="A884" s="23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51" t="str">
        <f>VLOOKUP(_stats[[#This Row],[tournament]],tournaments_n_rules[],2,0)</f>
        <v>УПК</v>
      </c>
      <c r="M884" s="51" t="str">
        <f>VLOOKUP(_stats[[#This Row],[tournament]],tournaments_n_rules[],3,0)</f>
        <v>Зима 2025-26</v>
      </c>
      <c r="N884" s="52">
        <f>VLOOKUP(_stats[[#This Row],[tournament]],tournaments_n_rules[],4,0)</f>
        <v>45992</v>
      </c>
      <c r="O884" s="52">
        <f>VLOOKUP(_stats[[#This Row],[tournament]],tournaments_n_rules[],5,0)</f>
        <v>46081</v>
      </c>
    </row>
    <row r="885" spans="1:15" x14ac:dyDescent="0.25">
      <c r="A885" s="23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51" t="str">
        <f>VLOOKUP(_stats[[#This Row],[tournament]],tournaments_n_rules[],2,0)</f>
        <v>УПК</v>
      </c>
      <c r="M885" s="51" t="str">
        <f>VLOOKUP(_stats[[#This Row],[tournament]],tournaments_n_rules[],3,0)</f>
        <v>Зима 2025-26</v>
      </c>
      <c r="N885" s="52">
        <f>VLOOKUP(_stats[[#This Row],[tournament]],tournaments_n_rules[],4,0)</f>
        <v>45992</v>
      </c>
      <c r="O885" s="52">
        <f>VLOOKUP(_stats[[#This Row],[tournament]],tournaments_n_rules[],5,0)</f>
        <v>46081</v>
      </c>
    </row>
    <row r="886" spans="1:15" x14ac:dyDescent="0.25">
      <c r="A886" s="23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51" t="str">
        <f>VLOOKUP(_stats[[#This Row],[tournament]],tournaments_n_rules[],2,0)</f>
        <v>УПК</v>
      </c>
      <c r="M886" s="51" t="str">
        <f>VLOOKUP(_stats[[#This Row],[tournament]],tournaments_n_rules[],3,0)</f>
        <v>Зима 2025-26</v>
      </c>
      <c r="N886" s="52">
        <f>VLOOKUP(_stats[[#This Row],[tournament]],tournaments_n_rules[],4,0)</f>
        <v>45992</v>
      </c>
      <c r="O886" s="52">
        <f>VLOOKUP(_stats[[#This Row],[tournament]],tournaments_n_rules[],5,0)</f>
        <v>46081</v>
      </c>
    </row>
    <row r="887" spans="1:15" x14ac:dyDescent="0.25">
      <c r="A887" s="23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51" t="str">
        <f>VLOOKUP(_stats[[#This Row],[tournament]],tournaments_n_rules[],2,0)</f>
        <v>УПК</v>
      </c>
      <c r="M887" s="51" t="str">
        <f>VLOOKUP(_stats[[#This Row],[tournament]],tournaments_n_rules[],3,0)</f>
        <v>Зима 2025-26</v>
      </c>
      <c r="N887" s="52">
        <f>VLOOKUP(_stats[[#This Row],[tournament]],tournaments_n_rules[],4,0)</f>
        <v>45992</v>
      </c>
      <c r="O887" s="52">
        <f>VLOOKUP(_stats[[#This Row],[tournament]],tournaments_n_rules[],5,0)</f>
        <v>46081</v>
      </c>
    </row>
    <row r="888" spans="1:15" x14ac:dyDescent="0.25">
      <c r="A888" s="23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51" t="str">
        <f>VLOOKUP(_stats[[#This Row],[tournament]],tournaments_n_rules[],2,0)</f>
        <v>УПК</v>
      </c>
      <c r="M888" s="51" t="str">
        <f>VLOOKUP(_stats[[#This Row],[tournament]],tournaments_n_rules[],3,0)</f>
        <v>Зима 2025-26</v>
      </c>
      <c r="N888" s="52">
        <f>VLOOKUP(_stats[[#This Row],[tournament]],tournaments_n_rules[],4,0)</f>
        <v>45992</v>
      </c>
      <c r="O888" s="52">
        <f>VLOOKUP(_stats[[#This Row],[tournament]],tournaments_n_rules[],5,0)</f>
        <v>46081</v>
      </c>
    </row>
    <row r="889" spans="1:15" x14ac:dyDescent="0.25">
      <c r="A889" s="23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51" t="str">
        <f>VLOOKUP(_stats[[#This Row],[tournament]],tournaments_n_rules[],2,0)</f>
        <v>УПК</v>
      </c>
      <c r="M889" s="51" t="str">
        <f>VLOOKUP(_stats[[#This Row],[tournament]],tournaments_n_rules[],3,0)</f>
        <v>Зима 2025-26</v>
      </c>
      <c r="N889" s="52">
        <f>VLOOKUP(_stats[[#This Row],[tournament]],tournaments_n_rules[],4,0)</f>
        <v>45992</v>
      </c>
      <c r="O889" s="52">
        <f>VLOOKUP(_stats[[#This Row],[tournament]],tournaments_n_rules[],5,0)</f>
        <v>46081</v>
      </c>
    </row>
    <row r="890" spans="1:15" x14ac:dyDescent="0.25">
      <c r="A890" s="23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51" t="str">
        <f>VLOOKUP(_stats[[#This Row],[tournament]],tournaments_n_rules[],2,0)</f>
        <v>УПК</v>
      </c>
      <c r="M890" s="51" t="str">
        <f>VLOOKUP(_stats[[#This Row],[tournament]],tournaments_n_rules[],3,0)</f>
        <v>Зима 2025-26</v>
      </c>
      <c r="N890" s="52">
        <f>VLOOKUP(_stats[[#This Row],[tournament]],tournaments_n_rules[],4,0)</f>
        <v>45992</v>
      </c>
      <c r="O890" s="52">
        <f>VLOOKUP(_stats[[#This Row],[tournament]],tournaments_n_rules[],5,0)</f>
        <v>46081</v>
      </c>
    </row>
    <row r="891" spans="1:15" x14ac:dyDescent="0.25">
      <c r="A891" s="23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51" t="str">
        <f>VLOOKUP(_stats[[#This Row],[tournament]],tournaments_n_rules[],2,0)</f>
        <v>УПК</v>
      </c>
      <c r="M891" s="51" t="str">
        <f>VLOOKUP(_stats[[#This Row],[tournament]],tournaments_n_rules[],3,0)</f>
        <v>Зима 2025-26</v>
      </c>
      <c r="N891" s="52">
        <f>VLOOKUP(_stats[[#This Row],[tournament]],tournaments_n_rules[],4,0)</f>
        <v>45992</v>
      </c>
      <c r="O891" s="52">
        <f>VLOOKUP(_stats[[#This Row],[tournament]],tournaments_n_rules[],5,0)</f>
        <v>46081</v>
      </c>
    </row>
    <row r="892" spans="1:15" x14ac:dyDescent="0.25">
      <c r="A892" s="23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51" t="str">
        <f>VLOOKUP(_stats[[#This Row],[tournament]],tournaments_n_rules[],2,0)</f>
        <v>УПК</v>
      </c>
      <c r="M892" s="51" t="str">
        <f>VLOOKUP(_stats[[#This Row],[tournament]],tournaments_n_rules[],3,0)</f>
        <v>Зима 2025-26</v>
      </c>
      <c r="N892" s="52">
        <f>VLOOKUP(_stats[[#This Row],[tournament]],tournaments_n_rules[],4,0)</f>
        <v>45992</v>
      </c>
      <c r="O892" s="52">
        <f>VLOOKUP(_stats[[#This Row],[tournament]],tournaments_n_rules[],5,0)</f>
        <v>46081</v>
      </c>
    </row>
    <row r="893" spans="1:15" x14ac:dyDescent="0.25">
      <c r="A893" s="23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51" t="str">
        <f>VLOOKUP(_stats[[#This Row],[tournament]],tournaments_n_rules[],2,0)</f>
        <v>УПК</v>
      </c>
      <c r="M893" s="51" t="str">
        <f>VLOOKUP(_stats[[#This Row],[tournament]],tournaments_n_rules[],3,0)</f>
        <v>Зима 2025-26</v>
      </c>
      <c r="N893" s="52">
        <f>VLOOKUP(_stats[[#This Row],[tournament]],tournaments_n_rules[],4,0)</f>
        <v>45992</v>
      </c>
      <c r="O893" s="52">
        <f>VLOOKUP(_stats[[#This Row],[tournament]],tournaments_n_rules[],5,0)</f>
        <v>46081</v>
      </c>
    </row>
    <row r="894" spans="1:15" x14ac:dyDescent="0.25">
      <c r="A894" s="23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51" t="str">
        <f>VLOOKUP(_stats[[#This Row],[tournament]],tournaments_n_rules[],2,0)</f>
        <v>УПК</v>
      </c>
      <c r="M894" s="51" t="str">
        <f>VLOOKUP(_stats[[#This Row],[tournament]],tournaments_n_rules[],3,0)</f>
        <v>Зима 2025-26</v>
      </c>
      <c r="N894" s="52">
        <f>VLOOKUP(_stats[[#This Row],[tournament]],tournaments_n_rules[],4,0)</f>
        <v>45992</v>
      </c>
      <c r="O894" s="52">
        <f>VLOOKUP(_stats[[#This Row],[tournament]],tournaments_n_rules[],5,0)</f>
        <v>46081</v>
      </c>
    </row>
    <row r="895" spans="1:15" x14ac:dyDescent="0.25">
      <c r="A895" s="23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51" t="str">
        <f>VLOOKUP(_stats[[#This Row],[tournament]],tournaments_n_rules[],2,0)</f>
        <v>УПК</v>
      </c>
      <c r="M895" s="51" t="str">
        <f>VLOOKUP(_stats[[#This Row],[tournament]],tournaments_n_rules[],3,0)</f>
        <v>Зима 2025-26</v>
      </c>
      <c r="N895" s="52">
        <f>VLOOKUP(_stats[[#This Row],[tournament]],tournaments_n_rules[],4,0)</f>
        <v>45992</v>
      </c>
      <c r="O895" s="52">
        <f>VLOOKUP(_stats[[#This Row],[tournament]],tournaments_n_rules[],5,0)</f>
        <v>46081</v>
      </c>
    </row>
    <row r="896" spans="1:15" x14ac:dyDescent="0.25">
      <c r="A896" s="23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51" t="str">
        <f>VLOOKUP(_stats[[#This Row],[tournament]],tournaments_n_rules[],2,0)</f>
        <v>УПК</v>
      </c>
      <c r="M896" s="51" t="str">
        <f>VLOOKUP(_stats[[#This Row],[tournament]],tournaments_n_rules[],3,0)</f>
        <v>Зима 2025-26</v>
      </c>
      <c r="N896" s="52">
        <f>VLOOKUP(_stats[[#This Row],[tournament]],tournaments_n_rules[],4,0)</f>
        <v>45992</v>
      </c>
      <c r="O896" s="52">
        <f>VLOOKUP(_stats[[#This Row],[tournament]],tournaments_n_rules[],5,0)</f>
        <v>46081</v>
      </c>
    </row>
    <row r="897" spans="1:15" x14ac:dyDescent="0.25">
      <c r="A897" s="23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51" t="str">
        <f>VLOOKUP(_stats[[#This Row],[tournament]],tournaments_n_rules[],2,0)</f>
        <v>УПК</v>
      </c>
      <c r="M897" s="51" t="str">
        <f>VLOOKUP(_stats[[#This Row],[tournament]],tournaments_n_rules[],3,0)</f>
        <v>Зима 2025-26</v>
      </c>
      <c r="N897" s="52">
        <f>VLOOKUP(_stats[[#This Row],[tournament]],tournaments_n_rules[],4,0)</f>
        <v>45992</v>
      </c>
      <c r="O897" s="52">
        <f>VLOOKUP(_stats[[#This Row],[tournament]],tournaments_n_rules[],5,0)</f>
        <v>46081</v>
      </c>
    </row>
    <row r="898" spans="1:15" x14ac:dyDescent="0.25">
      <c r="A898" s="23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51" t="str">
        <f>VLOOKUP(_stats[[#This Row],[tournament]],tournaments_n_rules[],2,0)</f>
        <v>УПК</v>
      </c>
      <c r="M898" s="51" t="str">
        <f>VLOOKUP(_stats[[#This Row],[tournament]],tournaments_n_rules[],3,0)</f>
        <v>Зима 2025-26</v>
      </c>
      <c r="N898" s="52">
        <f>VLOOKUP(_stats[[#This Row],[tournament]],tournaments_n_rules[],4,0)</f>
        <v>45992</v>
      </c>
      <c r="O898" s="52">
        <f>VLOOKUP(_stats[[#This Row],[tournament]],tournaments_n_rules[],5,0)</f>
        <v>46081</v>
      </c>
    </row>
    <row r="899" spans="1:15" x14ac:dyDescent="0.25">
      <c r="A899" s="23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51" t="str">
        <f>VLOOKUP(_stats[[#This Row],[tournament]],tournaments_n_rules[],2,0)</f>
        <v>УПК</v>
      </c>
      <c r="M899" s="51" t="str">
        <f>VLOOKUP(_stats[[#This Row],[tournament]],tournaments_n_rules[],3,0)</f>
        <v>Зима 2025-26</v>
      </c>
      <c r="N899" s="52">
        <f>VLOOKUP(_stats[[#This Row],[tournament]],tournaments_n_rules[],4,0)</f>
        <v>45992</v>
      </c>
      <c r="O899" s="52">
        <f>VLOOKUP(_stats[[#This Row],[tournament]],tournaments_n_rules[],5,0)</f>
        <v>46081</v>
      </c>
    </row>
    <row r="900" spans="1:15" x14ac:dyDescent="0.25">
      <c r="A900" s="23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51" t="str">
        <f>VLOOKUP(_stats[[#This Row],[tournament]],tournaments_n_rules[],2,0)</f>
        <v>УПК</v>
      </c>
      <c r="M900" s="51" t="str">
        <f>VLOOKUP(_stats[[#This Row],[tournament]],tournaments_n_rules[],3,0)</f>
        <v>Зима 2025-26</v>
      </c>
      <c r="N900" s="52">
        <f>VLOOKUP(_stats[[#This Row],[tournament]],tournaments_n_rules[],4,0)</f>
        <v>45992</v>
      </c>
      <c r="O900" s="52">
        <f>VLOOKUP(_stats[[#This Row],[tournament]],tournaments_n_rules[],5,0)</f>
        <v>46081</v>
      </c>
    </row>
    <row r="901" spans="1:15" x14ac:dyDescent="0.25">
      <c r="A901" s="23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51" t="str">
        <f>VLOOKUP(_stats[[#This Row],[tournament]],tournaments_n_rules[],2,0)</f>
        <v>УПК</v>
      </c>
      <c r="M901" s="51" t="str">
        <f>VLOOKUP(_stats[[#This Row],[tournament]],tournaments_n_rules[],3,0)</f>
        <v>Зима 2025-26</v>
      </c>
      <c r="N901" s="52">
        <f>VLOOKUP(_stats[[#This Row],[tournament]],tournaments_n_rules[],4,0)</f>
        <v>45992</v>
      </c>
      <c r="O901" s="52">
        <f>VLOOKUP(_stats[[#This Row],[tournament]],tournaments_n_rules[],5,0)</f>
        <v>46081</v>
      </c>
    </row>
    <row r="902" spans="1:15" x14ac:dyDescent="0.25">
      <c r="A902" s="23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51" t="str">
        <f>VLOOKUP(_stats[[#This Row],[tournament]],tournaments_n_rules[],2,0)</f>
        <v>УПК</v>
      </c>
      <c r="M902" s="51" t="str">
        <f>VLOOKUP(_stats[[#This Row],[tournament]],tournaments_n_rules[],3,0)</f>
        <v>Зима 2025-26</v>
      </c>
      <c r="N902" s="52">
        <f>VLOOKUP(_stats[[#This Row],[tournament]],tournaments_n_rules[],4,0)</f>
        <v>45992</v>
      </c>
      <c r="O902" s="52">
        <f>VLOOKUP(_stats[[#This Row],[tournament]],tournaments_n_rules[],5,0)</f>
        <v>46081</v>
      </c>
    </row>
    <row r="903" spans="1:15" x14ac:dyDescent="0.25">
      <c r="A903" s="23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51" t="str">
        <f>VLOOKUP(_stats[[#This Row],[tournament]],tournaments_n_rules[],2,0)</f>
        <v>УПК</v>
      </c>
      <c r="M903" s="51" t="str">
        <f>VLOOKUP(_stats[[#This Row],[tournament]],tournaments_n_rules[],3,0)</f>
        <v>Зима 2025-26</v>
      </c>
      <c r="N903" s="52">
        <f>VLOOKUP(_stats[[#This Row],[tournament]],tournaments_n_rules[],4,0)</f>
        <v>45992</v>
      </c>
      <c r="O903" s="52">
        <f>VLOOKUP(_stats[[#This Row],[tournament]],tournaments_n_rules[],5,0)</f>
        <v>46081</v>
      </c>
    </row>
    <row r="904" spans="1:15" x14ac:dyDescent="0.25">
      <c r="A904" s="23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51" t="str">
        <f>VLOOKUP(_stats[[#This Row],[tournament]],tournaments_n_rules[],2,0)</f>
        <v>УПК</v>
      </c>
      <c r="M904" s="51" t="str">
        <f>VLOOKUP(_stats[[#This Row],[tournament]],tournaments_n_rules[],3,0)</f>
        <v>Зима 2025-26</v>
      </c>
      <c r="N904" s="52">
        <f>VLOOKUP(_stats[[#This Row],[tournament]],tournaments_n_rules[],4,0)</f>
        <v>45992</v>
      </c>
      <c r="O904" s="52">
        <f>VLOOKUP(_stats[[#This Row],[tournament]],tournaments_n_rules[],5,0)</f>
        <v>46081</v>
      </c>
    </row>
    <row r="905" spans="1:15" x14ac:dyDescent="0.25">
      <c r="A905" s="23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51" t="str">
        <f>VLOOKUP(_stats[[#This Row],[tournament]],tournaments_n_rules[],2,0)</f>
        <v>УПК</v>
      </c>
      <c r="M905" s="51" t="str">
        <f>VLOOKUP(_stats[[#This Row],[tournament]],tournaments_n_rules[],3,0)</f>
        <v>Зима 2025-26</v>
      </c>
      <c r="N905" s="52">
        <f>VLOOKUP(_stats[[#This Row],[tournament]],tournaments_n_rules[],4,0)</f>
        <v>45992</v>
      </c>
      <c r="O905" s="52">
        <f>VLOOKUP(_stats[[#This Row],[tournament]],tournaments_n_rules[],5,0)</f>
        <v>46081</v>
      </c>
    </row>
    <row r="906" spans="1:15" x14ac:dyDescent="0.25">
      <c r="A906" s="23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51" t="str">
        <f>VLOOKUP(_stats[[#This Row],[tournament]],tournaments_n_rules[],2,0)</f>
        <v>УПК</v>
      </c>
      <c r="M906" s="51" t="str">
        <f>VLOOKUP(_stats[[#This Row],[tournament]],tournaments_n_rules[],3,0)</f>
        <v>Зима 2025-26</v>
      </c>
      <c r="N906" s="52">
        <f>VLOOKUP(_stats[[#This Row],[tournament]],tournaments_n_rules[],4,0)</f>
        <v>45992</v>
      </c>
      <c r="O906" s="52">
        <f>VLOOKUP(_stats[[#This Row],[tournament]],tournaments_n_rules[],5,0)</f>
        <v>46081</v>
      </c>
    </row>
    <row r="907" spans="1:15" x14ac:dyDescent="0.25">
      <c r="A907" s="23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51" t="str">
        <f>VLOOKUP(_stats[[#This Row],[tournament]],tournaments_n_rules[],2,0)</f>
        <v>УПК</v>
      </c>
      <c r="M907" s="51" t="str">
        <f>VLOOKUP(_stats[[#This Row],[tournament]],tournaments_n_rules[],3,0)</f>
        <v>Зима 2025-26</v>
      </c>
      <c r="N907" s="52">
        <f>VLOOKUP(_stats[[#This Row],[tournament]],tournaments_n_rules[],4,0)</f>
        <v>45992</v>
      </c>
      <c r="O907" s="52">
        <f>VLOOKUP(_stats[[#This Row],[tournament]],tournaments_n_rules[],5,0)</f>
        <v>46081</v>
      </c>
    </row>
    <row r="908" spans="1:15" x14ac:dyDescent="0.25">
      <c r="A908" s="23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51" t="str">
        <f>VLOOKUP(_stats[[#This Row],[tournament]],tournaments_n_rules[],2,0)</f>
        <v>УПК</v>
      </c>
      <c r="M908" s="51" t="str">
        <f>VLOOKUP(_stats[[#This Row],[tournament]],tournaments_n_rules[],3,0)</f>
        <v>Зима 2025-26</v>
      </c>
      <c r="N908" s="52">
        <f>VLOOKUP(_stats[[#This Row],[tournament]],tournaments_n_rules[],4,0)</f>
        <v>45992</v>
      </c>
      <c r="O908" s="52">
        <f>VLOOKUP(_stats[[#This Row],[tournament]],tournaments_n_rules[],5,0)</f>
        <v>46081</v>
      </c>
    </row>
    <row r="909" spans="1:15" x14ac:dyDescent="0.25">
      <c r="A909" s="23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51" t="str">
        <f>VLOOKUP(_stats[[#This Row],[tournament]],tournaments_n_rules[],2,0)</f>
        <v>УПК</v>
      </c>
      <c r="M909" s="51" t="str">
        <f>VLOOKUP(_stats[[#This Row],[tournament]],tournaments_n_rules[],3,0)</f>
        <v>Зима 2025-26</v>
      </c>
      <c r="N909" s="52">
        <f>VLOOKUP(_stats[[#This Row],[tournament]],tournaments_n_rules[],4,0)</f>
        <v>45992</v>
      </c>
      <c r="O909" s="52">
        <f>VLOOKUP(_stats[[#This Row],[tournament]],tournaments_n_rules[],5,0)</f>
        <v>46081</v>
      </c>
    </row>
    <row r="910" spans="1:15" x14ac:dyDescent="0.25">
      <c r="A910" s="23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51" t="str">
        <f>VLOOKUP(_stats[[#This Row],[tournament]],tournaments_n_rules[],2,0)</f>
        <v>УПК</v>
      </c>
      <c r="M910" s="51" t="str">
        <f>VLOOKUP(_stats[[#This Row],[tournament]],tournaments_n_rules[],3,0)</f>
        <v>Зима 2025-26</v>
      </c>
      <c r="N910" s="52">
        <f>VLOOKUP(_stats[[#This Row],[tournament]],tournaments_n_rules[],4,0)</f>
        <v>45992</v>
      </c>
      <c r="O910" s="52">
        <f>VLOOKUP(_stats[[#This Row],[tournament]],tournaments_n_rules[],5,0)</f>
        <v>46081</v>
      </c>
    </row>
    <row r="911" spans="1:15" x14ac:dyDescent="0.25">
      <c r="A911" s="23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51" t="str">
        <f>VLOOKUP(_stats[[#This Row],[tournament]],tournaments_n_rules[],2,0)</f>
        <v>УПК</v>
      </c>
      <c r="M911" s="51" t="str">
        <f>VLOOKUP(_stats[[#This Row],[tournament]],tournaments_n_rules[],3,0)</f>
        <v>Зима 2025-26</v>
      </c>
      <c r="N911" s="52">
        <f>VLOOKUP(_stats[[#This Row],[tournament]],tournaments_n_rules[],4,0)</f>
        <v>45992</v>
      </c>
      <c r="O911" s="52">
        <f>VLOOKUP(_stats[[#This Row],[tournament]],tournaments_n_rules[],5,0)</f>
        <v>46081</v>
      </c>
    </row>
    <row r="912" spans="1:15" x14ac:dyDescent="0.25">
      <c r="A912" s="23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51" t="str">
        <f>VLOOKUP(_stats[[#This Row],[tournament]],tournaments_n_rules[],2,0)</f>
        <v>УПК</v>
      </c>
      <c r="M912" s="51" t="str">
        <f>VLOOKUP(_stats[[#This Row],[tournament]],tournaments_n_rules[],3,0)</f>
        <v>Зима 2025-26</v>
      </c>
      <c r="N912" s="52">
        <f>VLOOKUP(_stats[[#This Row],[tournament]],tournaments_n_rules[],4,0)</f>
        <v>45992</v>
      </c>
      <c r="O912" s="52">
        <f>VLOOKUP(_stats[[#This Row],[tournament]],tournaments_n_rules[],5,0)</f>
        <v>46081</v>
      </c>
    </row>
    <row r="913" spans="1:15" x14ac:dyDescent="0.25">
      <c r="A913" s="23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51" t="str">
        <f>VLOOKUP(_stats[[#This Row],[tournament]],tournaments_n_rules[],2,0)</f>
        <v>УПК</v>
      </c>
      <c r="M913" s="51" t="str">
        <f>VLOOKUP(_stats[[#This Row],[tournament]],tournaments_n_rules[],3,0)</f>
        <v>Зима 2025-26</v>
      </c>
      <c r="N913" s="52">
        <f>VLOOKUP(_stats[[#This Row],[tournament]],tournaments_n_rules[],4,0)</f>
        <v>45992</v>
      </c>
      <c r="O913" s="52">
        <f>VLOOKUP(_stats[[#This Row],[tournament]],tournaments_n_rules[],5,0)</f>
        <v>46081</v>
      </c>
    </row>
    <row r="914" spans="1:15" x14ac:dyDescent="0.25">
      <c r="A914" s="23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51" t="str">
        <f>VLOOKUP(_stats[[#This Row],[tournament]],tournaments_n_rules[],2,0)</f>
        <v>УПК</v>
      </c>
      <c r="M914" s="51" t="str">
        <f>VLOOKUP(_stats[[#This Row],[tournament]],tournaments_n_rules[],3,0)</f>
        <v>Зима 2025-26</v>
      </c>
      <c r="N914" s="52">
        <f>VLOOKUP(_stats[[#This Row],[tournament]],tournaments_n_rules[],4,0)</f>
        <v>45992</v>
      </c>
      <c r="O914" s="52">
        <f>VLOOKUP(_stats[[#This Row],[tournament]],tournaments_n_rules[],5,0)</f>
        <v>46081</v>
      </c>
    </row>
    <row r="915" spans="1:15" ht="15.75" x14ac:dyDescent="0.25">
      <c r="A915" s="23">
        <v>46110</v>
      </c>
      <c r="B915" s="11">
        <v>3</v>
      </c>
      <c r="C915" s="40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41">
        <v>0</v>
      </c>
      <c r="J915" s="10">
        <v>0</v>
      </c>
      <c r="K915" s="16">
        <v>6</v>
      </c>
      <c r="L915" s="51" t="str">
        <f>VLOOKUP(_stats[[#This Row],[tournament]],tournaments_n_rules[],2,0)</f>
        <v>УПК</v>
      </c>
      <c r="M915" s="51" t="str">
        <f>VLOOKUP(_stats[[#This Row],[tournament]],tournaments_n_rules[],3,0)</f>
        <v>Весна 2026</v>
      </c>
      <c r="N915" s="52">
        <f>VLOOKUP(_stats[[#This Row],[tournament]],tournaments_n_rules[],4,0)</f>
        <v>46082</v>
      </c>
      <c r="O915" s="52">
        <f>VLOOKUP(_stats[[#This Row],[tournament]],tournaments_n_rules[],5,0)</f>
        <v>46173</v>
      </c>
    </row>
    <row r="916" spans="1:15" ht="15.75" x14ac:dyDescent="0.25">
      <c r="A916" s="23">
        <v>46110</v>
      </c>
      <c r="B916" s="11">
        <v>1</v>
      </c>
      <c r="C916" s="40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41">
        <v>0</v>
      </c>
      <c r="J916" s="10">
        <v>0</v>
      </c>
      <c r="K916" s="16">
        <v>6</v>
      </c>
      <c r="L916" s="51" t="str">
        <f>VLOOKUP(_stats[[#This Row],[tournament]],tournaments_n_rules[],2,0)</f>
        <v>УПК</v>
      </c>
      <c r="M916" s="51" t="str">
        <f>VLOOKUP(_stats[[#This Row],[tournament]],tournaments_n_rules[],3,0)</f>
        <v>Весна 2026</v>
      </c>
      <c r="N916" s="52">
        <f>VLOOKUP(_stats[[#This Row],[tournament]],tournaments_n_rules[],4,0)</f>
        <v>46082</v>
      </c>
      <c r="O916" s="52">
        <f>VLOOKUP(_stats[[#This Row],[tournament]],tournaments_n_rules[],5,0)</f>
        <v>46173</v>
      </c>
    </row>
    <row r="917" spans="1:15" ht="15.75" x14ac:dyDescent="0.25">
      <c r="A917" s="23">
        <v>46110</v>
      </c>
      <c r="B917" s="11">
        <v>4</v>
      </c>
      <c r="C917" s="40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41">
        <v>0</v>
      </c>
      <c r="J917" s="10">
        <v>0</v>
      </c>
      <c r="K917" s="16">
        <v>6</v>
      </c>
      <c r="L917" s="51" t="str">
        <f>VLOOKUP(_stats[[#This Row],[tournament]],tournaments_n_rules[],2,0)</f>
        <v>УПК</v>
      </c>
      <c r="M917" s="51" t="str">
        <f>VLOOKUP(_stats[[#This Row],[tournament]],tournaments_n_rules[],3,0)</f>
        <v>Весна 2026</v>
      </c>
      <c r="N917" s="52">
        <f>VLOOKUP(_stats[[#This Row],[tournament]],tournaments_n_rules[],4,0)</f>
        <v>46082</v>
      </c>
      <c r="O917" s="52">
        <f>VLOOKUP(_stats[[#This Row],[tournament]],tournaments_n_rules[],5,0)</f>
        <v>46173</v>
      </c>
    </row>
    <row r="918" spans="1:15" ht="15.75" x14ac:dyDescent="0.25">
      <c r="A918" s="23">
        <v>46110</v>
      </c>
      <c r="B918" s="11">
        <v>2</v>
      </c>
      <c r="C918" s="40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41">
        <v>1</v>
      </c>
      <c r="J918" s="10">
        <v>0</v>
      </c>
      <c r="K918" s="16">
        <v>6</v>
      </c>
      <c r="L918" s="51" t="str">
        <f>VLOOKUP(_stats[[#This Row],[tournament]],tournaments_n_rules[],2,0)</f>
        <v>УПК</v>
      </c>
      <c r="M918" s="51" t="str">
        <f>VLOOKUP(_stats[[#This Row],[tournament]],tournaments_n_rules[],3,0)</f>
        <v>Весна 2026</v>
      </c>
      <c r="N918" s="52">
        <f>VLOOKUP(_stats[[#This Row],[tournament]],tournaments_n_rules[],4,0)</f>
        <v>46082</v>
      </c>
      <c r="O918" s="52">
        <f>VLOOKUP(_stats[[#This Row],[tournament]],tournaments_n_rules[],5,0)</f>
        <v>46173</v>
      </c>
    </row>
    <row r="919" spans="1:15" ht="15.75" x14ac:dyDescent="0.25">
      <c r="A919" s="23">
        <v>46110</v>
      </c>
      <c r="B919" s="11">
        <v>4</v>
      </c>
      <c r="C919" s="40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41">
        <v>0</v>
      </c>
      <c r="J919" s="10">
        <v>0</v>
      </c>
      <c r="K919" s="16">
        <v>6</v>
      </c>
      <c r="L919" s="51" t="str">
        <f>VLOOKUP(_stats[[#This Row],[tournament]],tournaments_n_rules[],2,0)</f>
        <v>УПК</v>
      </c>
      <c r="M919" s="51" t="str">
        <f>VLOOKUP(_stats[[#This Row],[tournament]],tournaments_n_rules[],3,0)</f>
        <v>Весна 2026</v>
      </c>
      <c r="N919" s="52">
        <f>VLOOKUP(_stats[[#This Row],[tournament]],tournaments_n_rules[],4,0)</f>
        <v>46082</v>
      </c>
      <c r="O919" s="52">
        <f>VLOOKUP(_stats[[#This Row],[tournament]],tournaments_n_rules[],5,0)</f>
        <v>46173</v>
      </c>
    </row>
    <row r="920" spans="1:15" ht="15.75" x14ac:dyDescent="0.25">
      <c r="A920" s="23">
        <v>46110</v>
      </c>
      <c r="B920" s="11">
        <v>1</v>
      </c>
      <c r="C920" s="40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41">
        <v>0</v>
      </c>
      <c r="J920" s="10">
        <v>0</v>
      </c>
      <c r="K920" s="16">
        <v>6</v>
      </c>
      <c r="L920" s="51" t="str">
        <f>VLOOKUP(_stats[[#This Row],[tournament]],tournaments_n_rules[],2,0)</f>
        <v>УПК</v>
      </c>
      <c r="M920" s="51" t="str">
        <f>VLOOKUP(_stats[[#This Row],[tournament]],tournaments_n_rules[],3,0)</f>
        <v>Весна 2026</v>
      </c>
      <c r="N920" s="52">
        <f>VLOOKUP(_stats[[#This Row],[tournament]],tournaments_n_rules[],4,0)</f>
        <v>46082</v>
      </c>
      <c r="O920" s="52">
        <f>VLOOKUP(_stats[[#This Row],[tournament]],tournaments_n_rules[],5,0)</f>
        <v>46173</v>
      </c>
    </row>
    <row r="921" spans="1:15" ht="15.75" x14ac:dyDescent="0.25">
      <c r="A921" s="23">
        <v>46110</v>
      </c>
      <c r="B921" s="11">
        <v>3</v>
      </c>
      <c r="C921" s="40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41">
        <v>0</v>
      </c>
      <c r="J921" s="10">
        <v>0</v>
      </c>
      <c r="K921" s="16">
        <v>6</v>
      </c>
      <c r="L921" s="51" t="str">
        <f>VLOOKUP(_stats[[#This Row],[tournament]],tournaments_n_rules[],2,0)</f>
        <v>УПК</v>
      </c>
      <c r="M921" s="51" t="str">
        <f>VLOOKUP(_stats[[#This Row],[tournament]],tournaments_n_rules[],3,0)</f>
        <v>Весна 2026</v>
      </c>
      <c r="N921" s="52">
        <f>VLOOKUP(_stats[[#This Row],[tournament]],tournaments_n_rules[],4,0)</f>
        <v>46082</v>
      </c>
      <c r="O921" s="52">
        <f>VLOOKUP(_stats[[#This Row],[tournament]],tournaments_n_rules[],5,0)</f>
        <v>46173</v>
      </c>
    </row>
    <row r="922" spans="1:15" ht="15.75" x14ac:dyDescent="0.25">
      <c r="A922" s="23">
        <v>46110</v>
      </c>
      <c r="B922" s="11">
        <v>1</v>
      </c>
      <c r="C922" s="40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41">
        <v>0</v>
      </c>
      <c r="J922" s="10">
        <v>0</v>
      </c>
      <c r="K922" s="16">
        <v>6</v>
      </c>
      <c r="L922" s="51" t="str">
        <f>VLOOKUP(_stats[[#This Row],[tournament]],tournaments_n_rules[],2,0)</f>
        <v>УПК</v>
      </c>
      <c r="M922" s="51" t="str">
        <f>VLOOKUP(_stats[[#This Row],[tournament]],tournaments_n_rules[],3,0)</f>
        <v>Весна 2026</v>
      </c>
      <c r="N922" s="52">
        <f>VLOOKUP(_stats[[#This Row],[tournament]],tournaments_n_rules[],4,0)</f>
        <v>46082</v>
      </c>
      <c r="O922" s="52">
        <f>VLOOKUP(_stats[[#This Row],[tournament]],tournaments_n_rules[],5,0)</f>
        <v>46173</v>
      </c>
    </row>
    <row r="923" spans="1:15" ht="15.75" x14ac:dyDescent="0.25">
      <c r="A923" s="23">
        <v>46110</v>
      </c>
      <c r="B923" s="11">
        <v>3</v>
      </c>
      <c r="C923" s="40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41">
        <v>0</v>
      </c>
      <c r="J923" s="10">
        <v>0</v>
      </c>
      <c r="K923" s="16">
        <v>6</v>
      </c>
      <c r="L923" s="51" t="str">
        <f>VLOOKUP(_stats[[#This Row],[tournament]],tournaments_n_rules[],2,0)</f>
        <v>УПК</v>
      </c>
      <c r="M923" s="51" t="str">
        <f>VLOOKUP(_stats[[#This Row],[tournament]],tournaments_n_rules[],3,0)</f>
        <v>Весна 2026</v>
      </c>
      <c r="N923" s="52">
        <f>VLOOKUP(_stats[[#This Row],[tournament]],tournaments_n_rules[],4,0)</f>
        <v>46082</v>
      </c>
      <c r="O923" s="52">
        <f>VLOOKUP(_stats[[#This Row],[tournament]],tournaments_n_rules[],5,0)</f>
        <v>46173</v>
      </c>
    </row>
    <row r="924" spans="1:15" ht="15.75" x14ac:dyDescent="0.25">
      <c r="A924" s="23">
        <v>46110</v>
      </c>
      <c r="B924" s="11">
        <v>3</v>
      </c>
      <c r="C924" s="40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41">
        <v>0</v>
      </c>
      <c r="J924" s="10">
        <v>0</v>
      </c>
      <c r="K924" s="16">
        <v>6</v>
      </c>
      <c r="L924" s="51" t="str">
        <f>VLOOKUP(_stats[[#This Row],[tournament]],tournaments_n_rules[],2,0)</f>
        <v>УПК</v>
      </c>
      <c r="M924" s="51" t="str">
        <f>VLOOKUP(_stats[[#This Row],[tournament]],tournaments_n_rules[],3,0)</f>
        <v>Весна 2026</v>
      </c>
      <c r="N924" s="52">
        <f>VLOOKUP(_stats[[#This Row],[tournament]],tournaments_n_rules[],4,0)</f>
        <v>46082</v>
      </c>
      <c r="O924" s="52">
        <f>VLOOKUP(_stats[[#This Row],[tournament]],tournaments_n_rules[],5,0)</f>
        <v>46173</v>
      </c>
    </row>
    <row r="925" spans="1:15" ht="15.75" x14ac:dyDescent="0.25">
      <c r="A925" s="23">
        <v>46110</v>
      </c>
      <c r="B925" s="11">
        <v>2</v>
      </c>
      <c r="C925" s="40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41">
        <v>0</v>
      </c>
      <c r="J925" s="10">
        <v>0</v>
      </c>
      <c r="K925" s="16">
        <v>6</v>
      </c>
      <c r="L925" s="51" t="str">
        <f>VLOOKUP(_stats[[#This Row],[tournament]],tournaments_n_rules[],2,0)</f>
        <v>УПК</v>
      </c>
      <c r="M925" s="51" t="str">
        <f>VLOOKUP(_stats[[#This Row],[tournament]],tournaments_n_rules[],3,0)</f>
        <v>Весна 2026</v>
      </c>
      <c r="N925" s="52">
        <f>VLOOKUP(_stats[[#This Row],[tournament]],tournaments_n_rules[],4,0)</f>
        <v>46082</v>
      </c>
      <c r="O925" s="52">
        <f>VLOOKUP(_stats[[#This Row],[tournament]],tournaments_n_rules[],5,0)</f>
        <v>46173</v>
      </c>
    </row>
    <row r="926" spans="1:15" ht="15.75" x14ac:dyDescent="0.25">
      <c r="A926" s="23">
        <v>46110</v>
      </c>
      <c r="B926" s="11">
        <v>1</v>
      </c>
      <c r="C926" s="40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41">
        <v>0</v>
      </c>
      <c r="J926" s="10">
        <v>0</v>
      </c>
      <c r="K926" s="16">
        <v>6</v>
      </c>
      <c r="L926" s="51" t="str">
        <f>VLOOKUP(_stats[[#This Row],[tournament]],tournaments_n_rules[],2,0)</f>
        <v>УПК</v>
      </c>
      <c r="M926" s="51" t="str">
        <f>VLOOKUP(_stats[[#This Row],[tournament]],tournaments_n_rules[],3,0)</f>
        <v>Весна 2026</v>
      </c>
      <c r="N926" s="52">
        <f>VLOOKUP(_stats[[#This Row],[tournament]],tournaments_n_rules[],4,0)</f>
        <v>46082</v>
      </c>
      <c r="O926" s="52">
        <f>VLOOKUP(_stats[[#This Row],[tournament]],tournaments_n_rules[],5,0)</f>
        <v>46173</v>
      </c>
    </row>
    <row r="927" spans="1:15" ht="15.75" x14ac:dyDescent="0.25">
      <c r="A927" s="23">
        <v>46110</v>
      </c>
      <c r="B927" s="11">
        <v>3</v>
      </c>
      <c r="C927" s="40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41">
        <v>0</v>
      </c>
      <c r="J927" s="10">
        <v>0</v>
      </c>
      <c r="K927" s="16">
        <v>6</v>
      </c>
      <c r="L927" s="51" t="str">
        <f>VLOOKUP(_stats[[#This Row],[tournament]],tournaments_n_rules[],2,0)</f>
        <v>УПК</v>
      </c>
      <c r="M927" s="51" t="str">
        <f>VLOOKUP(_stats[[#This Row],[tournament]],tournaments_n_rules[],3,0)</f>
        <v>Весна 2026</v>
      </c>
      <c r="N927" s="52">
        <f>VLOOKUP(_stats[[#This Row],[tournament]],tournaments_n_rules[],4,0)</f>
        <v>46082</v>
      </c>
      <c r="O927" s="52">
        <f>VLOOKUP(_stats[[#This Row],[tournament]],tournaments_n_rules[],5,0)</f>
        <v>46173</v>
      </c>
    </row>
    <row r="928" spans="1:15" ht="15.75" x14ac:dyDescent="0.25">
      <c r="A928" s="23">
        <v>46110</v>
      </c>
      <c r="B928" s="11">
        <v>4</v>
      </c>
      <c r="C928" s="40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41">
        <v>0</v>
      </c>
      <c r="J928" s="10">
        <v>0</v>
      </c>
      <c r="K928" s="16">
        <v>6</v>
      </c>
      <c r="L928" s="51" t="str">
        <f>VLOOKUP(_stats[[#This Row],[tournament]],tournaments_n_rules[],2,0)</f>
        <v>УПК</v>
      </c>
      <c r="M928" s="51" t="str">
        <f>VLOOKUP(_stats[[#This Row],[tournament]],tournaments_n_rules[],3,0)</f>
        <v>Весна 2026</v>
      </c>
      <c r="N928" s="52">
        <f>VLOOKUP(_stats[[#This Row],[tournament]],tournaments_n_rules[],4,0)</f>
        <v>46082</v>
      </c>
      <c r="O928" s="52">
        <f>VLOOKUP(_stats[[#This Row],[tournament]],tournaments_n_rules[],5,0)</f>
        <v>46173</v>
      </c>
    </row>
    <row r="929" spans="1:15" ht="15.75" x14ac:dyDescent="0.25">
      <c r="A929" s="23">
        <v>46110</v>
      </c>
      <c r="B929" s="11">
        <v>2</v>
      </c>
      <c r="C929" s="40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41">
        <v>0</v>
      </c>
      <c r="J929" s="10">
        <v>0</v>
      </c>
      <c r="K929" s="16">
        <v>6</v>
      </c>
      <c r="L929" s="51" t="str">
        <f>VLOOKUP(_stats[[#This Row],[tournament]],tournaments_n_rules[],2,0)</f>
        <v>УПК</v>
      </c>
      <c r="M929" s="51" t="str">
        <f>VLOOKUP(_stats[[#This Row],[tournament]],tournaments_n_rules[],3,0)</f>
        <v>Весна 2026</v>
      </c>
      <c r="N929" s="52">
        <f>VLOOKUP(_stats[[#This Row],[tournament]],tournaments_n_rules[],4,0)</f>
        <v>46082</v>
      </c>
      <c r="O929" s="52">
        <f>VLOOKUP(_stats[[#This Row],[tournament]],tournaments_n_rules[],5,0)</f>
        <v>46173</v>
      </c>
    </row>
    <row r="930" spans="1:15" ht="15.75" x14ac:dyDescent="0.25">
      <c r="A930" s="23">
        <v>46110</v>
      </c>
      <c r="B930" s="11">
        <v>2</v>
      </c>
      <c r="C930" s="40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41">
        <v>0</v>
      </c>
      <c r="J930" s="10">
        <v>0</v>
      </c>
      <c r="K930" s="16">
        <v>6</v>
      </c>
      <c r="L930" s="51" t="str">
        <f>VLOOKUP(_stats[[#This Row],[tournament]],tournaments_n_rules[],2,0)</f>
        <v>УПК</v>
      </c>
      <c r="M930" s="51" t="str">
        <f>VLOOKUP(_stats[[#This Row],[tournament]],tournaments_n_rules[],3,0)</f>
        <v>Весна 2026</v>
      </c>
      <c r="N930" s="52">
        <f>VLOOKUP(_stats[[#This Row],[tournament]],tournaments_n_rules[],4,0)</f>
        <v>46082</v>
      </c>
      <c r="O930" s="52">
        <f>VLOOKUP(_stats[[#This Row],[tournament]],tournaments_n_rules[],5,0)</f>
        <v>46173</v>
      </c>
    </row>
    <row r="931" spans="1:15" ht="15.75" x14ac:dyDescent="0.25">
      <c r="A931" s="23">
        <v>46110</v>
      </c>
      <c r="B931" s="11">
        <v>4</v>
      </c>
      <c r="C931" s="40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41">
        <v>0</v>
      </c>
      <c r="J931" s="10">
        <v>0</v>
      </c>
      <c r="K931" s="16">
        <v>6</v>
      </c>
      <c r="L931" s="51" t="str">
        <f>VLOOKUP(_stats[[#This Row],[tournament]],tournaments_n_rules[],2,0)</f>
        <v>УПК</v>
      </c>
      <c r="M931" s="51" t="str">
        <f>VLOOKUP(_stats[[#This Row],[tournament]],tournaments_n_rules[],3,0)</f>
        <v>Весна 2026</v>
      </c>
      <c r="N931" s="52">
        <f>VLOOKUP(_stats[[#This Row],[tournament]],tournaments_n_rules[],4,0)</f>
        <v>46082</v>
      </c>
      <c r="O931" s="52">
        <f>VLOOKUP(_stats[[#This Row],[tournament]],tournaments_n_rules[],5,0)</f>
        <v>46173</v>
      </c>
    </row>
    <row r="932" spans="1:15" ht="15.75" x14ac:dyDescent="0.25">
      <c r="A932" s="23">
        <v>46110</v>
      </c>
      <c r="B932" s="11">
        <v>1</v>
      </c>
      <c r="C932" s="40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41">
        <v>0</v>
      </c>
      <c r="J932" s="10">
        <v>0</v>
      </c>
      <c r="K932" s="16">
        <v>6</v>
      </c>
      <c r="L932" s="51" t="str">
        <f>VLOOKUP(_stats[[#This Row],[tournament]],tournaments_n_rules[],2,0)</f>
        <v>УПК</v>
      </c>
      <c r="M932" s="51" t="str">
        <f>VLOOKUP(_stats[[#This Row],[tournament]],tournaments_n_rules[],3,0)</f>
        <v>Весна 2026</v>
      </c>
      <c r="N932" s="52">
        <f>VLOOKUP(_stats[[#This Row],[tournament]],tournaments_n_rules[],4,0)</f>
        <v>46082</v>
      </c>
      <c r="O932" s="52">
        <f>VLOOKUP(_stats[[#This Row],[tournament]],tournaments_n_rules[],5,0)</f>
        <v>46173</v>
      </c>
    </row>
    <row r="933" spans="1:15" ht="15.75" x14ac:dyDescent="0.25">
      <c r="A933" s="23">
        <v>46110</v>
      </c>
      <c r="B933" s="11">
        <v>4</v>
      </c>
      <c r="C933" s="40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41">
        <v>0</v>
      </c>
      <c r="J933" s="10">
        <v>0</v>
      </c>
      <c r="K933" s="16">
        <v>6</v>
      </c>
      <c r="L933" s="51" t="str">
        <f>VLOOKUP(_stats[[#This Row],[tournament]],tournaments_n_rules[],2,0)</f>
        <v>УПК</v>
      </c>
      <c r="M933" s="51" t="str">
        <f>VLOOKUP(_stats[[#This Row],[tournament]],tournaments_n_rules[],3,0)</f>
        <v>Весна 2026</v>
      </c>
      <c r="N933" s="52">
        <f>VLOOKUP(_stats[[#This Row],[tournament]],tournaments_n_rules[],4,0)</f>
        <v>46082</v>
      </c>
      <c r="O933" s="52">
        <f>VLOOKUP(_stats[[#This Row],[tournament]],tournaments_n_rules[],5,0)</f>
        <v>46173</v>
      </c>
    </row>
    <row r="934" spans="1:15" ht="15.75" x14ac:dyDescent="0.25">
      <c r="A934" s="23">
        <v>46110</v>
      </c>
      <c r="B934" s="11">
        <v>3</v>
      </c>
      <c r="C934" s="40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41">
        <v>0</v>
      </c>
      <c r="J934" s="10">
        <v>0</v>
      </c>
      <c r="K934" s="16">
        <v>6</v>
      </c>
      <c r="L934" s="51" t="str">
        <f>VLOOKUP(_stats[[#This Row],[tournament]],tournaments_n_rules[],2,0)</f>
        <v>УПК</v>
      </c>
      <c r="M934" s="51" t="str">
        <f>VLOOKUP(_stats[[#This Row],[tournament]],tournaments_n_rules[],3,0)</f>
        <v>Весна 2026</v>
      </c>
      <c r="N934" s="52">
        <f>VLOOKUP(_stats[[#This Row],[tournament]],tournaments_n_rules[],4,0)</f>
        <v>46082</v>
      </c>
      <c r="O934" s="52">
        <f>VLOOKUP(_stats[[#This Row],[tournament]],tournaments_n_rules[],5,0)</f>
        <v>46173</v>
      </c>
    </row>
    <row r="935" spans="1:15" ht="15.75" x14ac:dyDescent="0.25">
      <c r="A935" s="23">
        <v>46110</v>
      </c>
      <c r="B935" s="11">
        <v>3</v>
      </c>
      <c r="C935" s="40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41">
        <v>0</v>
      </c>
      <c r="J935" s="10">
        <v>0</v>
      </c>
      <c r="K935" s="16">
        <v>6</v>
      </c>
      <c r="L935" s="51" t="str">
        <f>VLOOKUP(_stats[[#This Row],[tournament]],tournaments_n_rules[],2,0)</f>
        <v>УПК</v>
      </c>
      <c r="M935" s="51" t="str">
        <f>VLOOKUP(_stats[[#This Row],[tournament]],tournaments_n_rules[],3,0)</f>
        <v>Весна 2026</v>
      </c>
      <c r="N935" s="52">
        <f>VLOOKUP(_stats[[#This Row],[tournament]],tournaments_n_rules[],4,0)</f>
        <v>46082</v>
      </c>
      <c r="O935" s="52">
        <f>VLOOKUP(_stats[[#This Row],[tournament]],tournaments_n_rules[],5,0)</f>
        <v>46173</v>
      </c>
    </row>
    <row r="936" spans="1:15" ht="15.75" x14ac:dyDescent="0.25">
      <c r="A936" s="23">
        <v>46110</v>
      </c>
      <c r="B936" s="11">
        <v>4</v>
      </c>
      <c r="C936" s="40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41">
        <v>0</v>
      </c>
      <c r="J936" s="10">
        <v>0</v>
      </c>
      <c r="K936" s="16">
        <v>6</v>
      </c>
      <c r="L936" s="51" t="str">
        <f>VLOOKUP(_stats[[#This Row],[tournament]],tournaments_n_rules[],2,0)</f>
        <v>УПК</v>
      </c>
      <c r="M936" s="51" t="str">
        <f>VLOOKUP(_stats[[#This Row],[tournament]],tournaments_n_rules[],3,0)</f>
        <v>Весна 2026</v>
      </c>
      <c r="N936" s="52">
        <f>VLOOKUP(_stats[[#This Row],[tournament]],tournaments_n_rules[],4,0)</f>
        <v>46082</v>
      </c>
      <c r="O936" s="52">
        <f>VLOOKUP(_stats[[#This Row],[tournament]],tournaments_n_rules[],5,0)</f>
        <v>46173</v>
      </c>
    </row>
    <row r="937" spans="1:15" ht="15.75" x14ac:dyDescent="0.25">
      <c r="A937" s="23">
        <v>46110</v>
      </c>
      <c r="B937" s="11">
        <v>1</v>
      </c>
      <c r="C937" s="40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41">
        <v>0</v>
      </c>
      <c r="J937" s="10">
        <v>0</v>
      </c>
      <c r="K937" s="16">
        <v>6</v>
      </c>
      <c r="L937" s="51" t="str">
        <f>VLOOKUP(_stats[[#This Row],[tournament]],tournaments_n_rules[],2,0)</f>
        <v>УПК</v>
      </c>
      <c r="M937" s="51" t="str">
        <f>VLOOKUP(_stats[[#This Row],[tournament]],tournaments_n_rules[],3,0)</f>
        <v>Весна 2026</v>
      </c>
      <c r="N937" s="52">
        <f>VLOOKUP(_stats[[#This Row],[tournament]],tournaments_n_rules[],4,0)</f>
        <v>46082</v>
      </c>
      <c r="O937" s="52">
        <f>VLOOKUP(_stats[[#This Row],[tournament]],tournaments_n_rules[],5,0)</f>
        <v>46173</v>
      </c>
    </row>
    <row r="938" spans="1:15" ht="15.75" x14ac:dyDescent="0.25">
      <c r="A938" s="23">
        <v>46110</v>
      </c>
      <c r="B938" s="11">
        <v>1</v>
      </c>
      <c r="C938" s="40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41">
        <v>0</v>
      </c>
      <c r="J938" s="10">
        <v>0</v>
      </c>
      <c r="K938" s="16">
        <v>6</v>
      </c>
      <c r="L938" s="51" t="str">
        <f>VLOOKUP(_stats[[#This Row],[tournament]],tournaments_n_rules[],2,0)</f>
        <v>УПК</v>
      </c>
      <c r="M938" s="51" t="str">
        <f>VLOOKUP(_stats[[#This Row],[tournament]],tournaments_n_rules[],3,0)</f>
        <v>Весна 2026</v>
      </c>
      <c r="N938" s="52">
        <f>VLOOKUP(_stats[[#This Row],[tournament]],tournaments_n_rules[],4,0)</f>
        <v>46082</v>
      </c>
      <c r="O938" s="52">
        <f>VLOOKUP(_stats[[#This Row],[tournament]],tournaments_n_rules[],5,0)</f>
        <v>46173</v>
      </c>
    </row>
    <row r="939" spans="1:15" x14ac:dyDescent="0.25">
      <c r="A939" s="23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41">
        <v>0</v>
      </c>
      <c r="J939" s="10">
        <v>0</v>
      </c>
      <c r="K939" s="16">
        <v>6</v>
      </c>
      <c r="L939" s="51" t="str">
        <f>VLOOKUP(_stats[[#This Row],[tournament]],tournaments_n_rules[],2,0)</f>
        <v>УПК</v>
      </c>
      <c r="M939" s="51" t="str">
        <f>VLOOKUP(_stats[[#This Row],[tournament]],tournaments_n_rules[],3,0)</f>
        <v>Весна 2026</v>
      </c>
      <c r="N939" s="52">
        <f>VLOOKUP(_stats[[#This Row],[tournament]],tournaments_n_rules[],4,0)</f>
        <v>46082</v>
      </c>
      <c r="O939" s="52">
        <f>VLOOKUP(_stats[[#This Row],[tournament]],tournaments_n_rules[],5,0)</f>
        <v>46173</v>
      </c>
    </row>
    <row r="940" spans="1:15" x14ac:dyDescent="0.25">
      <c r="A940" s="23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41">
        <v>1</v>
      </c>
      <c r="J940" s="10">
        <v>0</v>
      </c>
      <c r="K940" s="16">
        <v>6</v>
      </c>
      <c r="L940" s="51" t="str">
        <f>VLOOKUP(_stats[[#This Row],[tournament]],tournaments_n_rules[],2,0)</f>
        <v>УПК</v>
      </c>
      <c r="M940" s="51" t="str">
        <f>VLOOKUP(_stats[[#This Row],[tournament]],tournaments_n_rules[],3,0)</f>
        <v>Весна 2026</v>
      </c>
      <c r="N940" s="52">
        <f>VLOOKUP(_stats[[#This Row],[tournament]],tournaments_n_rules[],4,0)</f>
        <v>46082</v>
      </c>
      <c r="O940" s="52">
        <f>VLOOKUP(_stats[[#This Row],[tournament]],tournaments_n_rules[],5,0)</f>
        <v>46173</v>
      </c>
    </row>
    <row r="941" spans="1:15" ht="15.75" x14ac:dyDescent="0.25">
      <c r="A941" s="23">
        <v>46110</v>
      </c>
      <c r="B941" s="11">
        <v>2</v>
      </c>
      <c r="C941" s="40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41">
        <v>0</v>
      </c>
      <c r="J941" s="10">
        <v>0</v>
      </c>
      <c r="K941" s="16">
        <v>6</v>
      </c>
      <c r="L941" s="51" t="str">
        <f>VLOOKUP(_stats[[#This Row],[tournament]],tournaments_n_rules[],2,0)</f>
        <v>УПК</v>
      </c>
      <c r="M941" s="51" t="str">
        <f>VLOOKUP(_stats[[#This Row],[tournament]],tournaments_n_rules[],3,0)</f>
        <v>Весна 2026</v>
      </c>
      <c r="N941" s="52">
        <f>VLOOKUP(_stats[[#This Row],[tournament]],tournaments_n_rules[],4,0)</f>
        <v>46082</v>
      </c>
      <c r="O941" s="52">
        <f>VLOOKUP(_stats[[#This Row],[tournament]],tournaments_n_rules[],5,0)</f>
        <v>46173</v>
      </c>
    </row>
    <row r="942" spans="1:15" ht="15.75" x14ac:dyDescent="0.25">
      <c r="A942" s="23">
        <v>46117</v>
      </c>
      <c r="B942" s="11">
        <v>2</v>
      </c>
      <c r="C942" s="40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41">
        <v>0</v>
      </c>
      <c r="J942" s="10">
        <v>0</v>
      </c>
      <c r="K942" s="16">
        <v>6</v>
      </c>
      <c r="L942" s="51" t="str">
        <f>VLOOKUP(_stats[[#This Row],[tournament]],tournaments_n_rules[],2,0)</f>
        <v>УПК</v>
      </c>
      <c r="M942" s="51" t="str">
        <f>VLOOKUP(_stats[[#This Row],[tournament]],tournaments_n_rules[],3,0)</f>
        <v>Весна 2026</v>
      </c>
      <c r="N942" s="52">
        <f>VLOOKUP(_stats[[#This Row],[tournament]],tournaments_n_rules[],4,0)</f>
        <v>46082</v>
      </c>
      <c r="O942" s="52">
        <f>VLOOKUP(_stats[[#This Row],[tournament]],tournaments_n_rules[],5,0)</f>
        <v>46173</v>
      </c>
    </row>
    <row r="943" spans="1:15" ht="15.75" x14ac:dyDescent="0.25">
      <c r="A943" s="23">
        <v>46117</v>
      </c>
      <c r="B943" s="11">
        <v>2</v>
      </c>
      <c r="C943" s="40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41">
        <v>0</v>
      </c>
      <c r="J943" s="10">
        <v>0</v>
      </c>
      <c r="K943" s="16">
        <v>6</v>
      </c>
      <c r="L943" s="51" t="str">
        <f>VLOOKUP(_stats[[#This Row],[tournament]],tournaments_n_rules[],2,0)</f>
        <v>УПК</v>
      </c>
      <c r="M943" s="51" t="str">
        <f>VLOOKUP(_stats[[#This Row],[tournament]],tournaments_n_rules[],3,0)</f>
        <v>Весна 2026</v>
      </c>
      <c r="N943" s="52">
        <f>VLOOKUP(_stats[[#This Row],[tournament]],tournaments_n_rules[],4,0)</f>
        <v>46082</v>
      </c>
      <c r="O943" s="52">
        <f>VLOOKUP(_stats[[#This Row],[tournament]],tournaments_n_rules[],5,0)</f>
        <v>46173</v>
      </c>
    </row>
    <row r="944" spans="1:15" ht="15.75" x14ac:dyDescent="0.25">
      <c r="A944" s="23">
        <v>46117</v>
      </c>
      <c r="B944" s="11">
        <v>3</v>
      </c>
      <c r="C944" s="40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41">
        <v>0</v>
      </c>
      <c r="J944" s="10">
        <v>0</v>
      </c>
      <c r="K944" s="16">
        <v>6</v>
      </c>
      <c r="L944" s="51" t="str">
        <f>VLOOKUP(_stats[[#This Row],[tournament]],tournaments_n_rules[],2,0)</f>
        <v>УПК</v>
      </c>
      <c r="M944" s="51" t="str">
        <f>VLOOKUP(_stats[[#This Row],[tournament]],tournaments_n_rules[],3,0)</f>
        <v>Весна 2026</v>
      </c>
      <c r="N944" s="52">
        <f>VLOOKUP(_stats[[#This Row],[tournament]],tournaments_n_rules[],4,0)</f>
        <v>46082</v>
      </c>
      <c r="O944" s="52">
        <f>VLOOKUP(_stats[[#This Row],[tournament]],tournaments_n_rules[],5,0)</f>
        <v>46173</v>
      </c>
    </row>
    <row r="945" spans="1:15" ht="15.75" x14ac:dyDescent="0.25">
      <c r="A945" s="23">
        <v>46117</v>
      </c>
      <c r="B945" s="11">
        <v>3</v>
      </c>
      <c r="C945" s="40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41">
        <v>0</v>
      </c>
      <c r="J945" s="10">
        <v>0</v>
      </c>
      <c r="K945" s="16">
        <v>6</v>
      </c>
      <c r="L945" s="51" t="str">
        <f>VLOOKUP(_stats[[#This Row],[tournament]],tournaments_n_rules[],2,0)</f>
        <v>УПК</v>
      </c>
      <c r="M945" s="51" t="str">
        <f>VLOOKUP(_stats[[#This Row],[tournament]],tournaments_n_rules[],3,0)</f>
        <v>Весна 2026</v>
      </c>
      <c r="N945" s="52">
        <f>VLOOKUP(_stats[[#This Row],[tournament]],tournaments_n_rules[],4,0)</f>
        <v>46082</v>
      </c>
      <c r="O945" s="52">
        <f>VLOOKUP(_stats[[#This Row],[tournament]],tournaments_n_rules[],5,0)</f>
        <v>46173</v>
      </c>
    </row>
    <row r="946" spans="1:15" ht="15.75" x14ac:dyDescent="0.25">
      <c r="A946" s="23">
        <v>46117</v>
      </c>
      <c r="B946" s="11">
        <v>2</v>
      </c>
      <c r="C946" s="40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41">
        <v>0</v>
      </c>
      <c r="J946" s="10">
        <v>0</v>
      </c>
      <c r="K946" s="16">
        <v>6</v>
      </c>
      <c r="L946" s="51" t="str">
        <f>VLOOKUP(_stats[[#This Row],[tournament]],tournaments_n_rules[],2,0)</f>
        <v>УПК</v>
      </c>
      <c r="M946" s="51" t="str">
        <f>VLOOKUP(_stats[[#This Row],[tournament]],tournaments_n_rules[],3,0)</f>
        <v>Весна 2026</v>
      </c>
      <c r="N946" s="52">
        <f>VLOOKUP(_stats[[#This Row],[tournament]],tournaments_n_rules[],4,0)</f>
        <v>46082</v>
      </c>
      <c r="O946" s="52">
        <f>VLOOKUP(_stats[[#This Row],[tournament]],tournaments_n_rules[],5,0)</f>
        <v>46173</v>
      </c>
    </row>
    <row r="947" spans="1:15" ht="15.75" x14ac:dyDescent="0.25">
      <c r="A947" s="23">
        <v>46117</v>
      </c>
      <c r="B947" s="11">
        <v>3</v>
      </c>
      <c r="C947" s="40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41">
        <v>0</v>
      </c>
      <c r="J947" s="10">
        <v>0</v>
      </c>
      <c r="K947" s="16">
        <v>6</v>
      </c>
      <c r="L947" s="51" t="str">
        <f>VLOOKUP(_stats[[#This Row],[tournament]],tournaments_n_rules[],2,0)</f>
        <v>УПК</v>
      </c>
      <c r="M947" s="51" t="str">
        <f>VLOOKUP(_stats[[#This Row],[tournament]],tournaments_n_rules[],3,0)</f>
        <v>Весна 2026</v>
      </c>
      <c r="N947" s="52">
        <f>VLOOKUP(_stats[[#This Row],[tournament]],tournaments_n_rules[],4,0)</f>
        <v>46082</v>
      </c>
      <c r="O947" s="52">
        <f>VLOOKUP(_stats[[#This Row],[tournament]],tournaments_n_rules[],5,0)</f>
        <v>46173</v>
      </c>
    </row>
    <row r="948" spans="1:15" ht="15.75" x14ac:dyDescent="0.25">
      <c r="A948" s="23">
        <v>46117</v>
      </c>
      <c r="B948" s="11">
        <v>1</v>
      </c>
      <c r="C948" s="40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41">
        <v>0</v>
      </c>
      <c r="J948" s="10">
        <v>0</v>
      </c>
      <c r="K948" s="16">
        <v>6</v>
      </c>
      <c r="L948" s="51" t="str">
        <f>VLOOKUP(_stats[[#This Row],[tournament]],tournaments_n_rules[],2,0)</f>
        <v>УПК</v>
      </c>
      <c r="M948" s="51" t="str">
        <f>VLOOKUP(_stats[[#This Row],[tournament]],tournaments_n_rules[],3,0)</f>
        <v>Весна 2026</v>
      </c>
      <c r="N948" s="52">
        <f>VLOOKUP(_stats[[#This Row],[tournament]],tournaments_n_rules[],4,0)</f>
        <v>46082</v>
      </c>
      <c r="O948" s="52">
        <f>VLOOKUP(_stats[[#This Row],[tournament]],tournaments_n_rules[],5,0)</f>
        <v>46173</v>
      </c>
    </row>
    <row r="949" spans="1:15" ht="15.75" x14ac:dyDescent="0.25">
      <c r="A949" s="23">
        <v>46117</v>
      </c>
      <c r="B949" s="11">
        <v>1</v>
      </c>
      <c r="C949" s="40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41">
        <v>3</v>
      </c>
      <c r="J949" s="10">
        <v>0</v>
      </c>
      <c r="K949" s="16">
        <v>6</v>
      </c>
      <c r="L949" s="51" t="str">
        <f>VLOOKUP(_stats[[#This Row],[tournament]],tournaments_n_rules[],2,0)</f>
        <v>УПК</v>
      </c>
      <c r="M949" s="51" t="str">
        <f>VLOOKUP(_stats[[#This Row],[tournament]],tournaments_n_rules[],3,0)</f>
        <v>Весна 2026</v>
      </c>
      <c r="N949" s="52">
        <f>VLOOKUP(_stats[[#This Row],[tournament]],tournaments_n_rules[],4,0)</f>
        <v>46082</v>
      </c>
      <c r="O949" s="52">
        <f>VLOOKUP(_stats[[#This Row],[tournament]],tournaments_n_rules[],5,0)</f>
        <v>46173</v>
      </c>
    </row>
    <row r="950" spans="1:15" ht="15.75" x14ac:dyDescent="0.25">
      <c r="A950" s="23">
        <v>46117</v>
      </c>
      <c r="B950" s="11">
        <v>3</v>
      </c>
      <c r="C950" s="40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41">
        <v>3</v>
      </c>
      <c r="J950" s="10">
        <v>0</v>
      </c>
      <c r="K950" s="16">
        <v>6</v>
      </c>
      <c r="L950" s="51" t="str">
        <f>VLOOKUP(_stats[[#This Row],[tournament]],tournaments_n_rules[],2,0)</f>
        <v>УПК</v>
      </c>
      <c r="M950" s="51" t="str">
        <f>VLOOKUP(_stats[[#This Row],[tournament]],tournaments_n_rules[],3,0)</f>
        <v>Весна 2026</v>
      </c>
      <c r="N950" s="52">
        <f>VLOOKUP(_stats[[#This Row],[tournament]],tournaments_n_rules[],4,0)</f>
        <v>46082</v>
      </c>
      <c r="O950" s="52">
        <f>VLOOKUP(_stats[[#This Row],[tournament]],tournaments_n_rules[],5,0)</f>
        <v>46173</v>
      </c>
    </row>
    <row r="951" spans="1:15" ht="15.75" x14ac:dyDescent="0.25">
      <c r="A951" s="23">
        <v>46117</v>
      </c>
      <c r="B951" s="11">
        <v>3</v>
      </c>
      <c r="C951" s="40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41">
        <v>0</v>
      </c>
      <c r="J951" s="10">
        <v>0</v>
      </c>
      <c r="K951" s="16">
        <v>6</v>
      </c>
      <c r="L951" s="51" t="str">
        <f>VLOOKUP(_stats[[#This Row],[tournament]],tournaments_n_rules[],2,0)</f>
        <v>УПК</v>
      </c>
      <c r="M951" s="51" t="str">
        <f>VLOOKUP(_stats[[#This Row],[tournament]],tournaments_n_rules[],3,0)</f>
        <v>Весна 2026</v>
      </c>
      <c r="N951" s="52">
        <f>VLOOKUP(_stats[[#This Row],[tournament]],tournaments_n_rules[],4,0)</f>
        <v>46082</v>
      </c>
      <c r="O951" s="52">
        <f>VLOOKUP(_stats[[#This Row],[tournament]],tournaments_n_rules[],5,0)</f>
        <v>46173</v>
      </c>
    </row>
    <row r="952" spans="1:15" ht="15.75" x14ac:dyDescent="0.25">
      <c r="A952" s="23">
        <v>46117</v>
      </c>
      <c r="B952" s="11">
        <v>3</v>
      </c>
      <c r="C952" s="40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41">
        <v>0</v>
      </c>
      <c r="J952" s="10">
        <v>0</v>
      </c>
      <c r="K952" s="16">
        <v>6</v>
      </c>
      <c r="L952" s="51" t="str">
        <f>VLOOKUP(_stats[[#This Row],[tournament]],tournaments_n_rules[],2,0)</f>
        <v>УПК</v>
      </c>
      <c r="M952" s="51" t="str">
        <f>VLOOKUP(_stats[[#This Row],[tournament]],tournaments_n_rules[],3,0)</f>
        <v>Весна 2026</v>
      </c>
      <c r="N952" s="52">
        <f>VLOOKUP(_stats[[#This Row],[tournament]],tournaments_n_rules[],4,0)</f>
        <v>46082</v>
      </c>
      <c r="O952" s="52">
        <f>VLOOKUP(_stats[[#This Row],[tournament]],tournaments_n_rules[],5,0)</f>
        <v>46173</v>
      </c>
    </row>
    <row r="953" spans="1:15" ht="15.75" x14ac:dyDescent="0.25">
      <c r="A953" s="23">
        <v>46117</v>
      </c>
      <c r="B953" s="11">
        <v>1</v>
      </c>
      <c r="C953" s="40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41">
        <v>0</v>
      </c>
      <c r="J953" s="10">
        <v>0</v>
      </c>
      <c r="K953" s="16">
        <v>6</v>
      </c>
      <c r="L953" s="51" t="str">
        <f>VLOOKUP(_stats[[#This Row],[tournament]],tournaments_n_rules[],2,0)</f>
        <v>УПК</v>
      </c>
      <c r="M953" s="51" t="str">
        <f>VLOOKUP(_stats[[#This Row],[tournament]],tournaments_n_rules[],3,0)</f>
        <v>Весна 2026</v>
      </c>
      <c r="N953" s="52">
        <f>VLOOKUP(_stats[[#This Row],[tournament]],tournaments_n_rules[],4,0)</f>
        <v>46082</v>
      </c>
      <c r="O953" s="52">
        <f>VLOOKUP(_stats[[#This Row],[tournament]],tournaments_n_rules[],5,0)</f>
        <v>46173</v>
      </c>
    </row>
    <row r="954" spans="1:15" ht="15.75" x14ac:dyDescent="0.25">
      <c r="A954" s="23">
        <v>46117</v>
      </c>
      <c r="B954" s="11">
        <v>2</v>
      </c>
      <c r="C954" s="40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41">
        <v>1</v>
      </c>
      <c r="J954" s="10">
        <v>0</v>
      </c>
      <c r="K954" s="16">
        <v>6</v>
      </c>
      <c r="L954" s="51" t="str">
        <f>VLOOKUP(_stats[[#This Row],[tournament]],tournaments_n_rules[],2,0)</f>
        <v>УПК</v>
      </c>
      <c r="M954" s="51" t="str">
        <f>VLOOKUP(_stats[[#This Row],[tournament]],tournaments_n_rules[],3,0)</f>
        <v>Весна 2026</v>
      </c>
      <c r="N954" s="52">
        <f>VLOOKUP(_stats[[#This Row],[tournament]],tournaments_n_rules[],4,0)</f>
        <v>46082</v>
      </c>
      <c r="O954" s="52">
        <f>VLOOKUP(_stats[[#This Row],[tournament]],tournaments_n_rules[],5,0)</f>
        <v>46173</v>
      </c>
    </row>
    <row r="955" spans="1:15" ht="15.75" x14ac:dyDescent="0.25">
      <c r="A955" s="23">
        <v>46117</v>
      </c>
      <c r="B955" s="11">
        <v>1</v>
      </c>
      <c r="C955" s="40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41">
        <v>0</v>
      </c>
      <c r="J955" s="10">
        <v>0</v>
      </c>
      <c r="K955" s="16">
        <v>6</v>
      </c>
      <c r="L955" s="51" t="str">
        <f>VLOOKUP(_stats[[#This Row],[tournament]],tournaments_n_rules[],2,0)</f>
        <v>УПК</v>
      </c>
      <c r="M955" s="51" t="str">
        <f>VLOOKUP(_stats[[#This Row],[tournament]],tournaments_n_rules[],3,0)</f>
        <v>Весна 2026</v>
      </c>
      <c r="N955" s="52">
        <f>VLOOKUP(_stats[[#This Row],[tournament]],tournaments_n_rules[],4,0)</f>
        <v>46082</v>
      </c>
      <c r="O955" s="52">
        <f>VLOOKUP(_stats[[#This Row],[tournament]],tournaments_n_rules[],5,0)</f>
        <v>46173</v>
      </c>
    </row>
    <row r="956" spans="1:15" ht="15.75" x14ac:dyDescent="0.25">
      <c r="A956" s="23">
        <v>46117</v>
      </c>
      <c r="B956" s="11">
        <v>2</v>
      </c>
      <c r="C956" s="40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41">
        <v>1</v>
      </c>
      <c r="J956" s="10">
        <v>0</v>
      </c>
      <c r="K956" s="16">
        <v>6</v>
      </c>
      <c r="L956" s="51" t="str">
        <f>VLOOKUP(_stats[[#This Row],[tournament]],tournaments_n_rules[],2,0)</f>
        <v>УПК</v>
      </c>
      <c r="M956" s="51" t="str">
        <f>VLOOKUP(_stats[[#This Row],[tournament]],tournaments_n_rules[],3,0)</f>
        <v>Весна 2026</v>
      </c>
      <c r="N956" s="52">
        <f>VLOOKUP(_stats[[#This Row],[tournament]],tournaments_n_rules[],4,0)</f>
        <v>46082</v>
      </c>
      <c r="O956" s="52">
        <f>VLOOKUP(_stats[[#This Row],[tournament]],tournaments_n_rules[],5,0)</f>
        <v>46173</v>
      </c>
    </row>
    <row r="957" spans="1:15" ht="15.75" x14ac:dyDescent="0.25">
      <c r="A957" s="23">
        <v>46117</v>
      </c>
      <c r="B957" s="11">
        <v>1</v>
      </c>
      <c r="C957" s="40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41">
        <v>0</v>
      </c>
      <c r="J957" s="10">
        <v>0</v>
      </c>
      <c r="K957" s="16">
        <v>6</v>
      </c>
      <c r="L957" s="51" t="str">
        <f>VLOOKUP(_stats[[#This Row],[tournament]],tournaments_n_rules[],2,0)</f>
        <v>УПК</v>
      </c>
      <c r="M957" s="51" t="str">
        <f>VLOOKUP(_stats[[#This Row],[tournament]],tournaments_n_rules[],3,0)</f>
        <v>Весна 2026</v>
      </c>
      <c r="N957" s="52">
        <f>VLOOKUP(_stats[[#This Row],[tournament]],tournaments_n_rules[],4,0)</f>
        <v>46082</v>
      </c>
      <c r="O957" s="52">
        <f>VLOOKUP(_stats[[#This Row],[tournament]],tournaments_n_rules[],5,0)</f>
        <v>46173</v>
      </c>
    </row>
    <row r="958" spans="1:15" ht="15.75" x14ac:dyDescent="0.25">
      <c r="A958" s="23">
        <v>46117</v>
      </c>
      <c r="B958" s="11">
        <v>1</v>
      </c>
      <c r="C958" s="40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41">
        <v>0</v>
      </c>
      <c r="J958" s="10">
        <v>0</v>
      </c>
      <c r="K958" s="16">
        <v>6</v>
      </c>
      <c r="L958" s="51" t="str">
        <f>VLOOKUP(_stats[[#This Row],[tournament]],tournaments_n_rules[],2,0)</f>
        <v>УПК</v>
      </c>
      <c r="M958" s="51" t="str">
        <f>VLOOKUP(_stats[[#This Row],[tournament]],tournaments_n_rules[],3,0)</f>
        <v>Весна 2026</v>
      </c>
      <c r="N958" s="52">
        <f>VLOOKUP(_stats[[#This Row],[tournament]],tournaments_n_rules[],4,0)</f>
        <v>46082</v>
      </c>
      <c r="O958" s="52">
        <f>VLOOKUP(_stats[[#This Row],[tournament]],tournaments_n_rules[],5,0)</f>
        <v>46173</v>
      </c>
    </row>
    <row r="959" spans="1:15" ht="15.75" x14ac:dyDescent="0.25">
      <c r="A959" s="23">
        <v>46117</v>
      </c>
      <c r="B959" s="11">
        <v>3</v>
      </c>
      <c r="C959" s="40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41">
        <v>0</v>
      </c>
      <c r="J959" s="10">
        <v>0</v>
      </c>
      <c r="K959" s="16">
        <v>6</v>
      </c>
      <c r="L959" s="51" t="str">
        <f>VLOOKUP(_stats[[#This Row],[tournament]],tournaments_n_rules[],2,0)</f>
        <v>УПК</v>
      </c>
      <c r="M959" s="51" t="str">
        <f>VLOOKUP(_stats[[#This Row],[tournament]],tournaments_n_rules[],3,0)</f>
        <v>Весна 2026</v>
      </c>
      <c r="N959" s="52">
        <f>VLOOKUP(_stats[[#This Row],[tournament]],tournaments_n_rules[],4,0)</f>
        <v>46082</v>
      </c>
      <c r="O959" s="52">
        <f>VLOOKUP(_stats[[#This Row],[tournament]],tournaments_n_rules[],5,0)</f>
        <v>46173</v>
      </c>
    </row>
    <row r="960" spans="1:15" ht="15.75" x14ac:dyDescent="0.25">
      <c r="A960" s="23">
        <v>46117</v>
      </c>
      <c r="B960" s="11">
        <v>2</v>
      </c>
      <c r="C960" s="40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41">
        <v>2</v>
      </c>
      <c r="J960" s="10">
        <v>0</v>
      </c>
      <c r="K960" s="16">
        <v>6</v>
      </c>
      <c r="L960" s="51" t="str">
        <f>VLOOKUP(_stats[[#This Row],[tournament]],tournaments_n_rules[],2,0)</f>
        <v>УПК</v>
      </c>
      <c r="M960" s="51" t="str">
        <f>VLOOKUP(_stats[[#This Row],[tournament]],tournaments_n_rules[],3,0)</f>
        <v>Весна 2026</v>
      </c>
      <c r="N960" s="52">
        <f>VLOOKUP(_stats[[#This Row],[tournament]],tournaments_n_rules[],4,0)</f>
        <v>46082</v>
      </c>
      <c r="O960" s="52">
        <f>VLOOKUP(_stats[[#This Row],[tournament]],tournaments_n_rules[],5,0)</f>
        <v>46173</v>
      </c>
    </row>
    <row r="961" spans="1:15" ht="15.75" x14ac:dyDescent="0.25">
      <c r="A961" s="23">
        <v>46117</v>
      </c>
      <c r="B961" s="11">
        <v>1</v>
      </c>
      <c r="C961" s="40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41">
        <v>0</v>
      </c>
      <c r="J961" s="10">
        <v>0</v>
      </c>
      <c r="K961" s="16">
        <v>6</v>
      </c>
      <c r="L961" s="51" t="str">
        <f>VLOOKUP(_stats[[#This Row],[tournament]],tournaments_n_rules[],2,0)</f>
        <v>УПК</v>
      </c>
      <c r="M961" s="51" t="str">
        <f>VLOOKUP(_stats[[#This Row],[tournament]],tournaments_n_rules[],3,0)</f>
        <v>Весна 2026</v>
      </c>
      <c r="N961" s="52">
        <f>VLOOKUP(_stats[[#This Row],[tournament]],tournaments_n_rules[],4,0)</f>
        <v>46082</v>
      </c>
      <c r="O961" s="52">
        <f>VLOOKUP(_stats[[#This Row],[tournament]],tournaments_n_rules[],5,0)</f>
        <v>46173</v>
      </c>
    </row>
    <row r="962" spans="1:15" ht="15.75" x14ac:dyDescent="0.25">
      <c r="A962" s="23">
        <v>46117</v>
      </c>
      <c r="B962" s="11">
        <v>2</v>
      </c>
      <c r="C962" s="40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41">
        <v>0</v>
      </c>
      <c r="J962" s="10">
        <v>0</v>
      </c>
      <c r="K962" s="16">
        <v>6</v>
      </c>
      <c r="L962" s="51" t="str">
        <f>VLOOKUP(_stats[[#This Row],[tournament]],tournaments_n_rules[],2,0)</f>
        <v>УПК</v>
      </c>
      <c r="M962" s="51" t="str">
        <f>VLOOKUP(_stats[[#This Row],[tournament]],tournaments_n_rules[],3,0)</f>
        <v>Весна 2026</v>
      </c>
      <c r="N962" s="52">
        <f>VLOOKUP(_stats[[#This Row],[tournament]],tournaments_n_rules[],4,0)</f>
        <v>46082</v>
      </c>
      <c r="O962" s="52">
        <f>VLOOKUP(_stats[[#This Row],[tournament]],tournaments_n_rules[],5,0)</f>
        <v>46173</v>
      </c>
    </row>
    <row r="963" spans="1:15" ht="15.75" x14ac:dyDescent="0.25">
      <c r="A963" s="23">
        <v>46117</v>
      </c>
      <c r="B963" s="11">
        <v>2</v>
      </c>
      <c r="C963" s="40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41">
        <v>0</v>
      </c>
      <c r="J963" s="10">
        <v>0</v>
      </c>
      <c r="K963" s="16">
        <v>6</v>
      </c>
      <c r="L963" s="51" t="str">
        <f>VLOOKUP(_stats[[#This Row],[tournament]],tournaments_n_rules[],2,0)</f>
        <v>УПК</v>
      </c>
      <c r="M963" s="51" t="str">
        <f>VLOOKUP(_stats[[#This Row],[tournament]],tournaments_n_rules[],3,0)</f>
        <v>Весна 2026</v>
      </c>
      <c r="N963" s="52">
        <f>VLOOKUP(_stats[[#This Row],[tournament]],tournaments_n_rules[],4,0)</f>
        <v>46082</v>
      </c>
      <c r="O963" s="52">
        <f>VLOOKUP(_stats[[#This Row],[tournament]],tournaments_n_rules[],5,0)</f>
        <v>46173</v>
      </c>
    </row>
    <row r="964" spans="1:15" ht="15.75" x14ac:dyDescent="0.25">
      <c r="A964" s="23">
        <v>46117</v>
      </c>
      <c r="B964" s="11">
        <v>3</v>
      </c>
      <c r="C964" s="40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41">
        <v>0</v>
      </c>
      <c r="J964" s="10">
        <v>0</v>
      </c>
      <c r="K964" s="16">
        <v>6</v>
      </c>
      <c r="L964" s="51" t="str">
        <f>VLOOKUP(_stats[[#This Row],[tournament]],tournaments_n_rules[],2,0)</f>
        <v>УПК</v>
      </c>
      <c r="M964" s="51" t="str">
        <f>VLOOKUP(_stats[[#This Row],[tournament]],tournaments_n_rules[],3,0)</f>
        <v>Весна 2026</v>
      </c>
      <c r="N964" s="52">
        <f>VLOOKUP(_stats[[#This Row],[tournament]],tournaments_n_rules[],4,0)</f>
        <v>46082</v>
      </c>
      <c r="O964" s="52">
        <f>VLOOKUP(_stats[[#This Row],[tournament]],tournaments_n_rules[],5,0)</f>
        <v>46173</v>
      </c>
    </row>
    <row r="965" spans="1:15" ht="15.75" x14ac:dyDescent="0.25">
      <c r="A965" s="23">
        <v>46117</v>
      </c>
      <c r="B965" s="11">
        <v>1</v>
      </c>
      <c r="C965" s="40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41">
        <v>0</v>
      </c>
      <c r="J965" s="10">
        <v>0</v>
      </c>
      <c r="K965" s="16">
        <v>6</v>
      </c>
      <c r="L965" s="51" t="str">
        <f>VLOOKUP(_stats[[#This Row],[tournament]],tournaments_n_rules[],2,0)</f>
        <v>УПК</v>
      </c>
      <c r="M965" s="51" t="str">
        <f>VLOOKUP(_stats[[#This Row],[tournament]],tournaments_n_rules[],3,0)</f>
        <v>Весна 2026</v>
      </c>
      <c r="N965" s="52">
        <f>VLOOKUP(_stats[[#This Row],[tournament]],tournaments_n_rules[],4,0)</f>
        <v>46082</v>
      </c>
      <c r="O965" s="52">
        <f>VLOOKUP(_stats[[#This Row],[tournament]],tournaments_n_rules[],5,0)</f>
        <v>46173</v>
      </c>
    </row>
    <row r="966" spans="1:15" ht="15.75" x14ac:dyDescent="0.25">
      <c r="A966" s="23">
        <v>46117</v>
      </c>
      <c r="B966" s="11">
        <v>2</v>
      </c>
      <c r="C966" s="40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41">
        <v>0</v>
      </c>
      <c r="J966" s="10">
        <v>0</v>
      </c>
      <c r="K966" s="16">
        <v>6</v>
      </c>
      <c r="L966" s="51" t="str">
        <f>VLOOKUP(_stats[[#This Row],[tournament]],tournaments_n_rules[],2,0)</f>
        <v>УПК</v>
      </c>
      <c r="M966" s="51" t="str">
        <f>VLOOKUP(_stats[[#This Row],[tournament]],tournaments_n_rules[],3,0)</f>
        <v>Весна 2026</v>
      </c>
      <c r="N966" s="52">
        <f>VLOOKUP(_stats[[#This Row],[tournament]],tournaments_n_rules[],4,0)</f>
        <v>46082</v>
      </c>
      <c r="O966" s="52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51" t="str">
        <f>VLOOKUP(_stats[[#This Row],[tournament]],tournaments_n_rules[],2,0)</f>
        <v>УПК</v>
      </c>
      <c r="M967" s="51" t="str">
        <f>VLOOKUP(_stats[[#This Row],[tournament]],tournaments_n_rules[],3,0)</f>
        <v>Весна 2026</v>
      </c>
      <c r="N967" s="52">
        <f>VLOOKUP(_stats[[#This Row],[tournament]],tournaments_n_rules[],4,0)</f>
        <v>46082</v>
      </c>
      <c r="O967" s="52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51" t="str">
        <f>VLOOKUP(_stats[[#This Row],[tournament]],tournaments_n_rules[],2,0)</f>
        <v>УПК</v>
      </c>
      <c r="M968" s="51" t="str">
        <f>VLOOKUP(_stats[[#This Row],[tournament]],tournaments_n_rules[],3,0)</f>
        <v>Весна 2026</v>
      </c>
      <c r="N968" s="52">
        <f>VLOOKUP(_stats[[#This Row],[tournament]],tournaments_n_rules[],4,0)</f>
        <v>46082</v>
      </c>
      <c r="O968" s="52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51" t="str">
        <f>VLOOKUP(_stats[[#This Row],[tournament]],tournaments_n_rules[],2,0)</f>
        <v>УПК</v>
      </c>
      <c r="M969" s="51" t="str">
        <f>VLOOKUP(_stats[[#This Row],[tournament]],tournaments_n_rules[],3,0)</f>
        <v>Весна 2026</v>
      </c>
      <c r="N969" s="52">
        <f>VLOOKUP(_stats[[#This Row],[tournament]],tournaments_n_rules[],4,0)</f>
        <v>46082</v>
      </c>
      <c r="O969" s="52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51" t="str">
        <f>VLOOKUP(_stats[[#This Row],[tournament]],tournaments_n_rules[],2,0)</f>
        <v>УПК</v>
      </c>
      <c r="M970" s="51" t="str">
        <f>VLOOKUP(_stats[[#This Row],[tournament]],tournaments_n_rules[],3,0)</f>
        <v>Весна 2026</v>
      </c>
      <c r="N970" s="52">
        <f>VLOOKUP(_stats[[#This Row],[tournament]],tournaments_n_rules[],4,0)</f>
        <v>46082</v>
      </c>
      <c r="O970" s="52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51" t="str">
        <f>VLOOKUP(_stats[[#This Row],[tournament]],tournaments_n_rules[],2,0)</f>
        <v>УПК</v>
      </c>
      <c r="M971" s="51" t="str">
        <f>VLOOKUP(_stats[[#This Row],[tournament]],tournaments_n_rules[],3,0)</f>
        <v>Весна 2026</v>
      </c>
      <c r="N971" s="52">
        <f>VLOOKUP(_stats[[#This Row],[tournament]],tournaments_n_rules[],4,0)</f>
        <v>46082</v>
      </c>
      <c r="O971" s="52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51" t="str">
        <f>VLOOKUP(_stats[[#This Row],[tournament]],tournaments_n_rules[],2,0)</f>
        <v>УПК</v>
      </c>
      <c r="M972" s="51" t="str">
        <f>VLOOKUP(_stats[[#This Row],[tournament]],tournaments_n_rules[],3,0)</f>
        <v>Весна 2026</v>
      </c>
      <c r="N972" s="52">
        <f>VLOOKUP(_stats[[#This Row],[tournament]],tournaments_n_rules[],4,0)</f>
        <v>46082</v>
      </c>
      <c r="O972" s="52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51" t="str">
        <f>VLOOKUP(_stats[[#This Row],[tournament]],tournaments_n_rules[],2,0)</f>
        <v>УПК</v>
      </c>
      <c r="M973" s="51" t="str">
        <f>VLOOKUP(_stats[[#This Row],[tournament]],tournaments_n_rules[],3,0)</f>
        <v>Весна 2026</v>
      </c>
      <c r="N973" s="52">
        <f>VLOOKUP(_stats[[#This Row],[tournament]],tournaments_n_rules[],4,0)</f>
        <v>46082</v>
      </c>
      <c r="O973" s="52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51" t="str">
        <f>VLOOKUP(_stats[[#This Row],[tournament]],tournaments_n_rules[],2,0)</f>
        <v>УПК</v>
      </c>
      <c r="M974" s="51" t="str">
        <f>VLOOKUP(_stats[[#This Row],[tournament]],tournaments_n_rules[],3,0)</f>
        <v>Весна 2026</v>
      </c>
      <c r="N974" s="52">
        <f>VLOOKUP(_stats[[#This Row],[tournament]],tournaments_n_rules[],4,0)</f>
        <v>46082</v>
      </c>
      <c r="O974" s="52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51" t="str">
        <f>VLOOKUP(_stats[[#This Row],[tournament]],tournaments_n_rules[],2,0)</f>
        <v>УПК</v>
      </c>
      <c r="M975" s="51" t="str">
        <f>VLOOKUP(_stats[[#This Row],[tournament]],tournaments_n_rules[],3,0)</f>
        <v>Весна 2026</v>
      </c>
      <c r="N975" s="52">
        <f>VLOOKUP(_stats[[#This Row],[tournament]],tournaments_n_rules[],4,0)</f>
        <v>46082</v>
      </c>
      <c r="O975" s="52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51" t="str">
        <f>VLOOKUP(_stats[[#This Row],[tournament]],tournaments_n_rules[],2,0)</f>
        <v>УПК</v>
      </c>
      <c r="M976" s="51" t="str">
        <f>VLOOKUP(_stats[[#This Row],[tournament]],tournaments_n_rules[],3,0)</f>
        <v>Весна 2026</v>
      </c>
      <c r="N976" s="52">
        <f>VLOOKUP(_stats[[#This Row],[tournament]],tournaments_n_rules[],4,0)</f>
        <v>46082</v>
      </c>
      <c r="O976" s="52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51" t="str">
        <f>VLOOKUP(_stats[[#This Row],[tournament]],tournaments_n_rules[],2,0)</f>
        <v>УПК</v>
      </c>
      <c r="M977" s="51" t="str">
        <f>VLOOKUP(_stats[[#This Row],[tournament]],tournaments_n_rules[],3,0)</f>
        <v>Весна 2026</v>
      </c>
      <c r="N977" s="52">
        <f>VLOOKUP(_stats[[#This Row],[tournament]],tournaments_n_rules[],4,0)</f>
        <v>46082</v>
      </c>
      <c r="O977" s="52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51" t="str">
        <f>VLOOKUP(_stats[[#This Row],[tournament]],tournaments_n_rules[],2,0)</f>
        <v>УПК</v>
      </c>
      <c r="M978" s="51" t="str">
        <f>VLOOKUP(_stats[[#This Row],[tournament]],tournaments_n_rules[],3,0)</f>
        <v>Весна 2026</v>
      </c>
      <c r="N978" s="52">
        <f>VLOOKUP(_stats[[#This Row],[tournament]],tournaments_n_rules[],4,0)</f>
        <v>46082</v>
      </c>
      <c r="O978" s="52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51" t="str">
        <f>VLOOKUP(_stats[[#This Row],[tournament]],tournaments_n_rules[],2,0)</f>
        <v>УПК</v>
      </c>
      <c r="M979" s="51" t="str">
        <f>VLOOKUP(_stats[[#This Row],[tournament]],tournaments_n_rules[],3,0)</f>
        <v>Весна 2026</v>
      </c>
      <c r="N979" s="52">
        <f>VLOOKUP(_stats[[#This Row],[tournament]],tournaments_n_rules[],4,0)</f>
        <v>46082</v>
      </c>
      <c r="O979" s="52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51" t="str">
        <f>VLOOKUP(_stats[[#This Row],[tournament]],tournaments_n_rules[],2,0)</f>
        <v>УПК</v>
      </c>
      <c r="M980" s="51" t="str">
        <f>VLOOKUP(_stats[[#This Row],[tournament]],tournaments_n_rules[],3,0)</f>
        <v>Весна 2026</v>
      </c>
      <c r="N980" s="52">
        <f>VLOOKUP(_stats[[#This Row],[tournament]],tournaments_n_rules[],4,0)</f>
        <v>46082</v>
      </c>
      <c r="O980" s="52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51" t="str">
        <f>VLOOKUP(_stats[[#This Row],[tournament]],tournaments_n_rules[],2,0)</f>
        <v>УПК</v>
      </c>
      <c r="M981" s="51" t="str">
        <f>VLOOKUP(_stats[[#This Row],[tournament]],tournaments_n_rules[],3,0)</f>
        <v>Весна 2026</v>
      </c>
      <c r="N981" s="52">
        <f>VLOOKUP(_stats[[#This Row],[tournament]],tournaments_n_rules[],4,0)</f>
        <v>46082</v>
      </c>
      <c r="O981" s="52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51" t="str">
        <f>VLOOKUP(_stats[[#This Row],[tournament]],tournaments_n_rules[],2,0)</f>
        <v>УПК</v>
      </c>
      <c r="M982" s="51" t="str">
        <f>VLOOKUP(_stats[[#This Row],[tournament]],tournaments_n_rules[],3,0)</f>
        <v>Весна 2026</v>
      </c>
      <c r="N982" s="52">
        <f>VLOOKUP(_stats[[#This Row],[tournament]],tournaments_n_rules[],4,0)</f>
        <v>46082</v>
      </c>
      <c r="O982" s="52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51" t="str">
        <f>VLOOKUP(_stats[[#This Row],[tournament]],tournaments_n_rules[],2,0)</f>
        <v>УПК</v>
      </c>
      <c r="M983" s="51" t="str">
        <f>VLOOKUP(_stats[[#This Row],[tournament]],tournaments_n_rules[],3,0)</f>
        <v>Весна 2026</v>
      </c>
      <c r="N983" s="52">
        <f>VLOOKUP(_stats[[#This Row],[tournament]],tournaments_n_rules[],4,0)</f>
        <v>46082</v>
      </c>
      <c r="O983" s="52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51" t="str">
        <f>VLOOKUP(_stats[[#This Row],[tournament]],tournaments_n_rules[],2,0)</f>
        <v>УПК</v>
      </c>
      <c r="M984" s="51" t="str">
        <f>VLOOKUP(_stats[[#This Row],[tournament]],tournaments_n_rules[],3,0)</f>
        <v>Весна 2026</v>
      </c>
      <c r="N984" s="52">
        <f>VLOOKUP(_stats[[#This Row],[tournament]],tournaments_n_rules[],4,0)</f>
        <v>46082</v>
      </c>
      <c r="O984" s="52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51" t="str">
        <f>VLOOKUP(_stats[[#This Row],[tournament]],tournaments_n_rules[],2,0)</f>
        <v>УПК</v>
      </c>
      <c r="M985" s="51" t="str">
        <f>VLOOKUP(_stats[[#This Row],[tournament]],tournaments_n_rules[],3,0)</f>
        <v>Весна 2026</v>
      </c>
      <c r="N985" s="52">
        <f>VLOOKUP(_stats[[#This Row],[tournament]],tournaments_n_rules[],4,0)</f>
        <v>46082</v>
      </c>
      <c r="O985" s="52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51" t="str">
        <f>VLOOKUP(_stats[[#This Row],[tournament]],tournaments_n_rules[],2,0)</f>
        <v>УПК</v>
      </c>
      <c r="M986" s="51" t="str">
        <f>VLOOKUP(_stats[[#This Row],[tournament]],tournaments_n_rules[],3,0)</f>
        <v>Весна 2026</v>
      </c>
      <c r="N986" s="52">
        <f>VLOOKUP(_stats[[#This Row],[tournament]],tournaments_n_rules[],4,0)</f>
        <v>46082</v>
      </c>
      <c r="O986" s="52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51" t="str">
        <f>VLOOKUP(_stats[[#This Row],[tournament]],tournaments_n_rules[],2,0)</f>
        <v>УПК</v>
      </c>
      <c r="M987" s="51" t="str">
        <f>VLOOKUP(_stats[[#This Row],[tournament]],tournaments_n_rules[],3,0)</f>
        <v>Весна 2026</v>
      </c>
      <c r="N987" s="52">
        <f>VLOOKUP(_stats[[#This Row],[tournament]],tournaments_n_rules[],4,0)</f>
        <v>46082</v>
      </c>
      <c r="O987" s="52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51" t="str">
        <f>VLOOKUP(_stats[[#This Row],[tournament]],tournaments_n_rules[],2,0)</f>
        <v>УПК</v>
      </c>
      <c r="M988" s="51" t="str">
        <f>VLOOKUP(_stats[[#This Row],[tournament]],tournaments_n_rules[],3,0)</f>
        <v>Весна 2026</v>
      </c>
      <c r="N988" s="52">
        <f>VLOOKUP(_stats[[#This Row],[tournament]],tournaments_n_rules[],4,0)</f>
        <v>46082</v>
      </c>
      <c r="O988" s="52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51" t="str">
        <f>VLOOKUP(_stats[[#This Row],[tournament]],tournaments_n_rules[],2,0)</f>
        <v>УПК</v>
      </c>
      <c r="M989" s="51" t="str">
        <f>VLOOKUP(_stats[[#This Row],[tournament]],tournaments_n_rules[],3,0)</f>
        <v>Весна 2026</v>
      </c>
      <c r="N989" s="52">
        <f>VLOOKUP(_stats[[#This Row],[tournament]],tournaments_n_rules[],4,0)</f>
        <v>46082</v>
      </c>
      <c r="O989" s="52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51" t="str">
        <f>VLOOKUP(_stats[[#This Row],[tournament]],tournaments_n_rules[],2,0)</f>
        <v>УПК</v>
      </c>
      <c r="M990" s="51" t="str">
        <f>VLOOKUP(_stats[[#This Row],[tournament]],tournaments_n_rules[],3,0)</f>
        <v>Весна 2026</v>
      </c>
      <c r="N990" s="52">
        <f>VLOOKUP(_stats[[#This Row],[tournament]],tournaments_n_rules[],4,0)</f>
        <v>46082</v>
      </c>
      <c r="O990" s="52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51" t="str">
        <f>VLOOKUP(_stats[[#This Row],[tournament]],tournaments_n_rules[],2,0)</f>
        <v>УПК</v>
      </c>
      <c r="M991" s="51" t="str">
        <f>VLOOKUP(_stats[[#This Row],[tournament]],tournaments_n_rules[],3,0)</f>
        <v>Весна 2026</v>
      </c>
      <c r="N991" s="52">
        <f>VLOOKUP(_stats[[#This Row],[tournament]],tournaments_n_rules[],4,0)</f>
        <v>46082</v>
      </c>
      <c r="O991" s="52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51" t="str">
        <f>VLOOKUP(_stats[[#This Row],[tournament]],tournaments_n_rules[],2,0)</f>
        <v>УПК</v>
      </c>
      <c r="M992" s="51" t="str">
        <f>VLOOKUP(_stats[[#This Row],[tournament]],tournaments_n_rules[],3,0)</f>
        <v>Весна 2026</v>
      </c>
      <c r="N992" s="52">
        <f>VLOOKUP(_stats[[#This Row],[tournament]],tournaments_n_rules[],4,0)</f>
        <v>46082</v>
      </c>
      <c r="O992" s="52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51" t="str">
        <f>VLOOKUP(_stats[[#This Row],[tournament]],tournaments_n_rules[],2,0)</f>
        <v>УПК</v>
      </c>
      <c r="M993" s="51" t="str">
        <f>VLOOKUP(_stats[[#This Row],[tournament]],tournaments_n_rules[],3,0)</f>
        <v>Весна 2026</v>
      </c>
      <c r="N993" s="52">
        <f>VLOOKUP(_stats[[#This Row],[tournament]],tournaments_n_rules[],4,0)</f>
        <v>46082</v>
      </c>
      <c r="O993" s="52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51" t="str">
        <f>VLOOKUP(_stats[[#This Row],[tournament]],tournaments_n_rules[],2,0)</f>
        <v>УПК</v>
      </c>
      <c r="M994" s="51" t="str">
        <f>VLOOKUP(_stats[[#This Row],[tournament]],tournaments_n_rules[],3,0)</f>
        <v>Весна 2026</v>
      </c>
      <c r="N994" s="52">
        <f>VLOOKUP(_stats[[#This Row],[tournament]],tournaments_n_rules[],4,0)</f>
        <v>46082</v>
      </c>
      <c r="O994" s="52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51" t="str">
        <f>VLOOKUP(_stats[[#This Row],[tournament]],tournaments_n_rules[],2,0)</f>
        <v>УПК</v>
      </c>
      <c r="M995" s="51" t="str">
        <f>VLOOKUP(_stats[[#This Row],[tournament]],tournaments_n_rules[],3,0)</f>
        <v>Весна 2026</v>
      </c>
      <c r="N995" s="52">
        <f>VLOOKUP(_stats[[#This Row],[tournament]],tournaments_n_rules[],4,0)</f>
        <v>46082</v>
      </c>
      <c r="O995" s="52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51" t="str">
        <f>VLOOKUP(_stats[[#This Row],[tournament]],tournaments_n_rules[],2,0)</f>
        <v>УПК</v>
      </c>
      <c r="M996" s="51" t="str">
        <f>VLOOKUP(_stats[[#This Row],[tournament]],tournaments_n_rules[],3,0)</f>
        <v>Весна 2026</v>
      </c>
      <c r="N996" s="52">
        <f>VLOOKUP(_stats[[#This Row],[tournament]],tournaments_n_rules[],4,0)</f>
        <v>46082</v>
      </c>
      <c r="O996" s="52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51" t="str">
        <f>VLOOKUP(_stats[[#This Row],[tournament]],tournaments_n_rules[],2,0)</f>
        <v>УПК</v>
      </c>
      <c r="M997" s="51" t="str">
        <f>VLOOKUP(_stats[[#This Row],[tournament]],tournaments_n_rules[],3,0)</f>
        <v>Весна 2026</v>
      </c>
      <c r="N997" s="52">
        <f>VLOOKUP(_stats[[#This Row],[tournament]],tournaments_n_rules[],4,0)</f>
        <v>46082</v>
      </c>
      <c r="O997" s="52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51" t="str">
        <f>VLOOKUP(_stats[[#This Row],[tournament]],tournaments_n_rules[],2,0)</f>
        <v>УПК</v>
      </c>
      <c r="M998" s="51" t="str">
        <f>VLOOKUP(_stats[[#This Row],[tournament]],tournaments_n_rules[],3,0)</f>
        <v>Весна 2026</v>
      </c>
      <c r="N998" s="52">
        <f>VLOOKUP(_stats[[#This Row],[tournament]],tournaments_n_rules[],4,0)</f>
        <v>46082</v>
      </c>
      <c r="O998" s="52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51" t="str">
        <f>VLOOKUP(_stats[[#This Row],[tournament]],tournaments_n_rules[],2,0)</f>
        <v>УПК</v>
      </c>
      <c r="M999" s="51" t="str">
        <f>VLOOKUP(_stats[[#This Row],[tournament]],tournaments_n_rules[],3,0)</f>
        <v>Весна 2026</v>
      </c>
      <c r="N999" s="52">
        <f>VLOOKUP(_stats[[#This Row],[tournament]],tournaments_n_rules[],4,0)</f>
        <v>46082</v>
      </c>
      <c r="O999" s="52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51" t="str">
        <f>VLOOKUP(_stats[[#This Row],[tournament]],tournaments_n_rules[],2,0)</f>
        <v>УПК</v>
      </c>
      <c r="M1000" s="51" t="str">
        <f>VLOOKUP(_stats[[#This Row],[tournament]],tournaments_n_rules[],3,0)</f>
        <v>Весна 2026</v>
      </c>
      <c r="N1000" s="52">
        <f>VLOOKUP(_stats[[#This Row],[tournament]],tournaments_n_rules[],4,0)</f>
        <v>46082</v>
      </c>
      <c r="O1000" s="52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51" t="str">
        <f>VLOOKUP(_stats[[#This Row],[tournament]],tournaments_n_rules[],2,0)</f>
        <v>УПК</v>
      </c>
      <c r="M1001" s="51" t="str">
        <f>VLOOKUP(_stats[[#This Row],[tournament]],tournaments_n_rules[],3,0)</f>
        <v>Весна 2026</v>
      </c>
      <c r="N1001" s="52">
        <f>VLOOKUP(_stats[[#This Row],[tournament]],tournaments_n_rules[],4,0)</f>
        <v>46082</v>
      </c>
      <c r="O1001" s="52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51" t="str">
        <f>VLOOKUP(_stats[[#This Row],[tournament]],tournaments_n_rules[],2,0)</f>
        <v>УПК</v>
      </c>
      <c r="M1002" s="51" t="str">
        <f>VLOOKUP(_stats[[#This Row],[tournament]],tournaments_n_rules[],3,0)</f>
        <v>Весна 2026</v>
      </c>
      <c r="N1002" s="52">
        <f>VLOOKUP(_stats[[#This Row],[tournament]],tournaments_n_rules[],4,0)</f>
        <v>46082</v>
      </c>
      <c r="O1002" s="52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51" t="str">
        <f>VLOOKUP(_stats[[#This Row],[tournament]],tournaments_n_rules[],2,0)</f>
        <v>УПК</v>
      </c>
      <c r="M1003" s="51" t="str">
        <f>VLOOKUP(_stats[[#This Row],[tournament]],tournaments_n_rules[],3,0)</f>
        <v>Весна 2026</v>
      </c>
      <c r="N1003" s="52">
        <f>VLOOKUP(_stats[[#This Row],[tournament]],tournaments_n_rules[],4,0)</f>
        <v>46082</v>
      </c>
      <c r="O1003" s="52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51" t="str">
        <f>VLOOKUP(_stats[[#This Row],[tournament]],tournaments_n_rules[],2,0)</f>
        <v>УПК</v>
      </c>
      <c r="M1004" s="51" t="str">
        <f>VLOOKUP(_stats[[#This Row],[tournament]],tournaments_n_rules[],3,0)</f>
        <v>Весна 2026</v>
      </c>
      <c r="N1004" s="52">
        <f>VLOOKUP(_stats[[#This Row],[tournament]],tournaments_n_rules[],4,0)</f>
        <v>46082</v>
      </c>
      <c r="O1004" s="52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51" t="str">
        <f>VLOOKUP(_stats[[#This Row],[tournament]],tournaments_n_rules[],2,0)</f>
        <v>УПК</v>
      </c>
      <c r="M1005" s="51" t="str">
        <f>VLOOKUP(_stats[[#This Row],[tournament]],tournaments_n_rules[],3,0)</f>
        <v>Весна 2026</v>
      </c>
      <c r="N1005" s="52">
        <f>VLOOKUP(_stats[[#This Row],[tournament]],tournaments_n_rules[],4,0)</f>
        <v>46082</v>
      </c>
      <c r="O1005" s="52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51" t="str">
        <f>VLOOKUP(_stats[[#This Row],[tournament]],tournaments_n_rules[],2,0)</f>
        <v>УПК</v>
      </c>
      <c r="M1006" s="51" t="str">
        <f>VLOOKUP(_stats[[#This Row],[tournament]],tournaments_n_rules[],3,0)</f>
        <v>Весна 2026</v>
      </c>
      <c r="N1006" s="52">
        <f>VLOOKUP(_stats[[#This Row],[tournament]],tournaments_n_rules[],4,0)</f>
        <v>46082</v>
      </c>
      <c r="O1006" s="52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51" t="str">
        <f>VLOOKUP(_stats[[#This Row],[tournament]],tournaments_n_rules[],2,0)</f>
        <v>УПК</v>
      </c>
      <c r="M1007" s="51" t="str">
        <f>VLOOKUP(_stats[[#This Row],[tournament]],tournaments_n_rules[],3,0)</f>
        <v>Весна 2026</v>
      </c>
      <c r="N1007" s="52">
        <f>VLOOKUP(_stats[[#This Row],[tournament]],tournaments_n_rules[],4,0)</f>
        <v>46082</v>
      </c>
      <c r="O1007" s="52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51" t="str">
        <f>VLOOKUP(_stats[[#This Row],[tournament]],tournaments_n_rules[],2,0)</f>
        <v>УПК</v>
      </c>
      <c r="M1008" s="51" t="str">
        <f>VLOOKUP(_stats[[#This Row],[tournament]],tournaments_n_rules[],3,0)</f>
        <v>Весна 2026</v>
      </c>
      <c r="N1008" s="52">
        <f>VLOOKUP(_stats[[#This Row],[tournament]],tournaments_n_rules[],4,0)</f>
        <v>46082</v>
      </c>
      <c r="O1008" s="52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51" t="str">
        <f>VLOOKUP(_stats[[#This Row],[tournament]],tournaments_n_rules[],2,0)</f>
        <v>УПК</v>
      </c>
      <c r="M1009" s="51" t="str">
        <f>VLOOKUP(_stats[[#This Row],[tournament]],tournaments_n_rules[],3,0)</f>
        <v>Весна 2026</v>
      </c>
      <c r="N1009" s="52">
        <f>VLOOKUP(_stats[[#This Row],[tournament]],tournaments_n_rules[],4,0)</f>
        <v>46082</v>
      </c>
      <c r="O1009" s="52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51" t="str">
        <f>VLOOKUP(_stats[[#This Row],[tournament]],tournaments_n_rules[],2,0)</f>
        <v>УПК</v>
      </c>
      <c r="M1010" s="51" t="str">
        <f>VLOOKUP(_stats[[#This Row],[tournament]],tournaments_n_rules[],3,0)</f>
        <v>Весна 2026</v>
      </c>
      <c r="N1010" s="52">
        <f>VLOOKUP(_stats[[#This Row],[tournament]],tournaments_n_rules[],4,0)</f>
        <v>46082</v>
      </c>
      <c r="O1010" s="52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51" t="str">
        <f>VLOOKUP(_stats[[#This Row],[tournament]],tournaments_n_rules[],2,0)</f>
        <v>УПК</v>
      </c>
      <c r="M1011" s="51" t="str">
        <f>VLOOKUP(_stats[[#This Row],[tournament]],tournaments_n_rules[],3,0)</f>
        <v>Весна 2026</v>
      </c>
      <c r="N1011" s="52">
        <f>VLOOKUP(_stats[[#This Row],[tournament]],tournaments_n_rules[],4,0)</f>
        <v>46082</v>
      </c>
      <c r="O1011" s="52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51" t="str">
        <f>VLOOKUP(_stats[[#This Row],[tournament]],tournaments_n_rules[],2,0)</f>
        <v>УПК</v>
      </c>
      <c r="M1012" s="51" t="str">
        <f>VLOOKUP(_stats[[#This Row],[tournament]],tournaments_n_rules[],3,0)</f>
        <v>Весна 2026</v>
      </c>
      <c r="N1012" s="52">
        <f>VLOOKUP(_stats[[#This Row],[tournament]],tournaments_n_rules[],4,0)</f>
        <v>46082</v>
      </c>
      <c r="O1012" s="52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51" t="str">
        <f>VLOOKUP(_stats[[#This Row],[tournament]],tournaments_n_rules[],2,0)</f>
        <v>УПК</v>
      </c>
      <c r="M1013" s="51" t="str">
        <f>VLOOKUP(_stats[[#This Row],[tournament]],tournaments_n_rules[],3,0)</f>
        <v>Весна 2026</v>
      </c>
      <c r="N1013" s="52">
        <f>VLOOKUP(_stats[[#This Row],[tournament]],tournaments_n_rules[],4,0)</f>
        <v>46082</v>
      </c>
      <c r="O1013" s="52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51" t="str">
        <f>VLOOKUP(_stats[[#This Row],[tournament]],tournaments_n_rules[],2,0)</f>
        <v>УПК</v>
      </c>
      <c r="M1014" s="51" t="str">
        <f>VLOOKUP(_stats[[#This Row],[tournament]],tournaments_n_rules[],3,0)</f>
        <v>Весна 2026</v>
      </c>
      <c r="N1014" s="52">
        <f>VLOOKUP(_stats[[#This Row],[tournament]],tournaments_n_rules[],4,0)</f>
        <v>46082</v>
      </c>
      <c r="O1014" s="52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51" t="str">
        <f>VLOOKUP(_stats[[#This Row],[tournament]],tournaments_n_rules[],2,0)</f>
        <v>УПК</v>
      </c>
      <c r="M1015" s="51" t="str">
        <f>VLOOKUP(_stats[[#This Row],[tournament]],tournaments_n_rules[],3,0)</f>
        <v>Весна 2026</v>
      </c>
      <c r="N1015" s="52">
        <f>VLOOKUP(_stats[[#This Row],[tournament]],tournaments_n_rules[],4,0)</f>
        <v>46082</v>
      </c>
      <c r="O1015" s="52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51" t="str">
        <f>VLOOKUP(_stats[[#This Row],[tournament]],tournaments_n_rules[],2,0)</f>
        <v>УПК</v>
      </c>
      <c r="M1016" s="51" t="str">
        <f>VLOOKUP(_stats[[#This Row],[tournament]],tournaments_n_rules[],3,0)</f>
        <v>Весна 2026</v>
      </c>
      <c r="N1016" s="52">
        <f>VLOOKUP(_stats[[#This Row],[tournament]],tournaments_n_rules[],4,0)</f>
        <v>46082</v>
      </c>
      <c r="O1016" s="52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51" t="str">
        <f>VLOOKUP(_stats[[#This Row],[tournament]],tournaments_n_rules[],2,0)</f>
        <v>УПК</v>
      </c>
      <c r="M1017" s="51" t="str">
        <f>VLOOKUP(_stats[[#This Row],[tournament]],tournaments_n_rules[],3,0)</f>
        <v>Весна 2026</v>
      </c>
      <c r="N1017" s="52">
        <f>VLOOKUP(_stats[[#This Row],[tournament]],tournaments_n_rules[],4,0)</f>
        <v>46082</v>
      </c>
      <c r="O1017" s="52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51" t="str">
        <f>VLOOKUP(_stats[[#This Row],[tournament]],tournaments_n_rules[],2,0)</f>
        <v>УПК</v>
      </c>
      <c r="M1018" s="51" t="str">
        <f>VLOOKUP(_stats[[#This Row],[tournament]],tournaments_n_rules[],3,0)</f>
        <v>Весна 2026</v>
      </c>
      <c r="N1018" s="52">
        <f>VLOOKUP(_stats[[#This Row],[tournament]],tournaments_n_rules[],4,0)</f>
        <v>46082</v>
      </c>
      <c r="O1018" s="52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51" t="str">
        <f>VLOOKUP(_stats[[#This Row],[tournament]],tournaments_n_rules[],2,0)</f>
        <v>УПК</v>
      </c>
      <c r="M1019" s="51" t="str">
        <f>VLOOKUP(_stats[[#This Row],[tournament]],tournaments_n_rules[],3,0)</f>
        <v>Весна 2026</v>
      </c>
      <c r="N1019" s="52">
        <f>VLOOKUP(_stats[[#This Row],[tournament]],tournaments_n_rules[],4,0)</f>
        <v>46082</v>
      </c>
      <c r="O1019" s="52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51" t="str">
        <f>VLOOKUP(_stats[[#This Row],[tournament]],tournaments_n_rules[],2,0)</f>
        <v>УПК</v>
      </c>
      <c r="M1020" s="51" t="str">
        <f>VLOOKUP(_stats[[#This Row],[tournament]],tournaments_n_rules[],3,0)</f>
        <v>Весна 2026</v>
      </c>
      <c r="N1020" s="52">
        <f>VLOOKUP(_stats[[#This Row],[tournament]],tournaments_n_rules[],4,0)</f>
        <v>46082</v>
      </c>
      <c r="O1020" s="52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51" t="str">
        <f>VLOOKUP(_stats[[#This Row],[tournament]],tournaments_n_rules[],2,0)</f>
        <v>УПК</v>
      </c>
      <c r="M1021" s="51" t="str">
        <f>VLOOKUP(_stats[[#This Row],[tournament]],tournaments_n_rules[],3,0)</f>
        <v>Весна 2026</v>
      </c>
      <c r="N1021" s="52">
        <f>VLOOKUP(_stats[[#This Row],[tournament]],tournaments_n_rules[],4,0)</f>
        <v>46082</v>
      </c>
      <c r="O1021" s="52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51" t="str">
        <f>VLOOKUP(_stats[[#This Row],[tournament]],tournaments_n_rules[],2,0)</f>
        <v>УПК</v>
      </c>
      <c r="M1022" s="51" t="str">
        <f>VLOOKUP(_stats[[#This Row],[tournament]],tournaments_n_rules[],3,0)</f>
        <v>Весна 2026</v>
      </c>
      <c r="N1022" s="52">
        <f>VLOOKUP(_stats[[#This Row],[tournament]],tournaments_n_rules[],4,0)</f>
        <v>46082</v>
      </c>
      <c r="O1022" s="52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51" t="str">
        <f>VLOOKUP(_stats[[#This Row],[tournament]],tournaments_n_rules[],2,0)</f>
        <v>УПК</v>
      </c>
      <c r="M1023" s="51" t="str">
        <f>VLOOKUP(_stats[[#This Row],[tournament]],tournaments_n_rules[],3,0)</f>
        <v>Весна 2026</v>
      </c>
      <c r="N1023" s="52">
        <f>VLOOKUP(_stats[[#This Row],[tournament]],tournaments_n_rules[],4,0)</f>
        <v>46082</v>
      </c>
      <c r="O1023" s="52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51" t="str">
        <f>VLOOKUP(_stats[[#This Row],[tournament]],tournaments_n_rules[],2,0)</f>
        <v>УПК</v>
      </c>
      <c r="M1024" s="51" t="str">
        <f>VLOOKUP(_stats[[#This Row],[tournament]],tournaments_n_rules[],3,0)</f>
        <v>Весна 2026</v>
      </c>
      <c r="N1024" s="52">
        <f>VLOOKUP(_stats[[#This Row],[tournament]],tournaments_n_rules[],4,0)</f>
        <v>46082</v>
      </c>
      <c r="O1024" s="52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51" t="str">
        <f>VLOOKUP(_stats[[#This Row],[tournament]],tournaments_n_rules[],2,0)</f>
        <v>УПК</v>
      </c>
      <c r="M1025" s="51" t="str">
        <f>VLOOKUP(_stats[[#This Row],[tournament]],tournaments_n_rules[],3,0)</f>
        <v>Весна 2026</v>
      </c>
      <c r="N1025" s="52">
        <f>VLOOKUP(_stats[[#This Row],[tournament]],tournaments_n_rules[],4,0)</f>
        <v>46082</v>
      </c>
      <c r="O1025" s="52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51" t="str">
        <f>VLOOKUP(_stats[[#This Row],[tournament]],tournaments_n_rules[],2,0)</f>
        <v>УПК</v>
      </c>
      <c r="M1026" s="51" t="str">
        <f>VLOOKUP(_stats[[#This Row],[tournament]],tournaments_n_rules[],3,0)</f>
        <v>Весна 2026</v>
      </c>
      <c r="N1026" s="52">
        <f>VLOOKUP(_stats[[#This Row],[tournament]],tournaments_n_rules[],4,0)</f>
        <v>46082</v>
      </c>
      <c r="O1026" s="52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51" t="str">
        <f>VLOOKUP(_stats[[#This Row],[tournament]],tournaments_n_rules[],2,0)</f>
        <v>УПК</v>
      </c>
      <c r="M1027" s="51" t="str">
        <f>VLOOKUP(_stats[[#This Row],[tournament]],tournaments_n_rules[],3,0)</f>
        <v>Весна 2026</v>
      </c>
      <c r="N1027" s="52">
        <f>VLOOKUP(_stats[[#This Row],[tournament]],tournaments_n_rules[],4,0)</f>
        <v>46082</v>
      </c>
      <c r="O1027" s="52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51" t="str">
        <f>VLOOKUP(_stats[[#This Row],[tournament]],tournaments_n_rules[],2,0)</f>
        <v>УПК</v>
      </c>
      <c r="M1028" s="51" t="str">
        <f>VLOOKUP(_stats[[#This Row],[tournament]],tournaments_n_rules[],3,0)</f>
        <v>Весна 2026</v>
      </c>
      <c r="N1028" s="52">
        <f>VLOOKUP(_stats[[#This Row],[tournament]],tournaments_n_rules[],4,0)</f>
        <v>46082</v>
      </c>
      <c r="O1028" s="52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51" t="str">
        <f>VLOOKUP(_stats[[#This Row],[tournament]],tournaments_n_rules[],2,0)</f>
        <v>УПК</v>
      </c>
      <c r="M1029" s="51" t="str">
        <f>VLOOKUP(_stats[[#This Row],[tournament]],tournaments_n_rules[],3,0)</f>
        <v>Весна 2026</v>
      </c>
      <c r="N1029" s="52">
        <f>VLOOKUP(_stats[[#This Row],[tournament]],tournaments_n_rules[],4,0)</f>
        <v>46082</v>
      </c>
      <c r="O1029" s="52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51" t="str">
        <f>VLOOKUP(_stats[[#This Row],[tournament]],tournaments_n_rules[],2,0)</f>
        <v>УПК</v>
      </c>
      <c r="M1030" s="51" t="str">
        <f>VLOOKUP(_stats[[#This Row],[tournament]],tournaments_n_rules[],3,0)</f>
        <v>Весна 2026</v>
      </c>
      <c r="N1030" s="52">
        <f>VLOOKUP(_stats[[#This Row],[tournament]],tournaments_n_rules[],4,0)</f>
        <v>46082</v>
      </c>
      <c r="O1030" s="52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51" t="str">
        <f>VLOOKUP(_stats[[#This Row],[tournament]],tournaments_n_rules[],2,0)</f>
        <v>УПК</v>
      </c>
      <c r="M1031" s="51" t="str">
        <f>VLOOKUP(_stats[[#This Row],[tournament]],tournaments_n_rules[],3,0)</f>
        <v>Весна 2026</v>
      </c>
      <c r="N1031" s="52">
        <f>VLOOKUP(_stats[[#This Row],[tournament]],tournaments_n_rules[],4,0)</f>
        <v>46082</v>
      </c>
      <c r="O1031" s="52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51" t="str">
        <f>VLOOKUP(_stats[[#This Row],[tournament]],tournaments_n_rules[],2,0)</f>
        <v>УПК</v>
      </c>
      <c r="M1032" s="51" t="str">
        <f>VLOOKUP(_stats[[#This Row],[tournament]],tournaments_n_rules[],3,0)</f>
        <v>Весна 2026</v>
      </c>
      <c r="N1032" s="52">
        <f>VLOOKUP(_stats[[#This Row],[tournament]],tournaments_n_rules[],4,0)</f>
        <v>46082</v>
      </c>
      <c r="O1032" s="52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51" t="str">
        <f>VLOOKUP(_stats[[#This Row],[tournament]],tournaments_n_rules[],2,0)</f>
        <v>УПК</v>
      </c>
      <c r="M1033" s="51" t="str">
        <f>VLOOKUP(_stats[[#This Row],[tournament]],tournaments_n_rules[],3,0)</f>
        <v>Весна 2026</v>
      </c>
      <c r="N1033" s="52">
        <f>VLOOKUP(_stats[[#This Row],[tournament]],tournaments_n_rules[],4,0)</f>
        <v>46082</v>
      </c>
      <c r="O1033" s="52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51" t="str">
        <f>VLOOKUP(_stats[[#This Row],[tournament]],tournaments_n_rules[],2,0)</f>
        <v>УПК</v>
      </c>
      <c r="M1034" s="51" t="str">
        <f>VLOOKUP(_stats[[#This Row],[tournament]],tournaments_n_rules[],3,0)</f>
        <v>Весна 2026</v>
      </c>
      <c r="N1034" s="52">
        <f>VLOOKUP(_stats[[#This Row],[tournament]],tournaments_n_rules[],4,0)</f>
        <v>46082</v>
      </c>
      <c r="O1034" s="52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51" t="str">
        <f>VLOOKUP(_stats[[#This Row],[tournament]],tournaments_n_rules[],2,0)</f>
        <v>УПК</v>
      </c>
      <c r="M1035" s="51" t="str">
        <f>VLOOKUP(_stats[[#This Row],[tournament]],tournaments_n_rules[],3,0)</f>
        <v>Весна 2026</v>
      </c>
      <c r="N1035" s="52">
        <f>VLOOKUP(_stats[[#This Row],[tournament]],tournaments_n_rules[],4,0)</f>
        <v>46082</v>
      </c>
      <c r="O1035" s="52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51" t="str">
        <f>VLOOKUP(_stats[[#This Row],[tournament]],tournaments_n_rules[],2,0)</f>
        <v>УПК</v>
      </c>
      <c r="M1036" s="51" t="str">
        <f>VLOOKUP(_stats[[#This Row],[tournament]],tournaments_n_rules[],3,0)</f>
        <v>Весна 2026</v>
      </c>
      <c r="N1036" s="52">
        <f>VLOOKUP(_stats[[#This Row],[tournament]],tournaments_n_rules[],4,0)</f>
        <v>46082</v>
      </c>
      <c r="O1036" s="52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51" t="str">
        <f>VLOOKUP(_stats[[#This Row],[tournament]],tournaments_n_rules[],2,0)</f>
        <v>УПК</v>
      </c>
      <c r="M1037" s="51" t="str">
        <f>VLOOKUP(_stats[[#This Row],[tournament]],tournaments_n_rules[],3,0)</f>
        <v>Весна 2026</v>
      </c>
      <c r="N1037" s="52">
        <f>VLOOKUP(_stats[[#This Row],[tournament]],tournaments_n_rules[],4,0)</f>
        <v>46082</v>
      </c>
      <c r="O1037" s="52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51" t="str">
        <f>VLOOKUP(_stats[[#This Row],[tournament]],tournaments_n_rules[],2,0)</f>
        <v>УПК</v>
      </c>
      <c r="M1038" s="51" t="str">
        <f>VLOOKUP(_stats[[#This Row],[tournament]],tournaments_n_rules[],3,0)</f>
        <v>Весна 2026</v>
      </c>
      <c r="N1038" s="52">
        <f>VLOOKUP(_stats[[#This Row],[tournament]],tournaments_n_rules[],4,0)</f>
        <v>46082</v>
      </c>
      <c r="O1038" s="52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51" t="str">
        <f>VLOOKUP(_stats[[#This Row],[tournament]],tournaments_n_rules[],2,0)</f>
        <v>УПК</v>
      </c>
      <c r="M1039" s="51" t="str">
        <f>VLOOKUP(_stats[[#This Row],[tournament]],tournaments_n_rules[],3,0)</f>
        <v>Весна 2026</v>
      </c>
      <c r="N1039" s="52">
        <f>VLOOKUP(_stats[[#This Row],[tournament]],tournaments_n_rules[],4,0)</f>
        <v>46082</v>
      </c>
      <c r="O1039" s="52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51" t="str">
        <f>VLOOKUP(_stats[[#This Row],[tournament]],tournaments_n_rules[],2,0)</f>
        <v>УПК</v>
      </c>
      <c r="M1040" s="51" t="str">
        <f>VLOOKUP(_stats[[#This Row],[tournament]],tournaments_n_rules[],3,0)</f>
        <v>Весна 2026</v>
      </c>
      <c r="N1040" s="52">
        <f>VLOOKUP(_stats[[#This Row],[tournament]],tournaments_n_rules[],4,0)</f>
        <v>46082</v>
      </c>
      <c r="O1040" s="52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51" t="str">
        <f>VLOOKUP(_stats[[#This Row],[tournament]],tournaments_n_rules[],2,0)</f>
        <v>УПК</v>
      </c>
      <c r="M1041" s="51" t="str">
        <f>VLOOKUP(_stats[[#This Row],[tournament]],tournaments_n_rules[],3,0)</f>
        <v>Весна 2026</v>
      </c>
      <c r="N1041" s="52">
        <f>VLOOKUP(_stats[[#This Row],[tournament]],tournaments_n_rules[],4,0)</f>
        <v>46082</v>
      </c>
      <c r="O1041" s="52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51" t="str">
        <f>VLOOKUP(_stats[[#This Row],[tournament]],tournaments_n_rules[],2,0)</f>
        <v>УПК</v>
      </c>
      <c r="M1042" s="51" t="str">
        <f>VLOOKUP(_stats[[#This Row],[tournament]],tournaments_n_rules[],3,0)</f>
        <v>Весна 2026</v>
      </c>
      <c r="N1042" s="52">
        <f>VLOOKUP(_stats[[#This Row],[tournament]],tournaments_n_rules[],4,0)</f>
        <v>46082</v>
      </c>
      <c r="O1042" s="52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51" t="str">
        <f>VLOOKUP(_stats[[#This Row],[tournament]],tournaments_n_rules[],2,0)</f>
        <v>УПК</v>
      </c>
      <c r="M1043" s="51" t="str">
        <f>VLOOKUP(_stats[[#This Row],[tournament]],tournaments_n_rules[],3,0)</f>
        <v>Весна 2026</v>
      </c>
      <c r="N1043" s="52">
        <f>VLOOKUP(_stats[[#This Row],[tournament]],tournaments_n_rules[],4,0)</f>
        <v>46082</v>
      </c>
      <c r="O1043" s="52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51" t="str">
        <f>VLOOKUP(_stats[[#This Row],[tournament]],tournaments_n_rules[],2,0)</f>
        <v>УПК</v>
      </c>
      <c r="M1044" s="51" t="str">
        <f>VLOOKUP(_stats[[#This Row],[tournament]],tournaments_n_rules[],3,0)</f>
        <v>Весна 2026</v>
      </c>
      <c r="N1044" s="52">
        <f>VLOOKUP(_stats[[#This Row],[tournament]],tournaments_n_rules[],4,0)</f>
        <v>46082</v>
      </c>
      <c r="O1044" s="52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51" t="str">
        <f>VLOOKUP(_stats[[#This Row],[tournament]],tournaments_n_rules[],2,0)</f>
        <v>УПК</v>
      </c>
      <c r="M1045" s="51" t="str">
        <f>VLOOKUP(_stats[[#This Row],[tournament]],tournaments_n_rules[],3,0)</f>
        <v>Весна 2026</v>
      </c>
      <c r="N1045" s="52">
        <f>VLOOKUP(_stats[[#This Row],[tournament]],tournaments_n_rules[],4,0)</f>
        <v>46082</v>
      </c>
      <c r="O1045" s="52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51" t="str">
        <f>VLOOKUP(_stats[[#This Row],[tournament]],tournaments_n_rules[],2,0)</f>
        <v>УПК</v>
      </c>
      <c r="M1046" s="51" t="str">
        <f>VLOOKUP(_stats[[#This Row],[tournament]],tournaments_n_rules[],3,0)</f>
        <v>Весна 2026</v>
      </c>
      <c r="N1046" s="52">
        <f>VLOOKUP(_stats[[#This Row],[tournament]],tournaments_n_rules[],4,0)</f>
        <v>46082</v>
      </c>
      <c r="O1046" s="52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51" t="str">
        <f>VLOOKUP(_stats[[#This Row],[tournament]],tournaments_n_rules[],2,0)</f>
        <v>УПК</v>
      </c>
      <c r="M1047" s="51" t="str">
        <f>VLOOKUP(_stats[[#This Row],[tournament]],tournaments_n_rules[],3,0)</f>
        <v>Весна 2026</v>
      </c>
      <c r="N1047" s="52">
        <f>VLOOKUP(_stats[[#This Row],[tournament]],tournaments_n_rules[],4,0)</f>
        <v>46082</v>
      </c>
      <c r="O1047" s="52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51" t="str">
        <f>VLOOKUP(_stats[[#This Row],[tournament]],tournaments_n_rules[],2,0)</f>
        <v>УПК</v>
      </c>
      <c r="M1048" s="51" t="str">
        <f>VLOOKUP(_stats[[#This Row],[tournament]],tournaments_n_rules[],3,0)</f>
        <v>Весна 2026</v>
      </c>
      <c r="N1048" s="52">
        <f>VLOOKUP(_stats[[#This Row],[tournament]],tournaments_n_rules[],4,0)</f>
        <v>46082</v>
      </c>
      <c r="O1048" s="52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51" t="str">
        <f>VLOOKUP(_stats[[#This Row],[tournament]],tournaments_n_rules[],2,0)</f>
        <v>УПК</v>
      </c>
      <c r="M1049" s="51" t="str">
        <f>VLOOKUP(_stats[[#This Row],[tournament]],tournaments_n_rules[],3,0)</f>
        <v>Весна 2026</v>
      </c>
      <c r="N1049" s="52">
        <f>VLOOKUP(_stats[[#This Row],[tournament]],tournaments_n_rules[],4,0)</f>
        <v>46082</v>
      </c>
      <c r="O1049" s="52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51" t="str">
        <f>VLOOKUP(_stats[[#This Row],[tournament]],tournaments_n_rules[],2,0)</f>
        <v>УПК</v>
      </c>
      <c r="M1050" s="51" t="str">
        <f>VLOOKUP(_stats[[#This Row],[tournament]],tournaments_n_rules[],3,0)</f>
        <v>Весна 2026</v>
      </c>
      <c r="N1050" s="52">
        <f>VLOOKUP(_stats[[#This Row],[tournament]],tournaments_n_rules[],4,0)</f>
        <v>46082</v>
      </c>
      <c r="O1050" s="52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51" t="str">
        <f>VLOOKUP(_stats[[#This Row],[tournament]],tournaments_n_rules[],2,0)</f>
        <v>УПК</v>
      </c>
      <c r="M1051" s="51" t="str">
        <f>VLOOKUP(_stats[[#This Row],[tournament]],tournaments_n_rules[],3,0)</f>
        <v>Весна 2026</v>
      </c>
      <c r="N1051" s="52">
        <f>VLOOKUP(_stats[[#This Row],[tournament]],tournaments_n_rules[],4,0)</f>
        <v>46082</v>
      </c>
      <c r="O1051" s="52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51" t="str">
        <f>VLOOKUP(_stats[[#This Row],[tournament]],tournaments_n_rules[],2,0)</f>
        <v>УПК</v>
      </c>
      <c r="M1052" s="51" t="str">
        <f>VLOOKUP(_stats[[#This Row],[tournament]],tournaments_n_rules[],3,0)</f>
        <v>Весна 2026</v>
      </c>
      <c r="N1052" s="52">
        <f>VLOOKUP(_stats[[#This Row],[tournament]],tournaments_n_rules[],4,0)</f>
        <v>46082</v>
      </c>
      <c r="O1052" s="52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51" t="str">
        <f>VLOOKUP(_stats[[#This Row],[tournament]],tournaments_n_rules[],2,0)</f>
        <v>УПК</v>
      </c>
      <c r="M1053" s="51" t="str">
        <f>VLOOKUP(_stats[[#This Row],[tournament]],tournaments_n_rules[],3,0)</f>
        <v>Весна 2026</v>
      </c>
      <c r="N1053" s="52">
        <f>VLOOKUP(_stats[[#This Row],[tournament]],tournaments_n_rules[],4,0)</f>
        <v>46082</v>
      </c>
      <c r="O1053" s="52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51" t="str">
        <f>VLOOKUP(_stats[[#This Row],[tournament]],tournaments_n_rules[],2,0)</f>
        <v>УПК</v>
      </c>
      <c r="M1054" s="51" t="str">
        <f>VLOOKUP(_stats[[#This Row],[tournament]],tournaments_n_rules[],3,0)</f>
        <v>Весна 2026</v>
      </c>
      <c r="N1054" s="52">
        <f>VLOOKUP(_stats[[#This Row],[tournament]],tournaments_n_rules[],4,0)</f>
        <v>46082</v>
      </c>
      <c r="O1054" s="52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51" t="str">
        <f>VLOOKUP(_stats[[#This Row],[tournament]],tournaments_n_rules[],2,0)</f>
        <v>УПК</v>
      </c>
      <c r="M1055" s="51" t="str">
        <f>VLOOKUP(_stats[[#This Row],[tournament]],tournaments_n_rules[],3,0)</f>
        <v>Весна 2026</v>
      </c>
      <c r="N1055" s="52">
        <f>VLOOKUP(_stats[[#This Row],[tournament]],tournaments_n_rules[],4,0)</f>
        <v>46082</v>
      </c>
      <c r="O1055" s="52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51" t="str">
        <f>VLOOKUP(_stats[[#This Row],[tournament]],tournaments_n_rules[],2,0)</f>
        <v>УПК</v>
      </c>
      <c r="M1056" s="51" t="str">
        <f>VLOOKUP(_stats[[#This Row],[tournament]],tournaments_n_rules[],3,0)</f>
        <v>Весна 2026</v>
      </c>
      <c r="N1056" s="52">
        <f>VLOOKUP(_stats[[#This Row],[tournament]],tournaments_n_rules[],4,0)</f>
        <v>46082</v>
      </c>
      <c r="O1056" s="52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51" t="str">
        <f>VLOOKUP(_stats[[#This Row],[tournament]],tournaments_n_rules[],2,0)</f>
        <v>УПК</v>
      </c>
      <c r="M1057" s="51" t="str">
        <f>VLOOKUP(_stats[[#This Row],[tournament]],tournaments_n_rules[],3,0)</f>
        <v>Весна 2026</v>
      </c>
      <c r="N1057" s="52">
        <f>VLOOKUP(_stats[[#This Row],[tournament]],tournaments_n_rules[],4,0)</f>
        <v>46082</v>
      </c>
      <c r="O1057" s="52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51" t="str">
        <f>VLOOKUP(_stats[[#This Row],[tournament]],tournaments_n_rules[],2,0)</f>
        <v>УПК</v>
      </c>
      <c r="M1058" s="51" t="str">
        <f>VLOOKUP(_stats[[#This Row],[tournament]],tournaments_n_rules[],3,0)</f>
        <v>Весна 2026</v>
      </c>
      <c r="N1058" s="52">
        <f>VLOOKUP(_stats[[#This Row],[tournament]],tournaments_n_rules[],4,0)</f>
        <v>46082</v>
      </c>
      <c r="O1058" s="52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51" t="str">
        <f>VLOOKUP(_stats[[#This Row],[tournament]],tournaments_n_rules[],2,0)</f>
        <v>УПК</v>
      </c>
      <c r="M1059" s="51" t="str">
        <f>VLOOKUP(_stats[[#This Row],[tournament]],tournaments_n_rules[],3,0)</f>
        <v>Весна 2026</v>
      </c>
      <c r="N1059" s="52">
        <f>VLOOKUP(_stats[[#This Row],[tournament]],tournaments_n_rules[],4,0)</f>
        <v>46082</v>
      </c>
      <c r="O1059" s="52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51" t="str">
        <f>VLOOKUP(_stats[[#This Row],[tournament]],tournaments_n_rules[],2,0)</f>
        <v>УПК</v>
      </c>
      <c r="M1060" s="51" t="str">
        <f>VLOOKUP(_stats[[#This Row],[tournament]],tournaments_n_rules[],3,0)</f>
        <v>Весна 2026</v>
      </c>
      <c r="N1060" s="52">
        <f>VLOOKUP(_stats[[#This Row],[tournament]],tournaments_n_rules[],4,0)</f>
        <v>46082</v>
      </c>
      <c r="O1060" s="52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51" t="str">
        <f>VLOOKUP(_stats[[#This Row],[tournament]],tournaments_n_rules[],2,0)</f>
        <v>УПК</v>
      </c>
      <c r="M1061" s="51" t="str">
        <f>VLOOKUP(_stats[[#This Row],[tournament]],tournaments_n_rules[],3,0)</f>
        <v>Весна 2026</v>
      </c>
      <c r="N1061" s="52">
        <f>VLOOKUP(_stats[[#This Row],[tournament]],tournaments_n_rules[],4,0)</f>
        <v>46082</v>
      </c>
      <c r="O1061" s="52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51" t="str">
        <f>VLOOKUP(_stats[[#This Row],[tournament]],tournaments_n_rules[],2,0)</f>
        <v>УПК</v>
      </c>
      <c r="M1062" s="51" t="str">
        <f>VLOOKUP(_stats[[#This Row],[tournament]],tournaments_n_rules[],3,0)</f>
        <v>Весна 2026</v>
      </c>
      <c r="N1062" s="52">
        <f>VLOOKUP(_stats[[#This Row],[tournament]],tournaments_n_rules[],4,0)</f>
        <v>46082</v>
      </c>
      <c r="O1062" s="52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51" t="str">
        <f>VLOOKUP(_stats[[#This Row],[tournament]],tournaments_n_rules[],2,0)</f>
        <v>УПК</v>
      </c>
      <c r="M1063" s="51" t="str">
        <f>VLOOKUP(_stats[[#This Row],[tournament]],tournaments_n_rules[],3,0)</f>
        <v>Весна 2026</v>
      </c>
      <c r="N1063" s="52">
        <f>VLOOKUP(_stats[[#This Row],[tournament]],tournaments_n_rules[],4,0)</f>
        <v>46082</v>
      </c>
      <c r="O1063" s="52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51" t="str">
        <f>VLOOKUP(_stats[[#This Row],[tournament]],tournaments_n_rules[],2,0)</f>
        <v>УПК</v>
      </c>
      <c r="M1064" s="51" t="str">
        <f>VLOOKUP(_stats[[#This Row],[tournament]],tournaments_n_rules[],3,0)</f>
        <v>Весна 2026</v>
      </c>
      <c r="N1064" s="52">
        <f>VLOOKUP(_stats[[#This Row],[tournament]],tournaments_n_rules[],4,0)</f>
        <v>46082</v>
      </c>
      <c r="O1064" s="52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51" t="str">
        <f>VLOOKUP(_stats[[#This Row],[tournament]],tournaments_n_rules[],2,0)</f>
        <v>УПК</v>
      </c>
      <c r="M1065" s="51" t="str">
        <f>VLOOKUP(_stats[[#This Row],[tournament]],tournaments_n_rules[],3,0)</f>
        <v>Весна 2026</v>
      </c>
      <c r="N1065" s="52">
        <f>VLOOKUP(_stats[[#This Row],[tournament]],tournaments_n_rules[],4,0)</f>
        <v>46082</v>
      </c>
      <c r="O1065" s="52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51" t="str">
        <f>VLOOKUP(_stats[[#This Row],[tournament]],tournaments_n_rules[],2,0)</f>
        <v>УПК</v>
      </c>
      <c r="M1066" s="51" t="str">
        <f>VLOOKUP(_stats[[#This Row],[tournament]],tournaments_n_rules[],3,0)</f>
        <v>Весна 2026</v>
      </c>
      <c r="N1066" s="52">
        <f>VLOOKUP(_stats[[#This Row],[tournament]],tournaments_n_rules[],4,0)</f>
        <v>46082</v>
      </c>
      <c r="O1066" s="52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51" t="str">
        <f>VLOOKUP(_stats[[#This Row],[tournament]],tournaments_n_rules[],2,0)</f>
        <v>УПК</v>
      </c>
      <c r="M1067" s="51" t="str">
        <f>VLOOKUP(_stats[[#This Row],[tournament]],tournaments_n_rules[],3,0)</f>
        <v>Весна 2026</v>
      </c>
      <c r="N1067" s="52">
        <f>VLOOKUP(_stats[[#This Row],[tournament]],tournaments_n_rules[],4,0)</f>
        <v>46082</v>
      </c>
      <c r="O1067" s="52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51" t="str">
        <f>VLOOKUP(_stats[[#This Row],[tournament]],tournaments_n_rules[],2,0)</f>
        <v>УПК</v>
      </c>
      <c r="M1068" s="51" t="str">
        <f>VLOOKUP(_stats[[#This Row],[tournament]],tournaments_n_rules[],3,0)</f>
        <v>Весна 2026</v>
      </c>
      <c r="N1068" s="52">
        <f>VLOOKUP(_stats[[#This Row],[tournament]],tournaments_n_rules[],4,0)</f>
        <v>46082</v>
      </c>
      <c r="O1068" s="52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51" t="str">
        <f>VLOOKUP(_stats[[#This Row],[tournament]],tournaments_n_rules[],2,0)</f>
        <v>УПК</v>
      </c>
      <c r="M1069" s="51" t="str">
        <f>VLOOKUP(_stats[[#This Row],[tournament]],tournaments_n_rules[],3,0)</f>
        <v>Весна 2026</v>
      </c>
      <c r="N1069" s="52">
        <f>VLOOKUP(_stats[[#This Row],[tournament]],tournaments_n_rules[],4,0)</f>
        <v>46082</v>
      </c>
      <c r="O1069" s="52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51" t="str">
        <f>VLOOKUP(_stats[[#This Row],[tournament]],tournaments_n_rules[],2,0)</f>
        <v>УПК</v>
      </c>
      <c r="M1070" s="51" t="str">
        <f>VLOOKUP(_stats[[#This Row],[tournament]],tournaments_n_rules[],3,0)</f>
        <v>Весна 2026</v>
      </c>
      <c r="N1070" s="52">
        <f>VLOOKUP(_stats[[#This Row],[tournament]],tournaments_n_rules[],4,0)</f>
        <v>46082</v>
      </c>
      <c r="O1070" s="52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51" t="str">
        <f>VLOOKUP(_stats[[#This Row],[tournament]],tournaments_n_rules[],2,0)</f>
        <v>УПК</v>
      </c>
      <c r="M1071" s="51" t="str">
        <f>VLOOKUP(_stats[[#This Row],[tournament]],tournaments_n_rules[],3,0)</f>
        <v>Весна 2026</v>
      </c>
      <c r="N1071" s="52">
        <f>VLOOKUP(_stats[[#This Row],[tournament]],tournaments_n_rules[],4,0)</f>
        <v>46082</v>
      </c>
      <c r="O1071" s="52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51" t="str">
        <f>VLOOKUP(_stats[[#This Row],[tournament]],tournaments_n_rules[],2,0)</f>
        <v>УПК</v>
      </c>
      <c r="M1072" s="51" t="str">
        <f>VLOOKUP(_stats[[#This Row],[tournament]],tournaments_n_rules[],3,0)</f>
        <v>Весна 2026</v>
      </c>
      <c r="N1072" s="52">
        <f>VLOOKUP(_stats[[#This Row],[tournament]],tournaments_n_rules[],4,0)</f>
        <v>46082</v>
      </c>
      <c r="O1072" s="52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51" t="str">
        <f>VLOOKUP(_stats[[#This Row],[tournament]],tournaments_n_rules[],2,0)</f>
        <v>УПК</v>
      </c>
      <c r="M1073" s="51" t="str">
        <f>VLOOKUP(_stats[[#This Row],[tournament]],tournaments_n_rules[],3,0)</f>
        <v>Весна 2026</v>
      </c>
      <c r="N1073" s="52">
        <f>VLOOKUP(_stats[[#This Row],[tournament]],tournaments_n_rules[],4,0)</f>
        <v>46082</v>
      </c>
      <c r="O1073" s="52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51" t="str">
        <f>VLOOKUP(_stats[[#This Row],[tournament]],tournaments_n_rules[],2,0)</f>
        <v>УПК</v>
      </c>
      <c r="M1074" s="51" t="str">
        <f>VLOOKUP(_stats[[#This Row],[tournament]],tournaments_n_rules[],3,0)</f>
        <v>Весна 2026</v>
      </c>
      <c r="N1074" s="52">
        <f>VLOOKUP(_stats[[#This Row],[tournament]],tournaments_n_rules[],4,0)</f>
        <v>46082</v>
      </c>
      <c r="O1074" s="52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51" t="str">
        <f>VLOOKUP(_stats[[#This Row],[tournament]],tournaments_n_rules[],2,0)</f>
        <v>УПК</v>
      </c>
      <c r="M1075" s="51" t="str">
        <f>VLOOKUP(_stats[[#This Row],[tournament]],tournaments_n_rules[],3,0)</f>
        <v>Весна 2026</v>
      </c>
      <c r="N1075" s="52">
        <f>VLOOKUP(_stats[[#This Row],[tournament]],tournaments_n_rules[],4,0)</f>
        <v>46082</v>
      </c>
      <c r="O1075" s="52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51" t="str">
        <f>VLOOKUP(_stats[[#This Row],[tournament]],tournaments_n_rules[],2,0)</f>
        <v>УПК</v>
      </c>
      <c r="M1076" s="51" t="str">
        <f>VLOOKUP(_stats[[#This Row],[tournament]],tournaments_n_rules[],3,0)</f>
        <v>Весна 2026</v>
      </c>
      <c r="N1076" s="52">
        <f>VLOOKUP(_stats[[#This Row],[tournament]],tournaments_n_rules[],4,0)</f>
        <v>46082</v>
      </c>
      <c r="O1076" s="52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51" t="str">
        <f>VLOOKUP(_stats[[#This Row],[tournament]],tournaments_n_rules[],2,0)</f>
        <v>УПК</v>
      </c>
      <c r="M1077" s="51" t="str">
        <f>VLOOKUP(_stats[[#This Row],[tournament]],tournaments_n_rules[],3,0)</f>
        <v>Весна 2026</v>
      </c>
      <c r="N1077" s="52">
        <f>VLOOKUP(_stats[[#This Row],[tournament]],tournaments_n_rules[],4,0)</f>
        <v>46082</v>
      </c>
      <c r="O1077" s="52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51" t="str">
        <f>VLOOKUP(_stats[[#This Row],[tournament]],tournaments_n_rules[],2,0)</f>
        <v>УПК</v>
      </c>
      <c r="M1078" s="51" t="str">
        <f>VLOOKUP(_stats[[#This Row],[tournament]],tournaments_n_rules[],3,0)</f>
        <v>Весна 2026</v>
      </c>
      <c r="N1078" s="52">
        <f>VLOOKUP(_stats[[#This Row],[tournament]],tournaments_n_rules[],4,0)</f>
        <v>46082</v>
      </c>
      <c r="O1078" s="52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51" t="str">
        <f>VLOOKUP(_stats[[#This Row],[tournament]],tournaments_n_rules[],2,0)</f>
        <v>УПК</v>
      </c>
      <c r="M1079" s="51" t="str">
        <f>VLOOKUP(_stats[[#This Row],[tournament]],tournaments_n_rules[],3,0)</f>
        <v>Весна 2026</v>
      </c>
      <c r="N1079" s="52">
        <f>VLOOKUP(_stats[[#This Row],[tournament]],tournaments_n_rules[],4,0)</f>
        <v>46082</v>
      </c>
      <c r="O1079" s="52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51" t="str">
        <f>VLOOKUP(_stats[[#This Row],[tournament]],tournaments_n_rules[],2,0)</f>
        <v>УПК</v>
      </c>
      <c r="M1080" s="51" t="str">
        <f>VLOOKUP(_stats[[#This Row],[tournament]],tournaments_n_rules[],3,0)</f>
        <v>Весна 2026</v>
      </c>
      <c r="N1080" s="52">
        <f>VLOOKUP(_stats[[#This Row],[tournament]],tournaments_n_rules[],4,0)</f>
        <v>46082</v>
      </c>
      <c r="O1080" s="52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51" t="str">
        <f>VLOOKUP(_stats[[#This Row],[tournament]],tournaments_n_rules[],2,0)</f>
        <v>УПК</v>
      </c>
      <c r="M1081" s="51" t="str">
        <f>VLOOKUP(_stats[[#This Row],[tournament]],tournaments_n_rules[],3,0)</f>
        <v>Весна 2026</v>
      </c>
      <c r="N1081" s="52">
        <f>VLOOKUP(_stats[[#This Row],[tournament]],tournaments_n_rules[],4,0)</f>
        <v>46082</v>
      </c>
      <c r="O1081" s="52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51" t="str">
        <f>VLOOKUP(_stats[[#This Row],[tournament]],tournaments_n_rules[],2,0)</f>
        <v>УПК</v>
      </c>
      <c r="M1082" s="51" t="str">
        <f>VLOOKUP(_stats[[#This Row],[tournament]],tournaments_n_rules[],3,0)</f>
        <v>Весна 2026</v>
      </c>
      <c r="N1082" s="52">
        <f>VLOOKUP(_stats[[#This Row],[tournament]],tournaments_n_rules[],4,0)</f>
        <v>46082</v>
      </c>
      <c r="O1082" s="52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51" t="str">
        <f>VLOOKUP(_stats[[#This Row],[tournament]],tournaments_n_rules[],2,0)</f>
        <v>УПК</v>
      </c>
      <c r="M1083" s="51" t="str">
        <f>VLOOKUP(_stats[[#This Row],[tournament]],tournaments_n_rules[],3,0)</f>
        <v>Весна 2026</v>
      </c>
      <c r="N1083" s="52">
        <f>VLOOKUP(_stats[[#This Row],[tournament]],tournaments_n_rules[],4,0)</f>
        <v>46082</v>
      </c>
      <c r="O1083" s="52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51" t="str">
        <f>VLOOKUP(_stats[[#This Row],[tournament]],tournaments_n_rules[],2,0)</f>
        <v>УПК</v>
      </c>
      <c r="M1084" s="51" t="str">
        <f>VLOOKUP(_stats[[#This Row],[tournament]],tournaments_n_rules[],3,0)</f>
        <v>Весна 2026</v>
      </c>
      <c r="N1084" s="52">
        <f>VLOOKUP(_stats[[#This Row],[tournament]],tournaments_n_rules[],4,0)</f>
        <v>46082</v>
      </c>
      <c r="O1084" s="52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51" t="str">
        <f>VLOOKUP(_stats[[#This Row],[tournament]],tournaments_n_rules[],2,0)</f>
        <v>УПК</v>
      </c>
      <c r="M1085" s="51" t="str">
        <f>VLOOKUP(_stats[[#This Row],[tournament]],tournaments_n_rules[],3,0)</f>
        <v>Весна 2026</v>
      </c>
      <c r="N1085" s="52">
        <f>VLOOKUP(_stats[[#This Row],[tournament]],tournaments_n_rules[],4,0)</f>
        <v>46082</v>
      </c>
      <c r="O1085" s="52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51" t="str">
        <f>VLOOKUP(_stats[[#This Row],[tournament]],tournaments_n_rules[],2,0)</f>
        <v>УПК</v>
      </c>
      <c r="M1086" s="51" t="str">
        <f>VLOOKUP(_stats[[#This Row],[tournament]],tournaments_n_rules[],3,0)</f>
        <v>Весна 2026</v>
      </c>
      <c r="N1086" s="52">
        <f>VLOOKUP(_stats[[#This Row],[tournament]],tournaments_n_rules[],4,0)</f>
        <v>46082</v>
      </c>
      <c r="O1086" s="52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51" t="str">
        <f>VLOOKUP(_stats[[#This Row],[tournament]],tournaments_n_rules[],2,0)</f>
        <v>УПК</v>
      </c>
      <c r="M1087" s="51" t="str">
        <f>VLOOKUP(_stats[[#This Row],[tournament]],tournaments_n_rules[],3,0)</f>
        <v>Весна 2026</v>
      </c>
      <c r="N1087" s="52">
        <f>VLOOKUP(_stats[[#This Row],[tournament]],tournaments_n_rules[],4,0)</f>
        <v>46082</v>
      </c>
      <c r="O1087" s="52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51" t="str">
        <f>VLOOKUP(_stats[[#This Row],[tournament]],tournaments_n_rules[],2,0)</f>
        <v>УПК</v>
      </c>
      <c r="M1088" s="51" t="str">
        <f>VLOOKUP(_stats[[#This Row],[tournament]],tournaments_n_rules[],3,0)</f>
        <v>Весна 2026</v>
      </c>
      <c r="N1088" s="52">
        <f>VLOOKUP(_stats[[#This Row],[tournament]],tournaments_n_rules[],4,0)</f>
        <v>46082</v>
      </c>
      <c r="O1088" s="52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51" t="str">
        <f>VLOOKUP(_stats[[#This Row],[tournament]],tournaments_n_rules[],2,0)</f>
        <v>УПК</v>
      </c>
      <c r="M1089" s="51" t="str">
        <f>VLOOKUP(_stats[[#This Row],[tournament]],tournaments_n_rules[],3,0)</f>
        <v>Весна 2026</v>
      </c>
      <c r="N1089" s="52">
        <f>VLOOKUP(_stats[[#This Row],[tournament]],tournaments_n_rules[],4,0)</f>
        <v>46082</v>
      </c>
      <c r="O1089" s="52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51" t="str">
        <f>VLOOKUP(_stats[[#This Row],[tournament]],tournaments_n_rules[],2,0)</f>
        <v>УПК</v>
      </c>
      <c r="M1090" s="51" t="str">
        <f>VLOOKUP(_stats[[#This Row],[tournament]],tournaments_n_rules[],3,0)</f>
        <v>Весна 2026</v>
      </c>
      <c r="N1090" s="52">
        <f>VLOOKUP(_stats[[#This Row],[tournament]],tournaments_n_rules[],4,0)</f>
        <v>46082</v>
      </c>
      <c r="O1090" s="52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51" t="str">
        <f>VLOOKUP(_stats[[#This Row],[tournament]],tournaments_n_rules[],2,0)</f>
        <v>УПК</v>
      </c>
      <c r="M1091" s="51" t="str">
        <f>VLOOKUP(_stats[[#This Row],[tournament]],tournaments_n_rules[],3,0)</f>
        <v>Весна 2026</v>
      </c>
      <c r="N1091" s="52">
        <f>VLOOKUP(_stats[[#This Row],[tournament]],tournaments_n_rules[],4,0)</f>
        <v>46082</v>
      </c>
      <c r="O1091" s="52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51" t="str">
        <f>VLOOKUP(_stats[[#This Row],[tournament]],tournaments_n_rules[],2,0)</f>
        <v>УПК</v>
      </c>
      <c r="M1092" s="51" t="str">
        <f>VLOOKUP(_stats[[#This Row],[tournament]],tournaments_n_rules[],3,0)</f>
        <v>Весна 2026</v>
      </c>
      <c r="N1092" s="52">
        <f>VLOOKUP(_stats[[#This Row],[tournament]],tournaments_n_rules[],4,0)</f>
        <v>46082</v>
      </c>
      <c r="O1092" s="52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51" t="str">
        <f>VLOOKUP(_stats[[#This Row],[tournament]],tournaments_n_rules[],2,0)</f>
        <v>УПК</v>
      </c>
      <c r="M1093" s="51" t="str">
        <f>VLOOKUP(_stats[[#This Row],[tournament]],tournaments_n_rules[],3,0)</f>
        <v>Весна 2026</v>
      </c>
      <c r="N1093" s="52">
        <f>VLOOKUP(_stats[[#This Row],[tournament]],tournaments_n_rules[],4,0)</f>
        <v>46082</v>
      </c>
      <c r="O1093" s="52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51" t="str">
        <f>VLOOKUP(_stats[[#This Row],[tournament]],tournaments_n_rules[],2,0)</f>
        <v>УПК</v>
      </c>
      <c r="M1094" s="51" t="str">
        <f>VLOOKUP(_stats[[#This Row],[tournament]],tournaments_n_rules[],3,0)</f>
        <v>Весна 2026</v>
      </c>
      <c r="N1094" s="52">
        <f>VLOOKUP(_stats[[#This Row],[tournament]],tournaments_n_rules[],4,0)</f>
        <v>46082</v>
      </c>
      <c r="O1094" s="52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51" t="str">
        <f>VLOOKUP(_stats[[#This Row],[tournament]],tournaments_n_rules[],2,0)</f>
        <v>УПК</v>
      </c>
      <c r="M1095" s="51" t="str">
        <f>VLOOKUP(_stats[[#This Row],[tournament]],tournaments_n_rules[],3,0)</f>
        <v>Весна 2026</v>
      </c>
      <c r="N1095" s="52">
        <f>VLOOKUP(_stats[[#This Row],[tournament]],tournaments_n_rules[],4,0)</f>
        <v>46082</v>
      </c>
      <c r="O1095" s="52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51" t="str">
        <f>VLOOKUP(_stats[[#This Row],[tournament]],tournaments_n_rules[],2,0)</f>
        <v>УПК</v>
      </c>
      <c r="M1096" s="51" t="str">
        <f>VLOOKUP(_stats[[#This Row],[tournament]],tournaments_n_rules[],3,0)</f>
        <v>Весна 2026</v>
      </c>
      <c r="N1096" s="52">
        <f>VLOOKUP(_stats[[#This Row],[tournament]],tournaments_n_rules[],4,0)</f>
        <v>46082</v>
      </c>
      <c r="O1096" s="52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51" t="str">
        <f>VLOOKUP(_stats[[#This Row],[tournament]],tournaments_n_rules[],2,0)</f>
        <v>УПК</v>
      </c>
      <c r="M1097" s="51" t="str">
        <f>VLOOKUP(_stats[[#This Row],[tournament]],tournaments_n_rules[],3,0)</f>
        <v>Весна 2026</v>
      </c>
      <c r="N1097" s="52">
        <f>VLOOKUP(_stats[[#This Row],[tournament]],tournaments_n_rules[],4,0)</f>
        <v>46082</v>
      </c>
      <c r="O1097" s="52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51" t="str">
        <f>VLOOKUP(_stats[[#This Row],[tournament]],tournaments_n_rules[],2,0)</f>
        <v>УПК</v>
      </c>
      <c r="M1098" s="51" t="str">
        <f>VLOOKUP(_stats[[#This Row],[tournament]],tournaments_n_rules[],3,0)</f>
        <v>Весна 2026</v>
      </c>
      <c r="N1098" s="52">
        <f>VLOOKUP(_stats[[#This Row],[tournament]],tournaments_n_rules[],4,0)</f>
        <v>46082</v>
      </c>
      <c r="O1098" s="52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51" t="str">
        <f>VLOOKUP(_stats[[#This Row],[tournament]],tournaments_n_rules[],2,0)</f>
        <v>УПК</v>
      </c>
      <c r="M1099" s="51" t="str">
        <f>VLOOKUP(_stats[[#This Row],[tournament]],tournaments_n_rules[],3,0)</f>
        <v>Весна 2026</v>
      </c>
      <c r="N1099" s="52">
        <f>VLOOKUP(_stats[[#This Row],[tournament]],tournaments_n_rules[],4,0)</f>
        <v>46082</v>
      </c>
      <c r="O1099" s="52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51" t="str">
        <f>VLOOKUP(_stats[[#This Row],[tournament]],tournaments_n_rules[],2,0)</f>
        <v>УПК</v>
      </c>
      <c r="M1100" s="51" t="str">
        <f>VLOOKUP(_stats[[#This Row],[tournament]],tournaments_n_rules[],3,0)</f>
        <v>Весна 2026</v>
      </c>
      <c r="N1100" s="52">
        <f>VLOOKUP(_stats[[#This Row],[tournament]],tournaments_n_rules[],4,0)</f>
        <v>46082</v>
      </c>
      <c r="O1100" s="52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51" t="str">
        <f>VLOOKUP(_stats[[#This Row],[tournament]],tournaments_n_rules[],2,0)</f>
        <v>УПК</v>
      </c>
      <c r="M1101" s="51" t="str">
        <f>VLOOKUP(_stats[[#This Row],[tournament]],tournaments_n_rules[],3,0)</f>
        <v>Весна 2026</v>
      </c>
      <c r="N1101" s="52">
        <f>VLOOKUP(_stats[[#This Row],[tournament]],tournaments_n_rules[],4,0)</f>
        <v>46082</v>
      </c>
      <c r="O1101" s="52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51" t="str">
        <f>VLOOKUP(_stats[[#This Row],[tournament]],tournaments_n_rules[],2,0)</f>
        <v>УПК</v>
      </c>
      <c r="M1102" s="51" t="str">
        <f>VLOOKUP(_stats[[#This Row],[tournament]],tournaments_n_rules[],3,0)</f>
        <v>Весна 2026</v>
      </c>
      <c r="N1102" s="52">
        <f>VLOOKUP(_stats[[#This Row],[tournament]],tournaments_n_rules[],4,0)</f>
        <v>46082</v>
      </c>
      <c r="O1102" s="52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51" t="str">
        <f>VLOOKUP(_stats[[#This Row],[tournament]],tournaments_n_rules[],2,0)</f>
        <v>УПК</v>
      </c>
      <c r="M1103" s="51" t="str">
        <f>VLOOKUP(_stats[[#This Row],[tournament]],tournaments_n_rules[],3,0)</f>
        <v>Весна 2026</v>
      </c>
      <c r="N1103" s="52">
        <f>VLOOKUP(_stats[[#This Row],[tournament]],tournaments_n_rules[],4,0)</f>
        <v>46082</v>
      </c>
      <c r="O1103" s="52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51" t="str">
        <f>VLOOKUP(_stats[[#This Row],[tournament]],tournaments_n_rules[],2,0)</f>
        <v>УПК</v>
      </c>
      <c r="M1104" s="51" t="str">
        <f>VLOOKUP(_stats[[#This Row],[tournament]],tournaments_n_rules[],3,0)</f>
        <v>Весна 2026</v>
      </c>
      <c r="N1104" s="52">
        <f>VLOOKUP(_stats[[#This Row],[tournament]],tournaments_n_rules[],4,0)</f>
        <v>46082</v>
      </c>
      <c r="O1104" s="52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51" t="str">
        <f>VLOOKUP(_stats[[#This Row],[tournament]],tournaments_n_rules[],2,0)</f>
        <v>УПК</v>
      </c>
      <c r="M1105" s="51" t="str">
        <f>VLOOKUP(_stats[[#This Row],[tournament]],tournaments_n_rules[],3,0)</f>
        <v>Весна 2026</v>
      </c>
      <c r="N1105" s="52">
        <f>VLOOKUP(_stats[[#This Row],[tournament]],tournaments_n_rules[],4,0)</f>
        <v>46082</v>
      </c>
      <c r="O1105" s="52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51" t="str">
        <f>VLOOKUP(_stats[[#This Row],[tournament]],tournaments_n_rules[],2,0)</f>
        <v>УПК</v>
      </c>
      <c r="M1106" s="51" t="str">
        <f>VLOOKUP(_stats[[#This Row],[tournament]],tournaments_n_rules[],3,0)</f>
        <v>Весна 2026</v>
      </c>
      <c r="N1106" s="52">
        <f>VLOOKUP(_stats[[#This Row],[tournament]],tournaments_n_rules[],4,0)</f>
        <v>46082</v>
      </c>
      <c r="O1106" s="52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51" t="str">
        <f>VLOOKUP(_stats[[#This Row],[tournament]],tournaments_n_rules[],2,0)</f>
        <v>УПК</v>
      </c>
      <c r="M1107" s="51" t="str">
        <f>VLOOKUP(_stats[[#This Row],[tournament]],tournaments_n_rules[],3,0)</f>
        <v>Весна 2026</v>
      </c>
      <c r="N1107" s="52">
        <f>VLOOKUP(_stats[[#This Row],[tournament]],tournaments_n_rules[],4,0)</f>
        <v>46082</v>
      </c>
      <c r="O1107" s="52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51" t="str">
        <f>VLOOKUP(_stats[[#This Row],[tournament]],tournaments_n_rules[],2,0)</f>
        <v>УПК</v>
      </c>
      <c r="M1108" s="51" t="str">
        <f>VLOOKUP(_stats[[#This Row],[tournament]],tournaments_n_rules[],3,0)</f>
        <v>Весна 2026</v>
      </c>
      <c r="N1108" s="52">
        <f>VLOOKUP(_stats[[#This Row],[tournament]],tournaments_n_rules[],4,0)</f>
        <v>46082</v>
      </c>
      <c r="O1108" s="52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51" t="str">
        <f>VLOOKUP(_stats[[#This Row],[tournament]],tournaments_n_rules[],2,0)</f>
        <v>УПК</v>
      </c>
      <c r="M1109" s="51" t="str">
        <f>VLOOKUP(_stats[[#This Row],[tournament]],tournaments_n_rules[],3,0)</f>
        <v>Весна 2026</v>
      </c>
      <c r="N1109" s="52">
        <f>VLOOKUP(_stats[[#This Row],[tournament]],tournaments_n_rules[],4,0)</f>
        <v>46082</v>
      </c>
      <c r="O1109" s="52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51" t="str">
        <f>VLOOKUP(_stats[[#This Row],[tournament]],tournaments_n_rules[],2,0)</f>
        <v>УПК</v>
      </c>
      <c r="M1110" s="51" t="str">
        <f>VLOOKUP(_stats[[#This Row],[tournament]],tournaments_n_rules[],3,0)</f>
        <v>Весна 2026</v>
      </c>
      <c r="N1110" s="52">
        <f>VLOOKUP(_stats[[#This Row],[tournament]],tournaments_n_rules[],4,0)</f>
        <v>46082</v>
      </c>
      <c r="O1110" s="52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51" t="str">
        <f>VLOOKUP(_stats[[#This Row],[tournament]],tournaments_n_rules[],2,0)</f>
        <v>УПК</v>
      </c>
      <c r="M1111" s="51" t="str">
        <f>VLOOKUP(_stats[[#This Row],[tournament]],tournaments_n_rules[],3,0)</f>
        <v>Весна 2026</v>
      </c>
      <c r="N1111" s="52">
        <f>VLOOKUP(_stats[[#This Row],[tournament]],tournaments_n_rules[],4,0)</f>
        <v>46082</v>
      </c>
      <c r="O1111" s="52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51" t="str">
        <f>VLOOKUP(_stats[[#This Row],[tournament]],tournaments_n_rules[],2,0)</f>
        <v>УПК</v>
      </c>
      <c r="M1112" s="51" t="str">
        <f>VLOOKUP(_stats[[#This Row],[tournament]],tournaments_n_rules[],3,0)</f>
        <v>Весна 2026</v>
      </c>
      <c r="N1112" s="52">
        <f>VLOOKUP(_stats[[#This Row],[tournament]],tournaments_n_rules[],4,0)</f>
        <v>46082</v>
      </c>
      <c r="O1112" s="52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51" t="str">
        <f>VLOOKUP(_stats[[#This Row],[tournament]],tournaments_n_rules[],2,0)</f>
        <v>УПК</v>
      </c>
      <c r="M1113" s="51" t="str">
        <f>VLOOKUP(_stats[[#This Row],[tournament]],tournaments_n_rules[],3,0)</f>
        <v>Весна 2026</v>
      </c>
      <c r="N1113" s="52">
        <f>VLOOKUP(_stats[[#This Row],[tournament]],tournaments_n_rules[],4,0)</f>
        <v>46082</v>
      </c>
      <c r="O1113" s="52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51" t="str">
        <f>VLOOKUP(_stats[[#This Row],[tournament]],tournaments_n_rules[],2,0)</f>
        <v>УПК</v>
      </c>
      <c r="M1114" s="51" t="str">
        <f>VLOOKUP(_stats[[#This Row],[tournament]],tournaments_n_rules[],3,0)</f>
        <v>Весна 2026</v>
      </c>
      <c r="N1114" s="52">
        <f>VLOOKUP(_stats[[#This Row],[tournament]],tournaments_n_rules[],4,0)</f>
        <v>46082</v>
      </c>
      <c r="O1114" s="52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51" t="str">
        <f>VLOOKUP(_stats[[#This Row],[tournament]],tournaments_n_rules[],2,0)</f>
        <v>УПК</v>
      </c>
      <c r="M1115" s="51" t="str">
        <f>VLOOKUP(_stats[[#This Row],[tournament]],tournaments_n_rules[],3,0)</f>
        <v>Весна 2026</v>
      </c>
      <c r="N1115" s="52">
        <f>VLOOKUP(_stats[[#This Row],[tournament]],tournaments_n_rules[],4,0)</f>
        <v>46082</v>
      </c>
      <c r="O1115" s="52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51" t="str">
        <f>VLOOKUP(_stats[[#This Row],[tournament]],tournaments_n_rules[],2,0)</f>
        <v>УПК</v>
      </c>
      <c r="M1116" s="51" t="str">
        <f>VLOOKUP(_stats[[#This Row],[tournament]],tournaments_n_rules[],3,0)</f>
        <v>Весна 2026</v>
      </c>
      <c r="N1116" s="52">
        <f>VLOOKUP(_stats[[#This Row],[tournament]],tournaments_n_rules[],4,0)</f>
        <v>46082</v>
      </c>
      <c r="O1116" s="52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51" t="str">
        <f>VLOOKUP(_stats[[#This Row],[tournament]],tournaments_n_rules[],2,0)</f>
        <v>УПК</v>
      </c>
      <c r="M1117" s="51" t="str">
        <f>VLOOKUP(_stats[[#This Row],[tournament]],tournaments_n_rules[],3,0)</f>
        <v>Весна 2026</v>
      </c>
      <c r="N1117" s="52">
        <f>VLOOKUP(_stats[[#This Row],[tournament]],tournaments_n_rules[],4,0)</f>
        <v>46082</v>
      </c>
      <c r="O1117" s="52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51" t="str">
        <f>VLOOKUP(_stats[[#This Row],[tournament]],tournaments_n_rules[],2,0)</f>
        <v>УПК</v>
      </c>
      <c r="M1118" s="51" t="str">
        <f>VLOOKUP(_stats[[#This Row],[tournament]],tournaments_n_rules[],3,0)</f>
        <v>Весна 2026</v>
      </c>
      <c r="N1118" s="52">
        <f>VLOOKUP(_stats[[#This Row],[tournament]],tournaments_n_rules[],4,0)</f>
        <v>46082</v>
      </c>
      <c r="O1118" s="52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51" t="str">
        <f>VLOOKUP(_stats[[#This Row],[tournament]],tournaments_n_rules[],2,0)</f>
        <v>УПК</v>
      </c>
      <c r="M1119" s="51" t="str">
        <f>VLOOKUP(_stats[[#This Row],[tournament]],tournaments_n_rules[],3,0)</f>
        <v>Весна 2026</v>
      </c>
      <c r="N1119" s="52">
        <f>VLOOKUP(_stats[[#This Row],[tournament]],tournaments_n_rules[],4,0)</f>
        <v>46082</v>
      </c>
      <c r="O1119" s="52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51" t="str">
        <f>VLOOKUP(_stats[[#This Row],[tournament]],tournaments_n_rules[],2,0)</f>
        <v>УПК</v>
      </c>
      <c r="M1120" s="51" t="str">
        <f>VLOOKUP(_stats[[#This Row],[tournament]],tournaments_n_rules[],3,0)</f>
        <v>Весна 2026</v>
      </c>
      <c r="N1120" s="52">
        <f>VLOOKUP(_stats[[#This Row],[tournament]],tournaments_n_rules[],4,0)</f>
        <v>46082</v>
      </c>
      <c r="O1120" s="52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51" t="str">
        <f>VLOOKUP(_stats[[#This Row],[tournament]],tournaments_n_rules[],2,0)</f>
        <v>УПК</v>
      </c>
      <c r="M1121" s="51" t="str">
        <f>VLOOKUP(_stats[[#This Row],[tournament]],tournaments_n_rules[],3,0)</f>
        <v>Весна 2026</v>
      </c>
      <c r="N1121" s="52">
        <f>VLOOKUP(_stats[[#This Row],[tournament]],tournaments_n_rules[],4,0)</f>
        <v>46082</v>
      </c>
      <c r="O1121" s="52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51" t="str">
        <f>VLOOKUP(_stats[[#This Row],[tournament]],tournaments_n_rules[],2,0)</f>
        <v>УПК</v>
      </c>
      <c r="M1122" s="51" t="str">
        <f>VLOOKUP(_stats[[#This Row],[tournament]],tournaments_n_rules[],3,0)</f>
        <v>Весна 2026</v>
      </c>
      <c r="N1122" s="52">
        <f>VLOOKUP(_stats[[#This Row],[tournament]],tournaments_n_rules[],4,0)</f>
        <v>46082</v>
      </c>
      <c r="O1122" s="52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51" t="str">
        <f>VLOOKUP(_stats[[#This Row],[tournament]],tournaments_n_rules[],2,0)</f>
        <v>УПК</v>
      </c>
      <c r="M1123" s="51" t="str">
        <f>VLOOKUP(_stats[[#This Row],[tournament]],tournaments_n_rules[],3,0)</f>
        <v>Весна 2026</v>
      </c>
      <c r="N1123" s="52">
        <f>VLOOKUP(_stats[[#This Row],[tournament]],tournaments_n_rules[],4,0)</f>
        <v>46082</v>
      </c>
      <c r="O1123" s="52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51" t="str">
        <f>VLOOKUP(_stats[[#This Row],[tournament]],tournaments_n_rules[],2,0)</f>
        <v>УПК</v>
      </c>
      <c r="M1124" s="51" t="str">
        <f>VLOOKUP(_stats[[#This Row],[tournament]],tournaments_n_rules[],3,0)</f>
        <v>Весна 2026</v>
      </c>
      <c r="N1124" s="52">
        <f>VLOOKUP(_stats[[#This Row],[tournament]],tournaments_n_rules[],4,0)</f>
        <v>46082</v>
      </c>
      <c r="O1124" s="52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51" t="str">
        <f>VLOOKUP(_stats[[#This Row],[tournament]],tournaments_n_rules[],2,0)</f>
        <v>УПК</v>
      </c>
      <c r="M1125" s="51" t="str">
        <f>VLOOKUP(_stats[[#This Row],[tournament]],tournaments_n_rules[],3,0)</f>
        <v>Весна 2026</v>
      </c>
      <c r="N1125" s="52">
        <f>VLOOKUP(_stats[[#This Row],[tournament]],tournaments_n_rules[],4,0)</f>
        <v>46082</v>
      </c>
      <c r="O1125" s="52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51" t="str">
        <f>VLOOKUP(_stats[[#This Row],[tournament]],tournaments_n_rules[],2,0)</f>
        <v>УПК</v>
      </c>
      <c r="M1126" s="51" t="str">
        <f>VLOOKUP(_stats[[#This Row],[tournament]],tournaments_n_rules[],3,0)</f>
        <v>Весна 2026</v>
      </c>
      <c r="N1126" s="52">
        <f>VLOOKUP(_stats[[#This Row],[tournament]],tournaments_n_rules[],4,0)</f>
        <v>46082</v>
      </c>
      <c r="O1126" s="52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51" t="str">
        <f>VLOOKUP(_stats[[#This Row],[tournament]],tournaments_n_rules[],2,0)</f>
        <v>УПК</v>
      </c>
      <c r="M1127" s="51" t="str">
        <f>VLOOKUP(_stats[[#This Row],[tournament]],tournaments_n_rules[],3,0)</f>
        <v>Весна 2026</v>
      </c>
      <c r="N1127" s="52">
        <f>VLOOKUP(_stats[[#This Row],[tournament]],tournaments_n_rules[],4,0)</f>
        <v>46082</v>
      </c>
      <c r="O1127" s="52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51" t="str">
        <f>VLOOKUP(_stats[[#This Row],[tournament]],tournaments_n_rules[],2,0)</f>
        <v>УПК</v>
      </c>
      <c r="M1128" s="51" t="str">
        <f>VLOOKUP(_stats[[#This Row],[tournament]],tournaments_n_rules[],3,0)</f>
        <v>Весна 2026</v>
      </c>
      <c r="N1128" s="52">
        <f>VLOOKUP(_stats[[#This Row],[tournament]],tournaments_n_rules[],4,0)</f>
        <v>46082</v>
      </c>
      <c r="O1128" s="52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51" t="str">
        <f>VLOOKUP(_stats[[#This Row],[tournament]],tournaments_n_rules[],2,0)</f>
        <v>УПК</v>
      </c>
      <c r="M1129" s="51" t="str">
        <f>VLOOKUP(_stats[[#This Row],[tournament]],tournaments_n_rules[],3,0)</f>
        <v>Весна 2026</v>
      </c>
      <c r="N1129" s="52">
        <f>VLOOKUP(_stats[[#This Row],[tournament]],tournaments_n_rules[],4,0)</f>
        <v>46082</v>
      </c>
      <c r="O1129" s="52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51" t="str">
        <f>VLOOKUP(_stats[[#This Row],[tournament]],tournaments_n_rules[],2,0)</f>
        <v>УПК</v>
      </c>
      <c r="M1130" s="51" t="str">
        <f>VLOOKUP(_stats[[#This Row],[tournament]],tournaments_n_rules[],3,0)</f>
        <v>Весна 2026</v>
      </c>
      <c r="N1130" s="52">
        <f>VLOOKUP(_stats[[#This Row],[tournament]],tournaments_n_rules[],4,0)</f>
        <v>46082</v>
      </c>
      <c r="O1130" s="52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51" t="str">
        <f>VLOOKUP(_stats[[#This Row],[tournament]],tournaments_n_rules[],2,0)</f>
        <v>УПК</v>
      </c>
      <c r="M1131" s="51" t="str">
        <f>VLOOKUP(_stats[[#This Row],[tournament]],tournaments_n_rules[],3,0)</f>
        <v>Весна 2026</v>
      </c>
      <c r="N1131" s="52">
        <f>VLOOKUP(_stats[[#This Row],[tournament]],tournaments_n_rules[],4,0)</f>
        <v>46082</v>
      </c>
      <c r="O1131" s="52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51" t="str">
        <f>VLOOKUP(_stats[[#This Row],[tournament]],tournaments_n_rules[],2,0)</f>
        <v>УПК</v>
      </c>
      <c r="M1132" s="51" t="str">
        <f>VLOOKUP(_stats[[#This Row],[tournament]],tournaments_n_rules[],3,0)</f>
        <v>Весна 2026</v>
      </c>
      <c r="N1132" s="52">
        <f>VLOOKUP(_stats[[#This Row],[tournament]],tournaments_n_rules[],4,0)</f>
        <v>46082</v>
      </c>
      <c r="O1132" s="52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51" t="str">
        <f>VLOOKUP(_stats[[#This Row],[tournament]],tournaments_n_rules[],2,0)</f>
        <v>УПК</v>
      </c>
      <c r="M1133" s="51" t="str">
        <f>VLOOKUP(_stats[[#This Row],[tournament]],tournaments_n_rules[],3,0)</f>
        <v>Весна 2026</v>
      </c>
      <c r="N1133" s="52">
        <f>VLOOKUP(_stats[[#This Row],[tournament]],tournaments_n_rules[],4,0)</f>
        <v>46082</v>
      </c>
      <c r="O1133" s="52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51" t="str">
        <f>VLOOKUP(_stats[[#This Row],[tournament]],tournaments_n_rules[],2,0)</f>
        <v>УПК</v>
      </c>
      <c r="M1134" s="51" t="str">
        <f>VLOOKUP(_stats[[#This Row],[tournament]],tournaments_n_rules[],3,0)</f>
        <v>Весна 2026</v>
      </c>
      <c r="N1134" s="52">
        <f>VLOOKUP(_stats[[#This Row],[tournament]],tournaments_n_rules[],4,0)</f>
        <v>46082</v>
      </c>
      <c r="O1134" s="52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51" t="str">
        <f>VLOOKUP(_stats[[#This Row],[tournament]],tournaments_n_rules[],2,0)</f>
        <v>УПК</v>
      </c>
      <c r="M1135" s="51" t="str">
        <f>VLOOKUP(_stats[[#This Row],[tournament]],tournaments_n_rules[],3,0)</f>
        <v>Весна 2026</v>
      </c>
      <c r="N1135" s="52">
        <f>VLOOKUP(_stats[[#This Row],[tournament]],tournaments_n_rules[],4,0)</f>
        <v>46082</v>
      </c>
      <c r="O1135" s="52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51" t="str">
        <f>VLOOKUP(_stats[[#This Row],[tournament]],tournaments_n_rules[],2,0)</f>
        <v>УПК</v>
      </c>
      <c r="M1136" s="51" t="str">
        <f>VLOOKUP(_stats[[#This Row],[tournament]],tournaments_n_rules[],3,0)</f>
        <v>Весна 2026</v>
      </c>
      <c r="N1136" s="52">
        <f>VLOOKUP(_stats[[#This Row],[tournament]],tournaments_n_rules[],4,0)</f>
        <v>46082</v>
      </c>
      <c r="O1136" s="52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51" t="str">
        <f>VLOOKUP(_stats[[#This Row],[tournament]],tournaments_n_rules[],2,0)</f>
        <v>УПК</v>
      </c>
      <c r="M1137" s="51" t="str">
        <f>VLOOKUP(_stats[[#This Row],[tournament]],tournaments_n_rules[],3,0)</f>
        <v>Весна 2026</v>
      </c>
      <c r="N1137" s="52">
        <f>VLOOKUP(_stats[[#This Row],[tournament]],tournaments_n_rules[],4,0)</f>
        <v>46082</v>
      </c>
      <c r="O1137" s="52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51" t="str">
        <f>VLOOKUP(_stats[[#This Row],[tournament]],tournaments_n_rules[],2,0)</f>
        <v>УПК</v>
      </c>
      <c r="M1138" s="51" t="str">
        <f>VLOOKUP(_stats[[#This Row],[tournament]],tournaments_n_rules[],3,0)</f>
        <v>Весна 2026</v>
      </c>
      <c r="N1138" s="52">
        <f>VLOOKUP(_stats[[#This Row],[tournament]],tournaments_n_rules[],4,0)</f>
        <v>46082</v>
      </c>
      <c r="O1138" s="52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51" t="str">
        <f>VLOOKUP(_stats[[#This Row],[tournament]],tournaments_n_rules[],2,0)</f>
        <v>УПК</v>
      </c>
      <c r="M1139" s="51" t="str">
        <f>VLOOKUP(_stats[[#This Row],[tournament]],tournaments_n_rules[],3,0)</f>
        <v>Весна 2026</v>
      </c>
      <c r="N1139" s="52">
        <f>VLOOKUP(_stats[[#This Row],[tournament]],tournaments_n_rules[],4,0)</f>
        <v>46082</v>
      </c>
      <c r="O1139" s="52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51" t="str">
        <f>VLOOKUP(_stats[[#This Row],[tournament]],tournaments_n_rules[],2,0)</f>
        <v>УПК</v>
      </c>
      <c r="M1140" s="51" t="str">
        <f>VLOOKUP(_stats[[#This Row],[tournament]],tournaments_n_rules[],3,0)</f>
        <v>Весна 2026</v>
      </c>
      <c r="N1140" s="52">
        <f>VLOOKUP(_stats[[#This Row],[tournament]],tournaments_n_rules[],4,0)</f>
        <v>46082</v>
      </c>
      <c r="O1140" s="52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51" t="str">
        <f>VLOOKUP(_stats[[#This Row],[tournament]],tournaments_n_rules[],2,0)</f>
        <v>УПК</v>
      </c>
      <c r="M1141" s="51" t="str">
        <f>VLOOKUP(_stats[[#This Row],[tournament]],tournaments_n_rules[],3,0)</f>
        <v>Весна 2026</v>
      </c>
      <c r="N1141" s="52">
        <f>VLOOKUP(_stats[[#This Row],[tournament]],tournaments_n_rules[],4,0)</f>
        <v>46082</v>
      </c>
      <c r="O1141" s="52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51" t="str">
        <f>VLOOKUP(_stats[[#This Row],[tournament]],tournaments_n_rules[],2,0)</f>
        <v>УПК</v>
      </c>
      <c r="M1142" s="51" t="str">
        <f>VLOOKUP(_stats[[#This Row],[tournament]],tournaments_n_rules[],3,0)</f>
        <v>Весна 2026</v>
      </c>
      <c r="N1142" s="52">
        <f>VLOOKUP(_stats[[#This Row],[tournament]],tournaments_n_rules[],4,0)</f>
        <v>46082</v>
      </c>
      <c r="O1142" s="52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51" t="str">
        <f>VLOOKUP(_stats[[#This Row],[tournament]],tournaments_n_rules[],2,0)</f>
        <v>УПК</v>
      </c>
      <c r="M1143" s="51" t="str">
        <f>VLOOKUP(_stats[[#This Row],[tournament]],tournaments_n_rules[],3,0)</f>
        <v>Весна 2026</v>
      </c>
      <c r="N1143" s="52">
        <f>VLOOKUP(_stats[[#This Row],[tournament]],tournaments_n_rules[],4,0)</f>
        <v>46082</v>
      </c>
      <c r="O1143" s="52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51" t="str">
        <f>VLOOKUP(_stats[[#This Row],[tournament]],tournaments_n_rules[],2,0)</f>
        <v>УПК</v>
      </c>
      <c r="M1144" s="51" t="str">
        <f>VLOOKUP(_stats[[#This Row],[tournament]],tournaments_n_rules[],3,0)</f>
        <v>Весна 2026</v>
      </c>
      <c r="N1144" s="52">
        <f>VLOOKUP(_stats[[#This Row],[tournament]],tournaments_n_rules[],4,0)</f>
        <v>46082</v>
      </c>
      <c r="O1144" s="52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51" t="str">
        <f>VLOOKUP(_stats[[#This Row],[tournament]],tournaments_n_rules[],2,0)</f>
        <v>УПК</v>
      </c>
      <c r="M1145" s="51" t="str">
        <f>VLOOKUP(_stats[[#This Row],[tournament]],tournaments_n_rules[],3,0)</f>
        <v>Весна 2026</v>
      </c>
      <c r="N1145" s="52">
        <f>VLOOKUP(_stats[[#This Row],[tournament]],tournaments_n_rules[],4,0)</f>
        <v>46082</v>
      </c>
      <c r="O1145" s="52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51" t="str">
        <f>VLOOKUP(_stats[[#This Row],[tournament]],tournaments_n_rules[],2,0)</f>
        <v>УПК</v>
      </c>
      <c r="M1146" s="51" t="str">
        <f>VLOOKUP(_stats[[#This Row],[tournament]],tournaments_n_rules[],3,0)</f>
        <v>Весна 2026</v>
      </c>
      <c r="N1146" s="52">
        <f>VLOOKUP(_stats[[#This Row],[tournament]],tournaments_n_rules[],4,0)</f>
        <v>46082</v>
      </c>
      <c r="O1146" s="52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51" t="str">
        <f>VLOOKUP(_stats[[#This Row],[tournament]],tournaments_n_rules[],2,0)</f>
        <v>УПК</v>
      </c>
      <c r="M1147" s="51" t="str">
        <f>VLOOKUP(_stats[[#This Row],[tournament]],tournaments_n_rules[],3,0)</f>
        <v>Весна 2026</v>
      </c>
      <c r="N1147" s="52">
        <f>VLOOKUP(_stats[[#This Row],[tournament]],tournaments_n_rules[],4,0)</f>
        <v>46082</v>
      </c>
      <c r="O1147" s="52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51" t="str">
        <f>VLOOKUP(_stats[[#This Row],[tournament]],tournaments_n_rules[],2,0)</f>
        <v>УПК</v>
      </c>
      <c r="M1148" s="51" t="str">
        <f>VLOOKUP(_stats[[#This Row],[tournament]],tournaments_n_rules[],3,0)</f>
        <v>Весна 2026</v>
      </c>
      <c r="N1148" s="52">
        <f>VLOOKUP(_stats[[#This Row],[tournament]],tournaments_n_rules[],4,0)</f>
        <v>46082</v>
      </c>
      <c r="O1148" s="52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51" t="str">
        <f>VLOOKUP(_stats[[#This Row],[tournament]],tournaments_n_rules[],2,0)</f>
        <v>УПК</v>
      </c>
      <c r="M1149" s="51" t="str">
        <f>VLOOKUP(_stats[[#This Row],[tournament]],tournaments_n_rules[],3,0)</f>
        <v>Весна 2026</v>
      </c>
      <c r="N1149" s="52">
        <f>VLOOKUP(_stats[[#This Row],[tournament]],tournaments_n_rules[],4,0)</f>
        <v>46082</v>
      </c>
      <c r="O1149" s="52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51" t="str">
        <f>VLOOKUP(_stats[[#This Row],[tournament]],tournaments_n_rules[],2,0)</f>
        <v>УПК</v>
      </c>
      <c r="M1150" s="51" t="str">
        <f>VLOOKUP(_stats[[#This Row],[tournament]],tournaments_n_rules[],3,0)</f>
        <v>Весна 2026</v>
      </c>
      <c r="N1150" s="52">
        <f>VLOOKUP(_stats[[#This Row],[tournament]],tournaments_n_rules[],4,0)</f>
        <v>46082</v>
      </c>
      <c r="O1150" s="52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51" t="str">
        <f>VLOOKUP(_stats[[#This Row],[tournament]],tournaments_n_rules[],2,0)</f>
        <v>УПК</v>
      </c>
      <c r="M1151" s="51" t="str">
        <f>VLOOKUP(_stats[[#This Row],[tournament]],tournaments_n_rules[],3,0)</f>
        <v>Весна 2026</v>
      </c>
      <c r="N1151" s="52">
        <f>VLOOKUP(_stats[[#This Row],[tournament]],tournaments_n_rules[],4,0)</f>
        <v>46082</v>
      </c>
      <c r="O1151" s="52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51" t="str">
        <f>VLOOKUP(_stats[[#This Row],[tournament]],tournaments_n_rules[],2,0)</f>
        <v>УПК</v>
      </c>
      <c r="M1152" s="51" t="str">
        <f>VLOOKUP(_stats[[#This Row],[tournament]],tournaments_n_rules[],3,0)</f>
        <v>Весна 2026</v>
      </c>
      <c r="N1152" s="52">
        <f>VLOOKUP(_stats[[#This Row],[tournament]],tournaments_n_rules[],4,0)</f>
        <v>46082</v>
      </c>
      <c r="O1152" s="52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51" t="str">
        <f>VLOOKUP(_stats[[#This Row],[tournament]],tournaments_n_rules[],2,0)</f>
        <v>УПК</v>
      </c>
      <c r="M1153" s="51" t="str">
        <f>VLOOKUP(_stats[[#This Row],[tournament]],tournaments_n_rules[],3,0)</f>
        <v>Весна 2026</v>
      </c>
      <c r="N1153" s="52">
        <f>VLOOKUP(_stats[[#This Row],[tournament]],tournaments_n_rules[],4,0)</f>
        <v>46082</v>
      </c>
      <c r="O1153" s="52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51" t="str">
        <f>VLOOKUP(_stats[[#This Row],[tournament]],tournaments_n_rules[],2,0)</f>
        <v>УПК</v>
      </c>
      <c r="M1154" s="51" t="str">
        <f>VLOOKUP(_stats[[#This Row],[tournament]],tournaments_n_rules[],3,0)</f>
        <v>Весна 2026</v>
      </c>
      <c r="N1154" s="52">
        <f>VLOOKUP(_stats[[#This Row],[tournament]],tournaments_n_rules[],4,0)</f>
        <v>46082</v>
      </c>
      <c r="O1154" s="52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51" t="str">
        <f>VLOOKUP(_stats[[#This Row],[tournament]],tournaments_n_rules[],2,0)</f>
        <v>УПК</v>
      </c>
      <c r="M1155" s="51" t="str">
        <f>VLOOKUP(_stats[[#This Row],[tournament]],tournaments_n_rules[],3,0)</f>
        <v>Весна 2026</v>
      </c>
      <c r="N1155" s="52">
        <f>VLOOKUP(_stats[[#This Row],[tournament]],tournaments_n_rules[],4,0)</f>
        <v>46082</v>
      </c>
      <c r="O1155" s="52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51" t="str">
        <f>VLOOKUP(_stats[[#This Row],[tournament]],tournaments_n_rules[],2,0)</f>
        <v>УПК</v>
      </c>
      <c r="M1156" s="51" t="str">
        <f>VLOOKUP(_stats[[#This Row],[tournament]],tournaments_n_rules[],3,0)</f>
        <v>Весна 2026</v>
      </c>
      <c r="N1156" s="52">
        <f>VLOOKUP(_stats[[#This Row],[tournament]],tournaments_n_rules[],4,0)</f>
        <v>46082</v>
      </c>
      <c r="O1156" s="52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51" t="str">
        <f>VLOOKUP(_stats[[#This Row],[tournament]],tournaments_n_rules[],2,0)</f>
        <v>УПК</v>
      </c>
      <c r="M1157" s="51" t="str">
        <f>VLOOKUP(_stats[[#This Row],[tournament]],tournaments_n_rules[],3,0)</f>
        <v>Весна 2026</v>
      </c>
      <c r="N1157" s="52">
        <f>VLOOKUP(_stats[[#This Row],[tournament]],tournaments_n_rules[],4,0)</f>
        <v>46082</v>
      </c>
      <c r="O1157" s="52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51" t="str">
        <f>VLOOKUP(_stats[[#This Row],[tournament]],tournaments_n_rules[],2,0)</f>
        <v>УПК</v>
      </c>
      <c r="M1158" s="51" t="str">
        <f>VLOOKUP(_stats[[#This Row],[tournament]],tournaments_n_rules[],3,0)</f>
        <v>Весна 2026</v>
      </c>
      <c r="N1158" s="52">
        <f>VLOOKUP(_stats[[#This Row],[tournament]],tournaments_n_rules[],4,0)</f>
        <v>46082</v>
      </c>
      <c r="O1158" s="52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51" t="str">
        <f>VLOOKUP(_stats[[#This Row],[tournament]],tournaments_n_rules[],2,0)</f>
        <v>УПК</v>
      </c>
      <c r="M1159" s="51" t="str">
        <f>VLOOKUP(_stats[[#This Row],[tournament]],tournaments_n_rules[],3,0)</f>
        <v>Весна 2026</v>
      </c>
      <c r="N1159" s="52">
        <f>VLOOKUP(_stats[[#This Row],[tournament]],tournaments_n_rules[],4,0)</f>
        <v>46082</v>
      </c>
      <c r="O1159" s="52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51" t="str">
        <f>VLOOKUP(_stats[[#This Row],[tournament]],tournaments_n_rules[],2,0)</f>
        <v>УПК</v>
      </c>
      <c r="M1160" s="51" t="str">
        <f>VLOOKUP(_stats[[#This Row],[tournament]],tournaments_n_rules[],3,0)</f>
        <v>Весна 2026</v>
      </c>
      <c r="N1160" s="52">
        <f>VLOOKUP(_stats[[#This Row],[tournament]],tournaments_n_rules[],4,0)</f>
        <v>46082</v>
      </c>
      <c r="O1160" s="52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51" t="str">
        <f>VLOOKUP(_stats[[#This Row],[tournament]],tournaments_n_rules[],2,0)</f>
        <v>УПК</v>
      </c>
      <c r="M1161" s="51" t="str">
        <f>VLOOKUP(_stats[[#This Row],[tournament]],tournaments_n_rules[],3,0)</f>
        <v>Весна 2026</v>
      </c>
      <c r="N1161" s="52">
        <f>VLOOKUP(_stats[[#This Row],[tournament]],tournaments_n_rules[],4,0)</f>
        <v>46082</v>
      </c>
      <c r="O1161" s="52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51" t="str">
        <f>VLOOKUP(_stats[[#This Row],[tournament]],tournaments_n_rules[],2,0)</f>
        <v>УПК</v>
      </c>
      <c r="M1162" s="51" t="str">
        <f>VLOOKUP(_stats[[#This Row],[tournament]],tournaments_n_rules[],3,0)</f>
        <v>Весна 2026</v>
      </c>
      <c r="N1162" s="52">
        <f>VLOOKUP(_stats[[#This Row],[tournament]],tournaments_n_rules[],4,0)</f>
        <v>46082</v>
      </c>
      <c r="O1162" s="52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51" t="str">
        <f>VLOOKUP(_stats[[#This Row],[tournament]],tournaments_n_rules[],2,0)</f>
        <v>УПК</v>
      </c>
      <c r="M1163" s="51" t="str">
        <f>VLOOKUP(_stats[[#This Row],[tournament]],tournaments_n_rules[],3,0)</f>
        <v>Весна 2026</v>
      </c>
      <c r="N1163" s="52">
        <f>VLOOKUP(_stats[[#This Row],[tournament]],tournaments_n_rules[],4,0)</f>
        <v>46082</v>
      </c>
      <c r="O1163" s="52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51" t="str">
        <f>VLOOKUP(_stats[[#This Row],[tournament]],tournaments_n_rules[],2,0)</f>
        <v>УПК</v>
      </c>
      <c r="M1164" s="51" t="str">
        <f>VLOOKUP(_stats[[#This Row],[tournament]],tournaments_n_rules[],3,0)</f>
        <v>Весна 2026</v>
      </c>
      <c r="N1164" s="52">
        <f>VLOOKUP(_stats[[#This Row],[tournament]],tournaments_n_rules[],4,0)</f>
        <v>46082</v>
      </c>
      <c r="O1164" s="52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51" t="str">
        <f>VLOOKUP(_stats[[#This Row],[tournament]],tournaments_n_rules[],2,0)</f>
        <v>УПК</v>
      </c>
      <c r="M1165" s="51" t="str">
        <f>VLOOKUP(_stats[[#This Row],[tournament]],tournaments_n_rules[],3,0)</f>
        <v>Весна 2026</v>
      </c>
      <c r="N1165" s="52">
        <f>VLOOKUP(_stats[[#This Row],[tournament]],tournaments_n_rules[],4,0)</f>
        <v>46082</v>
      </c>
      <c r="O1165" s="52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51" t="str">
        <f>VLOOKUP(_stats[[#This Row],[tournament]],tournaments_n_rules[],2,0)</f>
        <v>УПК</v>
      </c>
      <c r="M1166" s="51" t="str">
        <f>VLOOKUP(_stats[[#This Row],[tournament]],tournaments_n_rules[],3,0)</f>
        <v>Весна 2026</v>
      </c>
      <c r="N1166" s="52">
        <f>VLOOKUP(_stats[[#This Row],[tournament]],tournaments_n_rules[],4,0)</f>
        <v>46082</v>
      </c>
      <c r="O1166" s="52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51" t="str">
        <f>VLOOKUP(_stats[[#This Row],[tournament]],tournaments_n_rules[],2,0)</f>
        <v>УПК</v>
      </c>
      <c r="M1167" s="51" t="str">
        <f>VLOOKUP(_stats[[#This Row],[tournament]],tournaments_n_rules[],3,0)</f>
        <v>Весна 2026</v>
      </c>
      <c r="N1167" s="52">
        <f>VLOOKUP(_stats[[#This Row],[tournament]],tournaments_n_rules[],4,0)</f>
        <v>46082</v>
      </c>
      <c r="O1167" s="52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51" t="str">
        <f>VLOOKUP(_stats[[#This Row],[tournament]],tournaments_n_rules[],2,0)</f>
        <v>УПК</v>
      </c>
      <c r="M1168" s="51" t="str">
        <f>VLOOKUP(_stats[[#This Row],[tournament]],tournaments_n_rules[],3,0)</f>
        <v>Весна 2026</v>
      </c>
      <c r="N1168" s="52">
        <f>VLOOKUP(_stats[[#This Row],[tournament]],tournaments_n_rules[],4,0)</f>
        <v>46082</v>
      </c>
      <c r="O1168" s="52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51" t="str">
        <f>VLOOKUP(_stats[[#This Row],[tournament]],tournaments_n_rules[],2,0)</f>
        <v>УПК</v>
      </c>
      <c r="M1169" s="51" t="str">
        <f>VLOOKUP(_stats[[#This Row],[tournament]],tournaments_n_rules[],3,0)</f>
        <v>Весна 2026</v>
      </c>
      <c r="N1169" s="52">
        <f>VLOOKUP(_stats[[#This Row],[tournament]],tournaments_n_rules[],4,0)</f>
        <v>46082</v>
      </c>
      <c r="O1169" s="52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51" t="str">
        <f>VLOOKUP(_stats[[#This Row],[tournament]],tournaments_n_rules[],2,0)</f>
        <v>УПК</v>
      </c>
      <c r="M1170" s="51" t="str">
        <f>VLOOKUP(_stats[[#This Row],[tournament]],tournaments_n_rules[],3,0)</f>
        <v>Весна 2026</v>
      </c>
      <c r="N1170" s="52">
        <f>VLOOKUP(_stats[[#This Row],[tournament]],tournaments_n_rules[],4,0)</f>
        <v>46082</v>
      </c>
      <c r="O1170" s="52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51" t="str">
        <f>VLOOKUP(_stats[[#This Row],[tournament]],tournaments_n_rules[],2,0)</f>
        <v>УПК</v>
      </c>
      <c r="M1171" s="51" t="str">
        <f>VLOOKUP(_stats[[#This Row],[tournament]],tournaments_n_rules[],3,0)</f>
        <v>Весна 2026</v>
      </c>
      <c r="N1171" s="52">
        <f>VLOOKUP(_stats[[#This Row],[tournament]],tournaments_n_rules[],4,0)</f>
        <v>46082</v>
      </c>
      <c r="O1171" s="52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51" t="str">
        <f>VLOOKUP(_stats[[#This Row],[tournament]],tournaments_n_rules[],2,0)</f>
        <v>УПК</v>
      </c>
      <c r="M1172" s="51" t="str">
        <f>VLOOKUP(_stats[[#This Row],[tournament]],tournaments_n_rules[],3,0)</f>
        <v>Весна 2026</v>
      </c>
      <c r="N1172" s="52">
        <f>VLOOKUP(_stats[[#This Row],[tournament]],tournaments_n_rules[],4,0)</f>
        <v>46082</v>
      </c>
      <c r="O1172" s="52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51" t="str">
        <f>VLOOKUP(_stats[[#This Row],[tournament]],tournaments_n_rules[],2,0)</f>
        <v>УПК</v>
      </c>
      <c r="M1173" s="51" t="str">
        <f>VLOOKUP(_stats[[#This Row],[tournament]],tournaments_n_rules[],3,0)</f>
        <v>Весна 2026</v>
      </c>
      <c r="N1173" s="52">
        <f>VLOOKUP(_stats[[#This Row],[tournament]],tournaments_n_rules[],4,0)</f>
        <v>46082</v>
      </c>
      <c r="O1173" s="52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51" t="str">
        <f>VLOOKUP(_stats[[#This Row],[tournament]],tournaments_n_rules[],2,0)</f>
        <v>УПК</v>
      </c>
      <c r="M1174" s="51" t="str">
        <f>VLOOKUP(_stats[[#This Row],[tournament]],tournaments_n_rules[],3,0)</f>
        <v>Весна 2026</v>
      </c>
      <c r="N1174" s="52">
        <f>VLOOKUP(_stats[[#This Row],[tournament]],tournaments_n_rules[],4,0)</f>
        <v>46082</v>
      </c>
      <c r="O1174" s="52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51" t="str">
        <f>VLOOKUP(_stats[[#This Row],[tournament]],tournaments_n_rules[],2,0)</f>
        <v>УПК</v>
      </c>
      <c r="M1175" s="51" t="str">
        <f>VLOOKUP(_stats[[#This Row],[tournament]],tournaments_n_rules[],3,0)</f>
        <v>Весна 2026</v>
      </c>
      <c r="N1175" s="52">
        <f>VLOOKUP(_stats[[#This Row],[tournament]],tournaments_n_rules[],4,0)</f>
        <v>46082</v>
      </c>
      <c r="O1175" s="52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51" t="str">
        <f>VLOOKUP(_stats[[#This Row],[tournament]],tournaments_n_rules[],2,0)</f>
        <v>УПК</v>
      </c>
      <c r="M1176" s="51" t="str">
        <f>VLOOKUP(_stats[[#This Row],[tournament]],tournaments_n_rules[],3,0)</f>
        <v>Весна 2026</v>
      </c>
      <c r="N1176" s="52">
        <f>VLOOKUP(_stats[[#This Row],[tournament]],tournaments_n_rules[],4,0)</f>
        <v>46082</v>
      </c>
      <c r="O1176" s="52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51" t="str">
        <f>VLOOKUP(_stats[[#This Row],[tournament]],tournaments_n_rules[],2,0)</f>
        <v>УПК</v>
      </c>
      <c r="M1177" s="51" t="str">
        <f>VLOOKUP(_stats[[#This Row],[tournament]],tournaments_n_rules[],3,0)</f>
        <v>Весна 2026</v>
      </c>
      <c r="N1177" s="52">
        <f>VLOOKUP(_stats[[#This Row],[tournament]],tournaments_n_rules[],4,0)</f>
        <v>46082</v>
      </c>
      <c r="O1177" s="52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51" t="str">
        <f>VLOOKUP(_stats[[#This Row],[tournament]],tournaments_n_rules[],2,0)</f>
        <v>УПК</v>
      </c>
      <c r="M1178" s="51" t="str">
        <f>VLOOKUP(_stats[[#This Row],[tournament]],tournaments_n_rules[],3,0)</f>
        <v>Весна 2026</v>
      </c>
      <c r="N1178" s="52">
        <f>VLOOKUP(_stats[[#This Row],[tournament]],tournaments_n_rules[],4,0)</f>
        <v>46082</v>
      </c>
      <c r="O1178" s="52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51" t="str">
        <f>VLOOKUP(_stats[[#This Row],[tournament]],tournaments_n_rules[],2,0)</f>
        <v>УПК</v>
      </c>
      <c r="M1179" s="51" t="str">
        <f>VLOOKUP(_stats[[#This Row],[tournament]],tournaments_n_rules[],3,0)</f>
        <v>Весна 2026</v>
      </c>
      <c r="N1179" s="52">
        <f>VLOOKUP(_stats[[#This Row],[tournament]],tournaments_n_rules[],4,0)</f>
        <v>46082</v>
      </c>
      <c r="O1179" s="52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51" t="str">
        <f>VLOOKUP(_stats[[#This Row],[tournament]],tournaments_n_rules[],2,0)</f>
        <v>УПК</v>
      </c>
      <c r="M1180" s="51" t="str">
        <f>VLOOKUP(_stats[[#This Row],[tournament]],tournaments_n_rules[],3,0)</f>
        <v>Весна 2026</v>
      </c>
      <c r="N1180" s="52">
        <f>VLOOKUP(_stats[[#This Row],[tournament]],tournaments_n_rules[],4,0)</f>
        <v>46082</v>
      </c>
      <c r="O1180" s="52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51" t="str">
        <f>VLOOKUP(_stats[[#This Row],[tournament]],tournaments_n_rules[],2,0)</f>
        <v>УПК</v>
      </c>
      <c r="M1181" s="51" t="str">
        <f>VLOOKUP(_stats[[#This Row],[tournament]],tournaments_n_rules[],3,0)</f>
        <v>Весна 2026</v>
      </c>
      <c r="N1181" s="52">
        <f>VLOOKUP(_stats[[#This Row],[tournament]],tournaments_n_rules[],4,0)</f>
        <v>46082</v>
      </c>
      <c r="O1181" s="52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51" t="str">
        <f>VLOOKUP(_stats[[#This Row],[tournament]],tournaments_n_rules[],2,0)</f>
        <v>УПК</v>
      </c>
      <c r="M1182" s="51" t="str">
        <f>VLOOKUP(_stats[[#This Row],[tournament]],tournaments_n_rules[],3,0)</f>
        <v>Весна 2026</v>
      </c>
      <c r="N1182" s="52">
        <f>VLOOKUP(_stats[[#This Row],[tournament]],tournaments_n_rules[],4,0)</f>
        <v>46082</v>
      </c>
      <c r="O1182" s="52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51" t="str">
        <f>VLOOKUP(_stats[[#This Row],[tournament]],tournaments_n_rules[],2,0)</f>
        <v>УПК</v>
      </c>
      <c r="M1183" s="51" t="str">
        <f>VLOOKUP(_stats[[#This Row],[tournament]],tournaments_n_rules[],3,0)</f>
        <v>Весна 2026</v>
      </c>
      <c r="N1183" s="52">
        <f>VLOOKUP(_stats[[#This Row],[tournament]],tournaments_n_rules[],4,0)</f>
        <v>46082</v>
      </c>
      <c r="O1183" s="52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51" t="str">
        <f>VLOOKUP(_stats[[#This Row],[tournament]],tournaments_n_rules[],2,0)</f>
        <v>УПК</v>
      </c>
      <c r="M1184" s="51" t="str">
        <f>VLOOKUP(_stats[[#This Row],[tournament]],tournaments_n_rules[],3,0)</f>
        <v>Весна 2026</v>
      </c>
      <c r="N1184" s="52">
        <f>VLOOKUP(_stats[[#This Row],[tournament]],tournaments_n_rules[],4,0)</f>
        <v>46082</v>
      </c>
      <c r="O1184" s="52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51" t="str">
        <f>VLOOKUP(_stats[[#This Row],[tournament]],tournaments_n_rules[],2,0)</f>
        <v>УПК</v>
      </c>
      <c r="M1185" s="51" t="str">
        <f>VLOOKUP(_stats[[#This Row],[tournament]],tournaments_n_rules[],3,0)</f>
        <v>Весна 2026</v>
      </c>
      <c r="N1185" s="52">
        <f>VLOOKUP(_stats[[#This Row],[tournament]],tournaments_n_rules[],4,0)</f>
        <v>46082</v>
      </c>
      <c r="O1185" s="52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51" t="str">
        <f>VLOOKUP(_stats[[#This Row],[tournament]],tournaments_n_rules[],2,0)</f>
        <v>УПК</v>
      </c>
      <c r="M1186" s="51" t="str">
        <f>VLOOKUP(_stats[[#This Row],[tournament]],tournaments_n_rules[],3,0)</f>
        <v>Весна 2026</v>
      </c>
      <c r="N1186" s="52">
        <f>VLOOKUP(_stats[[#This Row],[tournament]],tournaments_n_rules[],4,0)</f>
        <v>46082</v>
      </c>
      <c r="O1186" s="52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51" t="str">
        <f>VLOOKUP(_stats[[#This Row],[tournament]],tournaments_n_rules[],2,0)</f>
        <v>УПК</v>
      </c>
      <c r="M1187" s="51" t="str">
        <f>VLOOKUP(_stats[[#This Row],[tournament]],tournaments_n_rules[],3,0)</f>
        <v>Весна 2026</v>
      </c>
      <c r="N1187" s="52">
        <f>VLOOKUP(_stats[[#This Row],[tournament]],tournaments_n_rules[],4,0)</f>
        <v>46082</v>
      </c>
      <c r="O1187" s="52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51" t="str">
        <f>VLOOKUP(_stats[[#This Row],[tournament]],tournaments_n_rules[],2,0)</f>
        <v>УПК</v>
      </c>
      <c r="M1188" s="51" t="str">
        <f>VLOOKUP(_stats[[#This Row],[tournament]],tournaments_n_rules[],3,0)</f>
        <v>Весна 2026</v>
      </c>
      <c r="N1188" s="52">
        <f>VLOOKUP(_stats[[#This Row],[tournament]],tournaments_n_rules[],4,0)</f>
        <v>46082</v>
      </c>
      <c r="O1188" s="52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51" t="str">
        <f>VLOOKUP(_stats[[#This Row],[tournament]],tournaments_n_rules[],2,0)</f>
        <v>УПК</v>
      </c>
      <c r="M1189" s="51" t="str">
        <f>VLOOKUP(_stats[[#This Row],[tournament]],tournaments_n_rules[],3,0)</f>
        <v>Весна 2026</v>
      </c>
      <c r="N1189" s="52">
        <f>VLOOKUP(_stats[[#This Row],[tournament]],tournaments_n_rules[],4,0)</f>
        <v>46082</v>
      </c>
      <c r="O1189" s="52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51" t="str">
        <f>VLOOKUP(_stats[[#This Row],[tournament]],tournaments_n_rules[],2,0)</f>
        <v>УПК</v>
      </c>
      <c r="M1190" s="51" t="str">
        <f>VLOOKUP(_stats[[#This Row],[tournament]],tournaments_n_rules[],3,0)</f>
        <v>Весна 2026</v>
      </c>
      <c r="N1190" s="52">
        <f>VLOOKUP(_stats[[#This Row],[tournament]],tournaments_n_rules[],4,0)</f>
        <v>46082</v>
      </c>
      <c r="O1190" s="52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51" t="str">
        <f>VLOOKUP(_stats[[#This Row],[tournament]],tournaments_n_rules[],2,0)</f>
        <v>УПК</v>
      </c>
      <c r="M1191" s="51" t="str">
        <f>VLOOKUP(_stats[[#This Row],[tournament]],tournaments_n_rules[],3,0)</f>
        <v>Весна 2026</v>
      </c>
      <c r="N1191" s="52">
        <f>VLOOKUP(_stats[[#This Row],[tournament]],tournaments_n_rules[],4,0)</f>
        <v>46082</v>
      </c>
      <c r="O1191" s="52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51" t="str">
        <f>VLOOKUP(_stats[[#This Row],[tournament]],tournaments_n_rules[],2,0)</f>
        <v>УПК</v>
      </c>
      <c r="M1192" s="51" t="str">
        <f>VLOOKUP(_stats[[#This Row],[tournament]],tournaments_n_rules[],3,0)</f>
        <v>Весна 2026</v>
      </c>
      <c r="N1192" s="52">
        <f>VLOOKUP(_stats[[#This Row],[tournament]],tournaments_n_rules[],4,0)</f>
        <v>46082</v>
      </c>
      <c r="O1192" s="52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51" t="str">
        <f>VLOOKUP(_stats[[#This Row],[tournament]],tournaments_n_rules[],2,0)</f>
        <v>УПК</v>
      </c>
      <c r="M1193" s="51" t="str">
        <f>VLOOKUP(_stats[[#This Row],[tournament]],tournaments_n_rules[],3,0)</f>
        <v>Весна 2026</v>
      </c>
      <c r="N1193" s="52">
        <f>VLOOKUP(_stats[[#This Row],[tournament]],tournaments_n_rules[],4,0)</f>
        <v>46082</v>
      </c>
      <c r="O1193" s="52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51" t="str">
        <f>VLOOKUP(_stats[[#This Row],[tournament]],tournaments_n_rules[],2,0)</f>
        <v>УПК</v>
      </c>
      <c r="M1194" s="51" t="str">
        <f>VLOOKUP(_stats[[#This Row],[tournament]],tournaments_n_rules[],3,0)</f>
        <v>Весна 2026</v>
      </c>
      <c r="N1194" s="52">
        <f>VLOOKUP(_stats[[#This Row],[tournament]],tournaments_n_rules[],4,0)</f>
        <v>46082</v>
      </c>
      <c r="O1194" s="52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51" t="str">
        <f>VLOOKUP(_stats[[#This Row],[tournament]],tournaments_n_rules[],2,0)</f>
        <v>УПК</v>
      </c>
      <c r="M1195" s="51" t="str">
        <f>VLOOKUP(_stats[[#This Row],[tournament]],tournaments_n_rules[],3,0)</f>
        <v>Весна 2026</v>
      </c>
      <c r="N1195" s="52">
        <f>VLOOKUP(_stats[[#This Row],[tournament]],tournaments_n_rules[],4,0)</f>
        <v>46082</v>
      </c>
      <c r="O1195" s="52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51" t="str">
        <f>VLOOKUP(_stats[[#This Row],[tournament]],tournaments_n_rules[],2,0)</f>
        <v>УПК</v>
      </c>
      <c r="M1196" s="51" t="str">
        <f>VLOOKUP(_stats[[#This Row],[tournament]],tournaments_n_rules[],3,0)</f>
        <v>Весна 2026</v>
      </c>
      <c r="N1196" s="52">
        <f>VLOOKUP(_stats[[#This Row],[tournament]],tournaments_n_rules[],4,0)</f>
        <v>46082</v>
      </c>
      <c r="O1196" s="52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51" t="str">
        <f>VLOOKUP(_stats[[#This Row],[tournament]],tournaments_n_rules[],2,0)</f>
        <v>УПК</v>
      </c>
      <c r="M1197" s="51" t="str">
        <f>VLOOKUP(_stats[[#This Row],[tournament]],tournaments_n_rules[],3,0)</f>
        <v>Весна 2026</v>
      </c>
      <c r="N1197" s="52">
        <f>VLOOKUP(_stats[[#This Row],[tournament]],tournaments_n_rules[],4,0)</f>
        <v>46082</v>
      </c>
      <c r="O1197" s="52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51" t="str">
        <f>VLOOKUP(_stats[[#This Row],[tournament]],tournaments_n_rules[],2,0)</f>
        <v>УПК</v>
      </c>
      <c r="M1198" s="51" t="str">
        <f>VLOOKUP(_stats[[#This Row],[tournament]],tournaments_n_rules[],3,0)</f>
        <v>Весна 2026</v>
      </c>
      <c r="N1198" s="52">
        <f>VLOOKUP(_stats[[#This Row],[tournament]],tournaments_n_rules[],4,0)</f>
        <v>46082</v>
      </c>
      <c r="O1198" s="52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51" t="str">
        <f>VLOOKUP(_stats[[#This Row],[tournament]],tournaments_n_rules[],2,0)</f>
        <v>УПК</v>
      </c>
      <c r="M1199" s="51" t="str">
        <f>VLOOKUP(_stats[[#This Row],[tournament]],tournaments_n_rules[],3,0)</f>
        <v>Весна 2026</v>
      </c>
      <c r="N1199" s="52">
        <f>VLOOKUP(_stats[[#This Row],[tournament]],tournaments_n_rules[],4,0)</f>
        <v>46082</v>
      </c>
      <c r="O1199" s="52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51" t="str">
        <f>VLOOKUP(_stats[[#This Row],[tournament]],tournaments_n_rules[],2,0)</f>
        <v>УПК</v>
      </c>
      <c r="M1200" s="51" t="str">
        <f>VLOOKUP(_stats[[#This Row],[tournament]],tournaments_n_rules[],3,0)</f>
        <v>Весна 2026</v>
      </c>
      <c r="N1200" s="52">
        <f>VLOOKUP(_stats[[#This Row],[tournament]],tournaments_n_rules[],4,0)</f>
        <v>46082</v>
      </c>
      <c r="O1200" s="52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51" t="str">
        <f>VLOOKUP(_stats[[#This Row],[tournament]],tournaments_n_rules[],2,0)</f>
        <v>УПК</v>
      </c>
      <c r="M1201" s="51" t="str">
        <f>VLOOKUP(_stats[[#This Row],[tournament]],tournaments_n_rules[],3,0)</f>
        <v>Весна 2026</v>
      </c>
      <c r="N1201" s="52">
        <f>VLOOKUP(_stats[[#This Row],[tournament]],tournaments_n_rules[],4,0)</f>
        <v>46082</v>
      </c>
      <c r="O1201" s="52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51" t="str">
        <f>VLOOKUP(_stats[[#This Row],[tournament]],tournaments_n_rules[],2,0)</f>
        <v>УПК</v>
      </c>
      <c r="M1202" s="51" t="str">
        <f>VLOOKUP(_stats[[#This Row],[tournament]],tournaments_n_rules[],3,0)</f>
        <v>Весна 2026</v>
      </c>
      <c r="N1202" s="52">
        <f>VLOOKUP(_stats[[#This Row],[tournament]],tournaments_n_rules[],4,0)</f>
        <v>46082</v>
      </c>
      <c r="O1202" s="52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51" t="str">
        <f>VLOOKUP(_stats[[#This Row],[tournament]],tournaments_n_rules[],2,0)</f>
        <v>УПК</v>
      </c>
      <c r="M1203" s="51" t="str">
        <f>VLOOKUP(_stats[[#This Row],[tournament]],tournaments_n_rules[],3,0)</f>
        <v>Весна 2026</v>
      </c>
      <c r="N1203" s="52">
        <f>VLOOKUP(_stats[[#This Row],[tournament]],tournaments_n_rules[],4,0)</f>
        <v>46082</v>
      </c>
      <c r="O1203" s="52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51" t="str">
        <f>VLOOKUP(_stats[[#This Row],[tournament]],tournaments_n_rules[],2,0)</f>
        <v>УПК</v>
      </c>
      <c r="M1204" s="51" t="str">
        <f>VLOOKUP(_stats[[#This Row],[tournament]],tournaments_n_rules[],3,0)</f>
        <v>Весна 2026</v>
      </c>
      <c r="N1204" s="52">
        <f>VLOOKUP(_stats[[#This Row],[tournament]],tournaments_n_rules[],4,0)</f>
        <v>46082</v>
      </c>
      <c r="O1204" s="52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51" t="str">
        <f>VLOOKUP(_stats[[#This Row],[tournament]],tournaments_n_rules[],2,0)</f>
        <v>УПК</v>
      </c>
      <c r="M1205" s="51" t="str">
        <f>VLOOKUP(_stats[[#This Row],[tournament]],tournaments_n_rules[],3,0)</f>
        <v>Весна 2026</v>
      </c>
      <c r="N1205" s="52">
        <f>VLOOKUP(_stats[[#This Row],[tournament]],tournaments_n_rules[],4,0)</f>
        <v>46082</v>
      </c>
      <c r="O1205" s="52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51" t="str">
        <f>VLOOKUP(_stats[[#This Row],[tournament]],tournaments_n_rules[],2,0)</f>
        <v>УПК</v>
      </c>
      <c r="M1206" s="51" t="str">
        <f>VLOOKUP(_stats[[#This Row],[tournament]],tournaments_n_rules[],3,0)</f>
        <v>Весна 2026</v>
      </c>
      <c r="N1206" s="52">
        <f>VLOOKUP(_stats[[#This Row],[tournament]],tournaments_n_rules[],4,0)</f>
        <v>46082</v>
      </c>
      <c r="O1206" s="52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51" t="str">
        <f>VLOOKUP(_stats[[#This Row],[tournament]],tournaments_n_rules[],2,0)</f>
        <v>УПК</v>
      </c>
      <c r="M1207" s="51" t="str">
        <f>VLOOKUP(_stats[[#This Row],[tournament]],tournaments_n_rules[],3,0)</f>
        <v>Весна 2026</v>
      </c>
      <c r="N1207" s="52">
        <f>VLOOKUP(_stats[[#This Row],[tournament]],tournaments_n_rules[],4,0)</f>
        <v>46082</v>
      </c>
      <c r="O1207" s="52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51" t="str">
        <f>VLOOKUP(_stats[[#This Row],[tournament]],tournaments_n_rules[],2,0)</f>
        <v>УПК</v>
      </c>
      <c r="M1208" s="51" t="str">
        <f>VLOOKUP(_stats[[#This Row],[tournament]],tournaments_n_rules[],3,0)</f>
        <v>Весна 2026</v>
      </c>
      <c r="N1208" s="52">
        <f>VLOOKUP(_stats[[#This Row],[tournament]],tournaments_n_rules[],4,0)</f>
        <v>46082</v>
      </c>
      <c r="O1208" s="52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51" t="str">
        <f>VLOOKUP(_stats[[#This Row],[tournament]],tournaments_n_rules[],2,0)</f>
        <v>УПК</v>
      </c>
      <c r="M1209" s="51" t="str">
        <f>VLOOKUP(_stats[[#This Row],[tournament]],tournaments_n_rules[],3,0)</f>
        <v>Весна 2026</v>
      </c>
      <c r="N1209" s="52">
        <f>VLOOKUP(_stats[[#This Row],[tournament]],tournaments_n_rules[],4,0)</f>
        <v>46082</v>
      </c>
      <c r="O1209" s="52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51" t="str">
        <f>VLOOKUP(_stats[[#This Row],[tournament]],tournaments_n_rules[],2,0)</f>
        <v>УПК</v>
      </c>
      <c r="M1210" s="51" t="str">
        <f>VLOOKUP(_stats[[#This Row],[tournament]],tournaments_n_rules[],3,0)</f>
        <v>Весна 2026</v>
      </c>
      <c r="N1210" s="52">
        <f>VLOOKUP(_stats[[#This Row],[tournament]],tournaments_n_rules[],4,0)</f>
        <v>46082</v>
      </c>
      <c r="O1210" s="52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51" t="str">
        <f>VLOOKUP(_stats[[#This Row],[tournament]],tournaments_n_rules[],2,0)</f>
        <v>УПК</v>
      </c>
      <c r="M1211" s="51" t="str">
        <f>VLOOKUP(_stats[[#This Row],[tournament]],tournaments_n_rules[],3,0)</f>
        <v>Весна 2026</v>
      </c>
      <c r="N1211" s="52">
        <f>VLOOKUP(_stats[[#This Row],[tournament]],tournaments_n_rules[],4,0)</f>
        <v>46082</v>
      </c>
      <c r="O1211" s="52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5" t="str">
        <f>VLOOKUP(_stats[[#This Row],[tournament]],tournaments_n_rules[],2,0)</f>
        <v>УПК</v>
      </c>
      <c r="M1212" s="55" t="str">
        <f>VLOOKUP(_stats[[#This Row],[tournament]],tournaments_n_rules[],3,0)</f>
        <v>Весна 2026</v>
      </c>
      <c r="N1212" s="56">
        <f>VLOOKUP(_stats[[#This Row],[tournament]],tournaments_n_rules[],4,0)</f>
        <v>46082</v>
      </c>
      <c r="O1212" s="56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5" t="str">
        <f>VLOOKUP(_stats[[#This Row],[tournament]],tournaments_n_rules[],2,0)</f>
        <v>УПК</v>
      </c>
      <c r="M1213" s="55" t="str">
        <f>VLOOKUP(_stats[[#This Row],[tournament]],tournaments_n_rules[],3,0)</f>
        <v>Весна 2026</v>
      </c>
      <c r="N1213" s="56">
        <f>VLOOKUP(_stats[[#This Row],[tournament]],tournaments_n_rules[],4,0)</f>
        <v>46082</v>
      </c>
      <c r="O1213" s="56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5" t="str">
        <f>VLOOKUP(_stats[[#This Row],[tournament]],tournaments_n_rules[],2,0)</f>
        <v>УПК</v>
      </c>
      <c r="M1214" s="55" t="str">
        <f>VLOOKUP(_stats[[#This Row],[tournament]],tournaments_n_rules[],3,0)</f>
        <v>Весна 2026</v>
      </c>
      <c r="N1214" s="56">
        <f>VLOOKUP(_stats[[#This Row],[tournament]],tournaments_n_rules[],4,0)</f>
        <v>46082</v>
      </c>
      <c r="O1214" s="56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5" t="str">
        <f>VLOOKUP(_stats[[#This Row],[tournament]],tournaments_n_rules[],2,0)</f>
        <v>УПК</v>
      </c>
      <c r="M1215" s="55" t="str">
        <f>VLOOKUP(_stats[[#This Row],[tournament]],tournaments_n_rules[],3,0)</f>
        <v>Весна 2026</v>
      </c>
      <c r="N1215" s="56">
        <f>VLOOKUP(_stats[[#This Row],[tournament]],tournaments_n_rules[],4,0)</f>
        <v>46082</v>
      </c>
      <c r="O1215" s="56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5" t="str">
        <f>VLOOKUP(_stats[[#This Row],[tournament]],tournaments_n_rules[],2,0)</f>
        <v>УПК</v>
      </c>
      <c r="M1216" s="55" t="str">
        <f>VLOOKUP(_stats[[#This Row],[tournament]],tournaments_n_rules[],3,0)</f>
        <v>Весна 2026</v>
      </c>
      <c r="N1216" s="56">
        <f>VLOOKUP(_stats[[#This Row],[tournament]],tournaments_n_rules[],4,0)</f>
        <v>46082</v>
      </c>
      <c r="O1216" s="56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5" t="str">
        <f>VLOOKUP(_stats[[#This Row],[tournament]],tournaments_n_rules[],2,0)</f>
        <v>УПК</v>
      </c>
      <c r="M1217" s="55" t="str">
        <f>VLOOKUP(_stats[[#This Row],[tournament]],tournaments_n_rules[],3,0)</f>
        <v>Весна 2026</v>
      </c>
      <c r="N1217" s="56">
        <f>VLOOKUP(_stats[[#This Row],[tournament]],tournaments_n_rules[],4,0)</f>
        <v>46082</v>
      </c>
      <c r="O1217" s="56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5" t="str">
        <f>VLOOKUP(_stats[[#This Row],[tournament]],tournaments_n_rules[],2,0)</f>
        <v>УПК</v>
      </c>
      <c r="M1218" s="55" t="str">
        <f>VLOOKUP(_stats[[#This Row],[tournament]],tournaments_n_rules[],3,0)</f>
        <v>Весна 2026</v>
      </c>
      <c r="N1218" s="56">
        <f>VLOOKUP(_stats[[#This Row],[tournament]],tournaments_n_rules[],4,0)</f>
        <v>46082</v>
      </c>
      <c r="O1218" s="56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5" t="str">
        <f>VLOOKUP(_stats[[#This Row],[tournament]],tournaments_n_rules[],2,0)</f>
        <v>УПК</v>
      </c>
      <c r="M1219" s="55" t="str">
        <f>VLOOKUP(_stats[[#This Row],[tournament]],tournaments_n_rules[],3,0)</f>
        <v>Весна 2026</v>
      </c>
      <c r="N1219" s="56">
        <f>VLOOKUP(_stats[[#This Row],[tournament]],tournaments_n_rules[],4,0)</f>
        <v>46082</v>
      </c>
      <c r="O1219" s="56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5" t="str">
        <f>VLOOKUP(_stats[[#This Row],[tournament]],tournaments_n_rules[],2,0)</f>
        <v>УПК</v>
      </c>
      <c r="M1220" s="55" t="str">
        <f>VLOOKUP(_stats[[#This Row],[tournament]],tournaments_n_rules[],3,0)</f>
        <v>Весна 2026</v>
      </c>
      <c r="N1220" s="56">
        <f>VLOOKUP(_stats[[#This Row],[tournament]],tournaments_n_rules[],4,0)</f>
        <v>46082</v>
      </c>
      <c r="O1220" s="56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5" t="str">
        <f>VLOOKUP(_stats[[#This Row],[tournament]],tournaments_n_rules[],2,0)</f>
        <v>УПК</v>
      </c>
      <c r="M1221" s="55" t="str">
        <f>VLOOKUP(_stats[[#This Row],[tournament]],tournaments_n_rules[],3,0)</f>
        <v>Весна 2026</v>
      </c>
      <c r="N1221" s="56">
        <f>VLOOKUP(_stats[[#This Row],[tournament]],tournaments_n_rules[],4,0)</f>
        <v>46082</v>
      </c>
      <c r="O1221" s="56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5" t="str">
        <f>VLOOKUP(_stats[[#This Row],[tournament]],tournaments_n_rules[],2,0)</f>
        <v>УПК</v>
      </c>
      <c r="M1222" s="55" t="str">
        <f>VLOOKUP(_stats[[#This Row],[tournament]],tournaments_n_rules[],3,0)</f>
        <v>Весна 2026</v>
      </c>
      <c r="N1222" s="56">
        <f>VLOOKUP(_stats[[#This Row],[tournament]],tournaments_n_rules[],4,0)</f>
        <v>46082</v>
      </c>
      <c r="O1222" s="56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5" t="str">
        <f>VLOOKUP(_stats[[#This Row],[tournament]],tournaments_n_rules[],2,0)</f>
        <v>УПК</v>
      </c>
      <c r="M1223" s="55" t="str">
        <f>VLOOKUP(_stats[[#This Row],[tournament]],tournaments_n_rules[],3,0)</f>
        <v>Весна 2026</v>
      </c>
      <c r="N1223" s="56">
        <f>VLOOKUP(_stats[[#This Row],[tournament]],tournaments_n_rules[],4,0)</f>
        <v>46082</v>
      </c>
      <c r="O1223" s="56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5" t="str">
        <f>VLOOKUP(_stats[[#This Row],[tournament]],tournaments_n_rules[],2,0)</f>
        <v>УПК</v>
      </c>
      <c r="M1224" s="55" t="str">
        <f>VLOOKUP(_stats[[#This Row],[tournament]],tournaments_n_rules[],3,0)</f>
        <v>Весна 2026</v>
      </c>
      <c r="N1224" s="56">
        <f>VLOOKUP(_stats[[#This Row],[tournament]],tournaments_n_rules[],4,0)</f>
        <v>46082</v>
      </c>
      <c r="O1224" s="56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5" t="str">
        <f>VLOOKUP(_stats[[#This Row],[tournament]],tournaments_n_rules[],2,0)</f>
        <v>УПК</v>
      </c>
      <c r="M1225" s="55" t="str">
        <f>VLOOKUP(_stats[[#This Row],[tournament]],tournaments_n_rules[],3,0)</f>
        <v>Весна 2026</v>
      </c>
      <c r="N1225" s="56">
        <f>VLOOKUP(_stats[[#This Row],[tournament]],tournaments_n_rules[],4,0)</f>
        <v>46082</v>
      </c>
      <c r="O1225" s="56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5" t="str">
        <f>VLOOKUP(_stats[[#This Row],[tournament]],tournaments_n_rules[],2,0)</f>
        <v>УПК</v>
      </c>
      <c r="M1226" s="55" t="str">
        <f>VLOOKUP(_stats[[#This Row],[tournament]],tournaments_n_rules[],3,0)</f>
        <v>Весна 2026</v>
      </c>
      <c r="N1226" s="56">
        <f>VLOOKUP(_stats[[#This Row],[tournament]],tournaments_n_rules[],4,0)</f>
        <v>46082</v>
      </c>
      <c r="O1226" s="56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5" t="str">
        <f>VLOOKUP(_stats[[#This Row],[tournament]],tournaments_n_rules[],2,0)</f>
        <v>УПК</v>
      </c>
      <c r="M1227" s="55" t="str">
        <f>VLOOKUP(_stats[[#This Row],[tournament]],tournaments_n_rules[],3,0)</f>
        <v>Весна 2026</v>
      </c>
      <c r="N1227" s="56">
        <f>VLOOKUP(_stats[[#This Row],[tournament]],tournaments_n_rules[],4,0)</f>
        <v>46082</v>
      </c>
      <c r="O1227" s="56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5" t="str">
        <f>VLOOKUP(_stats[[#This Row],[tournament]],tournaments_n_rules[],2,0)</f>
        <v>УПК</v>
      </c>
      <c r="M1228" s="55" t="str">
        <f>VLOOKUP(_stats[[#This Row],[tournament]],tournaments_n_rules[],3,0)</f>
        <v>Весна 2026</v>
      </c>
      <c r="N1228" s="56">
        <f>VLOOKUP(_stats[[#This Row],[tournament]],tournaments_n_rules[],4,0)</f>
        <v>46082</v>
      </c>
      <c r="O1228" s="56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5" t="str">
        <f>VLOOKUP(_stats[[#This Row],[tournament]],tournaments_n_rules[],2,0)</f>
        <v>УПК</v>
      </c>
      <c r="M1229" s="55" t="str">
        <f>VLOOKUP(_stats[[#This Row],[tournament]],tournaments_n_rules[],3,0)</f>
        <v>Весна 2026</v>
      </c>
      <c r="N1229" s="56">
        <f>VLOOKUP(_stats[[#This Row],[tournament]],tournaments_n_rules[],4,0)</f>
        <v>46082</v>
      </c>
      <c r="O1229" s="56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5" t="str">
        <f>VLOOKUP(_stats[[#This Row],[tournament]],tournaments_n_rules[],2,0)</f>
        <v>УПК</v>
      </c>
      <c r="M1230" s="55" t="str">
        <f>VLOOKUP(_stats[[#This Row],[tournament]],tournaments_n_rules[],3,0)</f>
        <v>Весна 2026</v>
      </c>
      <c r="N1230" s="56">
        <f>VLOOKUP(_stats[[#This Row],[tournament]],tournaments_n_rules[],4,0)</f>
        <v>46082</v>
      </c>
      <c r="O1230" s="56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5" t="str">
        <f>VLOOKUP(_stats[[#This Row],[tournament]],tournaments_n_rules[],2,0)</f>
        <v>УПК</v>
      </c>
      <c r="M1231" s="55" t="str">
        <f>VLOOKUP(_stats[[#This Row],[tournament]],tournaments_n_rules[],3,0)</f>
        <v>Весна 2026</v>
      </c>
      <c r="N1231" s="56">
        <f>VLOOKUP(_stats[[#This Row],[tournament]],tournaments_n_rules[],4,0)</f>
        <v>46082</v>
      </c>
      <c r="O1231" s="56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5" t="str">
        <f>VLOOKUP(_stats[[#This Row],[tournament]],tournaments_n_rules[],2,0)</f>
        <v>УПК</v>
      </c>
      <c r="M1232" s="55" t="str">
        <f>VLOOKUP(_stats[[#This Row],[tournament]],tournaments_n_rules[],3,0)</f>
        <v>Весна 2026</v>
      </c>
      <c r="N1232" s="56">
        <f>VLOOKUP(_stats[[#This Row],[tournament]],tournaments_n_rules[],4,0)</f>
        <v>46082</v>
      </c>
      <c r="O1232" s="56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5" t="str">
        <f>VLOOKUP(_stats[[#This Row],[tournament]],tournaments_n_rules[],2,0)</f>
        <v>УПК</v>
      </c>
      <c r="M1233" s="55" t="str">
        <f>VLOOKUP(_stats[[#This Row],[tournament]],tournaments_n_rules[],3,0)</f>
        <v>Весна 2026</v>
      </c>
      <c r="N1233" s="56">
        <f>VLOOKUP(_stats[[#This Row],[tournament]],tournaments_n_rules[],4,0)</f>
        <v>46082</v>
      </c>
      <c r="O1233" s="56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5" t="str">
        <f>VLOOKUP(_stats[[#This Row],[tournament]],tournaments_n_rules[],2,0)</f>
        <v>УПК</v>
      </c>
      <c r="M1234" s="55" t="str">
        <f>VLOOKUP(_stats[[#This Row],[tournament]],tournaments_n_rules[],3,0)</f>
        <v>Весна 2026</v>
      </c>
      <c r="N1234" s="56">
        <f>VLOOKUP(_stats[[#This Row],[tournament]],tournaments_n_rules[],4,0)</f>
        <v>46082</v>
      </c>
      <c r="O1234" s="56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5" t="str">
        <f>VLOOKUP(_stats[[#This Row],[tournament]],tournaments_n_rules[],2,0)</f>
        <v>УПК</v>
      </c>
      <c r="M1235" s="55" t="str">
        <f>VLOOKUP(_stats[[#This Row],[tournament]],tournaments_n_rules[],3,0)</f>
        <v>Весна 2026</v>
      </c>
      <c r="N1235" s="56">
        <f>VLOOKUP(_stats[[#This Row],[tournament]],tournaments_n_rules[],4,0)</f>
        <v>46082</v>
      </c>
      <c r="O1235" s="56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5" t="str">
        <f>VLOOKUP(_stats[[#This Row],[tournament]],tournaments_n_rules[],2,0)</f>
        <v>УПК</v>
      </c>
      <c r="M1236" s="55" t="str">
        <f>VLOOKUP(_stats[[#This Row],[tournament]],tournaments_n_rules[],3,0)</f>
        <v>Весна 2026</v>
      </c>
      <c r="N1236" s="56">
        <f>VLOOKUP(_stats[[#This Row],[tournament]],tournaments_n_rules[],4,0)</f>
        <v>46082</v>
      </c>
      <c r="O1236" s="56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5" t="str">
        <f>VLOOKUP(_stats[[#This Row],[tournament]],tournaments_n_rules[],2,0)</f>
        <v>УПК</v>
      </c>
      <c r="M1237" s="55" t="str">
        <f>VLOOKUP(_stats[[#This Row],[tournament]],tournaments_n_rules[],3,0)</f>
        <v>Весна 2026</v>
      </c>
      <c r="N1237" s="56">
        <f>VLOOKUP(_stats[[#This Row],[tournament]],tournaments_n_rules[],4,0)</f>
        <v>46082</v>
      </c>
      <c r="O1237" s="56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5" t="str">
        <f>VLOOKUP(_stats[[#This Row],[tournament]],tournaments_n_rules[],2,0)</f>
        <v>УПК</v>
      </c>
      <c r="M1238" s="55" t="str">
        <f>VLOOKUP(_stats[[#This Row],[tournament]],tournaments_n_rules[],3,0)</f>
        <v>Весна 2026</v>
      </c>
      <c r="N1238" s="56">
        <f>VLOOKUP(_stats[[#This Row],[tournament]],tournaments_n_rules[],4,0)</f>
        <v>46082</v>
      </c>
      <c r="O1238" s="56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5" t="str">
        <f>VLOOKUP(_stats[[#This Row],[tournament]],tournaments_n_rules[],2,0)</f>
        <v>УПК</v>
      </c>
      <c r="M1239" s="55" t="str">
        <f>VLOOKUP(_stats[[#This Row],[tournament]],tournaments_n_rules[],3,0)</f>
        <v>Весна 2026</v>
      </c>
      <c r="N1239" s="56">
        <f>VLOOKUP(_stats[[#This Row],[tournament]],tournaments_n_rules[],4,0)</f>
        <v>46082</v>
      </c>
      <c r="O1239" s="56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5" t="str">
        <f>VLOOKUP(_stats[[#This Row],[tournament]],tournaments_n_rules[],2,0)</f>
        <v>УПК</v>
      </c>
      <c r="M1240" s="55" t="str">
        <f>VLOOKUP(_stats[[#This Row],[tournament]],tournaments_n_rules[],3,0)</f>
        <v>Весна 2026</v>
      </c>
      <c r="N1240" s="56">
        <f>VLOOKUP(_stats[[#This Row],[tournament]],tournaments_n_rules[],4,0)</f>
        <v>46082</v>
      </c>
      <c r="O1240" s="56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5" t="str">
        <f>VLOOKUP(_stats[[#This Row],[tournament]],tournaments_n_rules[],2,0)</f>
        <v>УПК</v>
      </c>
      <c r="M1241" s="55" t="str">
        <f>VLOOKUP(_stats[[#This Row],[tournament]],tournaments_n_rules[],3,0)</f>
        <v>Весна 2026</v>
      </c>
      <c r="N1241" s="56">
        <f>VLOOKUP(_stats[[#This Row],[tournament]],tournaments_n_rules[],4,0)</f>
        <v>46082</v>
      </c>
      <c r="O1241" s="56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5" t="str">
        <f>VLOOKUP(_stats[[#This Row],[tournament]],tournaments_n_rules[],2,0)</f>
        <v>УПК</v>
      </c>
      <c r="M1242" s="55" t="str">
        <f>VLOOKUP(_stats[[#This Row],[tournament]],tournaments_n_rules[],3,0)</f>
        <v>Весна 2026</v>
      </c>
      <c r="N1242" s="56">
        <f>VLOOKUP(_stats[[#This Row],[tournament]],tournaments_n_rules[],4,0)</f>
        <v>46082</v>
      </c>
      <c r="O1242" s="56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5" t="str">
        <f>VLOOKUP(_stats[[#This Row],[tournament]],tournaments_n_rules[],2,0)</f>
        <v>УПК</v>
      </c>
      <c r="M1243" s="55" t="str">
        <f>VLOOKUP(_stats[[#This Row],[tournament]],tournaments_n_rules[],3,0)</f>
        <v>Весна 2026</v>
      </c>
      <c r="N1243" s="56">
        <f>VLOOKUP(_stats[[#This Row],[tournament]],tournaments_n_rules[],4,0)</f>
        <v>46082</v>
      </c>
      <c r="O1243" s="56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5" t="str">
        <f>VLOOKUP(_stats[[#This Row],[tournament]],tournaments_n_rules[],2,0)</f>
        <v>УПК</v>
      </c>
      <c r="M1244" s="55" t="str">
        <f>VLOOKUP(_stats[[#This Row],[tournament]],tournaments_n_rules[],3,0)</f>
        <v>Весна 2026</v>
      </c>
      <c r="N1244" s="56">
        <f>VLOOKUP(_stats[[#This Row],[tournament]],tournaments_n_rules[],4,0)</f>
        <v>46082</v>
      </c>
      <c r="O1244" s="56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5" t="str">
        <f>VLOOKUP(_stats[[#This Row],[tournament]],tournaments_n_rules[],2,0)</f>
        <v>УПК</v>
      </c>
      <c r="M1245" s="55" t="str">
        <f>VLOOKUP(_stats[[#This Row],[tournament]],tournaments_n_rules[],3,0)</f>
        <v>Весна 2026</v>
      </c>
      <c r="N1245" s="56">
        <f>VLOOKUP(_stats[[#This Row],[tournament]],tournaments_n_rules[],4,0)</f>
        <v>46082</v>
      </c>
      <c r="O1245" s="56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5" t="str">
        <f>VLOOKUP(_stats[[#This Row],[tournament]],tournaments_n_rules[],2,0)</f>
        <v>УПК</v>
      </c>
      <c r="M1246" s="55" t="str">
        <f>VLOOKUP(_stats[[#This Row],[tournament]],tournaments_n_rules[],3,0)</f>
        <v>Весна 2026</v>
      </c>
      <c r="N1246" s="56">
        <f>VLOOKUP(_stats[[#This Row],[tournament]],tournaments_n_rules[],4,0)</f>
        <v>46082</v>
      </c>
      <c r="O1246" s="56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5" t="str">
        <f>VLOOKUP(_stats[[#This Row],[tournament]],tournaments_n_rules[],2,0)</f>
        <v>УПК</v>
      </c>
      <c r="M1247" s="55" t="str">
        <f>VLOOKUP(_stats[[#This Row],[tournament]],tournaments_n_rules[],3,0)</f>
        <v>Весна 2026</v>
      </c>
      <c r="N1247" s="56">
        <f>VLOOKUP(_stats[[#This Row],[tournament]],tournaments_n_rules[],4,0)</f>
        <v>46082</v>
      </c>
      <c r="O1247" s="56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5" t="str">
        <f>VLOOKUP(_stats[[#This Row],[tournament]],tournaments_n_rules[],2,0)</f>
        <v>УПК</v>
      </c>
      <c r="M1248" s="55" t="str">
        <f>VLOOKUP(_stats[[#This Row],[tournament]],tournaments_n_rules[],3,0)</f>
        <v>Весна 2026</v>
      </c>
      <c r="N1248" s="56">
        <f>VLOOKUP(_stats[[#This Row],[tournament]],tournaments_n_rules[],4,0)</f>
        <v>46082</v>
      </c>
      <c r="O1248" s="56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5" t="str">
        <f>VLOOKUP(_stats[[#This Row],[tournament]],tournaments_n_rules[],2,0)</f>
        <v>УПК</v>
      </c>
      <c r="M1249" s="55" t="str">
        <f>VLOOKUP(_stats[[#This Row],[tournament]],tournaments_n_rules[],3,0)</f>
        <v>Весна 2026</v>
      </c>
      <c r="N1249" s="56">
        <f>VLOOKUP(_stats[[#This Row],[tournament]],tournaments_n_rules[],4,0)</f>
        <v>46082</v>
      </c>
      <c r="O1249" s="56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5" t="str">
        <f>VLOOKUP(_stats[[#This Row],[tournament]],tournaments_n_rules[],2,0)</f>
        <v>УПК</v>
      </c>
      <c r="M1250" s="55" t="str">
        <f>VLOOKUP(_stats[[#This Row],[tournament]],tournaments_n_rules[],3,0)</f>
        <v>Весна 2026</v>
      </c>
      <c r="N1250" s="56">
        <f>VLOOKUP(_stats[[#This Row],[tournament]],tournaments_n_rules[],4,0)</f>
        <v>46082</v>
      </c>
      <c r="O1250" s="56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5" t="str">
        <f>VLOOKUP(_stats[[#This Row],[tournament]],tournaments_n_rules[],2,0)</f>
        <v>УПК</v>
      </c>
      <c r="M1251" s="55" t="str">
        <f>VLOOKUP(_stats[[#This Row],[tournament]],tournaments_n_rules[],3,0)</f>
        <v>Весна 2026</v>
      </c>
      <c r="N1251" s="56">
        <f>VLOOKUP(_stats[[#This Row],[tournament]],tournaments_n_rules[],4,0)</f>
        <v>46082</v>
      </c>
      <c r="O1251" s="56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5" t="str">
        <f>VLOOKUP(_stats[[#This Row],[tournament]],tournaments_n_rules[],2,0)</f>
        <v>УПК</v>
      </c>
      <c r="M1252" s="55" t="str">
        <f>VLOOKUP(_stats[[#This Row],[tournament]],tournaments_n_rules[],3,0)</f>
        <v>Весна 2026</v>
      </c>
      <c r="N1252" s="56">
        <f>VLOOKUP(_stats[[#This Row],[tournament]],tournaments_n_rules[],4,0)</f>
        <v>46082</v>
      </c>
      <c r="O1252" s="56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5" t="str">
        <f>VLOOKUP(_stats[[#This Row],[tournament]],tournaments_n_rules[],2,0)</f>
        <v>УПК</v>
      </c>
      <c r="M1253" s="55" t="str">
        <f>VLOOKUP(_stats[[#This Row],[tournament]],tournaments_n_rules[],3,0)</f>
        <v>Весна 2026</v>
      </c>
      <c r="N1253" s="56">
        <f>VLOOKUP(_stats[[#This Row],[tournament]],tournaments_n_rules[],4,0)</f>
        <v>46082</v>
      </c>
      <c r="O1253" s="56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5" t="str">
        <f>VLOOKUP(_stats[[#This Row],[tournament]],tournaments_n_rules[],2,0)</f>
        <v>УПК</v>
      </c>
      <c r="M1254" s="55" t="str">
        <f>VLOOKUP(_stats[[#This Row],[tournament]],tournaments_n_rules[],3,0)</f>
        <v>Весна 2026</v>
      </c>
      <c r="N1254" s="56">
        <f>VLOOKUP(_stats[[#This Row],[tournament]],tournaments_n_rules[],4,0)</f>
        <v>46082</v>
      </c>
      <c r="O1254" s="56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5" t="str">
        <f>VLOOKUP(_stats[[#This Row],[tournament]],tournaments_n_rules[],2,0)</f>
        <v>УПК</v>
      </c>
      <c r="M1255" s="55" t="str">
        <f>VLOOKUP(_stats[[#This Row],[tournament]],tournaments_n_rules[],3,0)</f>
        <v>Весна 2026</v>
      </c>
      <c r="N1255" s="56">
        <f>VLOOKUP(_stats[[#This Row],[tournament]],tournaments_n_rules[],4,0)</f>
        <v>46082</v>
      </c>
      <c r="O1255" s="56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5" t="str">
        <f>VLOOKUP(_stats[[#This Row],[tournament]],tournaments_n_rules[],2,0)</f>
        <v>УПК</v>
      </c>
      <c r="M1256" s="55" t="str">
        <f>VLOOKUP(_stats[[#This Row],[tournament]],tournaments_n_rules[],3,0)</f>
        <v>Весна 2026</v>
      </c>
      <c r="N1256" s="56">
        <f>VLOOKUP(_stats[[#This Row],[tournament]],tournaments_n_rules[],4,0)</f>
        <v>46082</v>
      </c>
      <c r="O1256" s="56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5" t="str">
        <f>VLOOKUP(_stats[[#This Row],[tournament]],tournaments_n_rules[],2,0)</f>
        <v>УПК</v>
      </c>
      <c r="M1257" s="55" t="str">
        <f>VLOOKUP(_stats[[#This Row],[tournament]],tournaments_n_rules[],3,0)</f>
        <v>Весна 2026</v>
      </c>
      <c r="N1257" s="56">
        <f>VLOOKUP(_stats[[#This Row],[tournament]],tournaments_n_rules[],4,0)</f>
        <v>46082</v>
      </c>
      <c r="O1257" s="56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5" t="str">
        <f>VLOOKUP(_stats[[#This Row],[tournament]],tournaments_n_rules[],2,0)</f>
        <v>УПК</v>
      </c>
      <c r="M1258" s="55" t="str">
        <f>VLOOKUP(_stats[[#This Row],[tournament]],tournaments_n_rules[],3,0)</f>
        <v>Весна 2026</v>
      </c>
      <c r="N1258" s="56">
        <f>VLOOKUP(_stats[[#This Row],[tournament]],tournaments_n_rules[],4,0)</f>
        <v>46082</v>
      </c>
      <c r="O1258" s="56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5" t="str">
        <f>VLOOKUP(_stats[[#This Row],[tournament]],tournaments_n_rules[],2,0)</f>
        <v>УПК</v>
      </c>
      <c r="M1259" s="55" t="str">
        <f>VLOOKUP(_stats[[#This Row],[tournament]],tournaments_n_rules[],3,0)</f>
        <v>Весна 2026</v>
      </c>
      <c r="N1259" s="56">
        <f>VLOOKUP(_stats[[#This Row],[tournament]],tournaments_n_rules[],4,0)</f>
        <v>46082</v>
      </c>
      <c r="O1259" s="56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5" t="str">
        <f>VLOOKUP(_stats[[#This Row],[tournament]],tournaments_n_rules[],2,0)</f>
        <v>УПК</v>
      </c>
      <c r="M1260" s="55" t="str">
        <f>VLOOKUP(_stats[[#This Row],[tournament]],tournaments_n_rules[],3,0)</f>
        <v>Весна 2026</v>
      </c>
      <c r="N1260" s="56">
        <f>VLOOKUP(_stats[[#This Row],[tournament]],tournaments_n_rules[],4,0)</f>
        <v>46082</v>
      </c>
      <c r="O1260" s="56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5" t="str">
        <f>VLOOKUP(_stats[[#This Row],[tournament]],tournaments_n_rules[],2,0)</f>
        <v>УПК</v>
      </c>
      <c r="M1261" s="55" t="str">
        <f>VLOOKUP(_stats[[#This Row],[tournament]],tournaments_n_rules[],3,0)</f>
        <v>Весна 2026</v>
      </c>
      <c r="N1261" s="56">
        <f>VLOOKUP(_stats[[#This Row],[tournament]],tournaments_n_rules[],4,0)</f>
        <v>46082</v>
      </c>
      <c r="O1261" s="56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5" t="str">
        <f>VLOOKUP(_stats[[#This Row],[tournament]],tournaments_n_rules[],2,0)</f>
        <v>УПК</v>
      </c>
      <c r="M1262" s="55" t="str">
        <f>VLOOKUP(_stats[[#This Row],[tournament]],tournaments_n_rules[],3,0)</f>
        <v>Весна 2026</v>
      </c>
      <c r="N1262" s="56">
        <f>VLOOKUP(_stats[[#This Row],[tournament]],tournaments_n_rules[],4,0)</f>
        <v>46082</v>
      </c>
      <c r="O1262" s="56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5" t="str">
        <f>VLOOKUP(_stats[[#This Row],[tournament]],tournaments_n_rules[],2,0)</f>
        <v>УПК</v>
      </c>
      <c r="M1263" s="55" t="str">
        <f>VLOOKUP(_stats[[#This Row],[tournament]],tournaments_n_rules[],3,0)</f>
        <v>Весна 2026</v>
      </c>
      <c r="N1263" s="56">
        <f>VLOOKUP(_stats[[#This Row],[tournament]],tournaments_n_rules[],4,0)</f>
        <v>46082</v>
      </c>
      <c r="O1263" s="56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5" t="str">
        <f>VLOOKUP(_stats[[#This Row],[tournament]],tournaments_n_rules[],2,0)</f>
        <v>УПК</v>
      </c>
      <c r="M1264" s="55" t="str">
        <f>VLOOKUP(_stats[[#This Row],[tournament]],tournaments_n_rules[],3,0)</f>
        <v>Весна 2026</v>
      </c>
      <c r="N1264" s="56">
        <f>VLOOKUP(_stats[[#This Row],[tournament]],tournaments_n_rules[],4,0)</f>
        <v>46082</v>
      </c>
      <c r="O1264" s="56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5" t="str">
        <f>VLOOKUP(_stats[[#This Row],[tournament]],tournaments_n_rules[],2,0)</f>
        <v>УПК</v>
      </c>
      <c r="M1265" s="55" t="str">
        <f>VLOOKUP(_stats[[#This Row],[tournament]],tournaments_n_rules[],3,0)</f>
        <v>Весна 2026</v>
      </c>
      <c r="N1265" s="56">
        <f>VLOOKUP(_stats[[#This Row],[tournament]],tournaments_n_rules[],4,0)</f>
        <v>46082</v>
      </c>
      <c r="O1265" s="56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5" t="str">
        <f>VLOOKUP(_stats[[#This Row],[tournament]],tournaments_n_rules[],2,0)</f>
        <v>УПК</v>
      </c>
      <c r="M1266" s="55" t="str">
        <f>VLOOKUP(_stats[[#This Row],[tournament]],tournaments_n_rules[],3,0)</f>
        <v>Весна 2026</v>
      </c>
      <c r="N1266" s="56">
        <f>VLOOKUP(_stats[[#This Row],[tournament]],tournaments_n_rules[],4,0)</f>
        <v>46082</v>
      </c>
      <c r="O1266" s="56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5" t="str">
        <f>VLOOKUP(_stats[[#This Row],[tournament]],tournaments_n_rules[],2,0)</f>
        <v>УПК</v>
      </c>
      <c r="M1267" s="55" t="str">
        <f>VLOOKUP(_stats[[#This Row],[tournament]],tournaments_n_rules[],3,0)</f>
        <v>Весна 2026</v>
      </c>
      <c r="N1267" s="56">
        <f>VLOOKUP(_stats[[#This Row],[tournament]],tournaments_n_rules[],4,0)</f>
        <v>46082</v>
      </c>
      <c r="O1267" s="56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5" t="str">
        <f>VLOOKUP(_stats[[#This Row],[tournament]],tournaments_n_rules[],2,0)</f>
        <v>УПК</v>
      </c>
      <c r="M1268" s="55" t="str">
        <f>VLOOKUP(_stats[[#This Row],[tournament]],tournaments_n_rules[],3,0)</f>
        <v>Весна 2026</v>
      </c>
      <c r="N1268" s="56">
        <f>VLOOKUP(_stats[[#This Row],[tournament]],tournaments_n_rules[],4,0)</f>
        <v>46082</v>
      </c>
      <c r="O1268" s="56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5" t="str">
        <f>VLOOKUP(_stats[[#This Row],[tournament]],tournaments_n_rules[],2,0)</f>
        <v>УПК</v>
      </c>
      <c r="M1269" s="55" t="str">
        <f>VLOOKUP(_stats[[#This Row],[tournament]],tournaments_n_rules[],3,0)</f>
        <v>Весна 2026</v>
      </c>
      <c r="N1269" s="56">
        <f>VLOOKUP(_stats[[#This Row],[tournament]],tournaments_n_rules[],4,0)</f>
        <v>46082</v>
      </c>
      <c r="O1269" s="56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5" t="str">
        <f>VLOOKUP(_stats[[#This Row],[tournament]],tournaments_n_rules[],2,0)</f>
        <v>УПК</v>
      </c>
      <c r="M1270" s="55" t="str">
        <f>VLOOKUP(_stats[[#This Row],[tournament]],tournaments_n_rules[],3,0)</f>
        <v>Весна 2026</v>
      </c>
      <c r="N1270" s="56">
        <f>VLOOKUP(_stats[[#This Row],[tournament]],tournaments_n_rules[],4,0)</f>
        <v>46082</v>
      </c>
      <c r="O1270" s="56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5" t="str">
        <f>VLOOKUP(_stats[[#This Row],[tournament]],tournaments_n_rules[],2,0)</f>
        <v>УПК</v>
      </c>
      <c r="M1271" s="55" t="str">
        <f>VLOOKUP(_stats[[#This Row],[tournament]],tournaments_n_rules[],3,0)</f>
        <v>Весна 2026</v>
      </c>
      <c r="N1271" s="56">
        <f>VLOOKUP(_stats[[#This Row],[tournament]],tournaments_n_rules[],4,0)</f>
        <v>46082</v>
      </c>
      <c r="O1271" s="56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5" t="str">
        <f>VLOOKUP(_stats[[#This Row],[tournament]],tournaments_n_rules[],2,0)</f>
        <v>УПК</v>
      </c>
      <c r="M1272" s="55" t="str">
        <f>VLOOKUP(_stats[[#This Row],[tournament]],tournaments_n_rules[],3,0)</f>
        <v>Весна 2026</v>
      </c>
      <c r="N1272" s="56">
        <f>VLOOKUP(_stats[[#This Row],[tournament]],tournaments_n_rules[],4,0)</f>
        <v>46082</v>
      </c>
      <c r="O1272" s="56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5" t="str">
        <f>VLOOKUP(_stats[[#This Row],[tournament]],tournaments_n_rules[],2,0)</f>
        <v>УПК</v>
      </c>
      <c r="M1273" s="55" t="str">
        <f>VLOOKUP(_stats[[#This Row],[tournament]],tournaments_n_rules[],3,0)</f>
        <v>Весна 2026</v>
      </c>
      <c r="N1273" s="56">
        <f>VLOOKUP(_stats[[#This Row],[tournament]],tournaments_n_rules[],4,0)</f>
        <v>46082</v>
      </c>
      <c r="O1273" s="56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5" t="str">
        <f>VLOOKUP(_stats[[#This Row],[tournament]],tournaments_n_rules[],2,0)</f>
        <v>УПК</v>
      </c>
      <c r="M1274" s="55" t="str">
        <f>VLOOKUP(_stats[[#This Row],[tournament]],tournaments_n_rules[],3,0)</f>
        <v>Весна 2026</v>
      </c>
      <c r="N1274" s="56">
        <f>VLOOKUP(_stats[[#This Row],[tournament]],tournaments_n_rules[],4,0)</f>
        <v>46082</v>
      </c>
      <c r="O1274" s="56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5" t="str">
        <f>VLOOKUP(_stats[[#This Row],[tournament]],tournaments_n_rules[],2,0)</f>
        <v>УПК</v>
      </c>
      <c r="M1275" s="55" t="str">
        <f>VLOOKUP(_stats[[#This Row],[tournament]],tournaments_n_rules[],3,0)</f>
        <v>Весна 2026</v>
      </c>
      <c r="N1275" s="56">
        <f>VLOOKUP(_stats[[#This Row],[tournament]],tournaments_n_rules[],4,0)</f>
        <v>46082</v>
      </c>
      <c r="O1275" s="56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5" t="str">
        <f>VLOOKUP(_stats[[#This Row],[tournament]],tournaments_n_rules[],2,0)</f>
        <v>УПК</v>
      </c>
      <c r="M1276" s="55" t="str">
        <f>VLOOKUP(_stats[[#This Row],[tournament]],tournaments_n_rules[],3,0)</f>
        <v>Весна 2026</v>
      </c>
      <c r="N1276" s="56">
        <f>VLOOKUP(_stats[[#This Row],[tournament]],tournaments_n_rules[],4,0)</f>
        <v>46082</v>
      </c>
      <c r="O1276" s="56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5" t="str">
        <f>VLOOKUP(_stats[[#This Row],[tournament]],tournaments_n_rules[],2,0)</f>
        <v>УПК</v>
      </c>
      <c r="M1277" s="55" t="str">
        <f>VLOOKUP(_stats[[#This Row],[tournament]],tournaments_n_rules[],3,0)</f>
        <v>Весна 2026</v>
      </c>
      <c r="N1277" s="56">
        <f>VLOOKUP(_stats[[#This Row],[tournament]],tournaments_n_rules[],4,0)</f>
        <v>46082</v>
      </c>
      <c r="O1277" s="56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5" t="str">
        <f>VLOOKUP(_stats[[#This Row],[tournament]],tournaments_n_rules[],2,0)</f>
        <v>УПК</v>
      </c>
      <c r="M1278" s="55" t="str">
        <f>VLOOKUP(_stats[[#This Row],[tournament]],tournaments_n_rules[],3,0)</f>
        <v>Весна 2026</v>
      </c>
      <c r="N1278" s="56">
        <f>VLOOKUP(_stats[[#This Row],[tournament]],tournaments_n_rules[],4,0)</f>
        <v>46082</v>
      </c>
      <c r="O1278" s="56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5" t="str">
        <f>VLOOKUP(_stats[[#This Row],[tournament]],tournaments_n_rules[],2,0)</f>
        <v>УПК</v>
      </c>
      <c r="M1279" s="55" t="str">
        <f>VLOOKUP(_stats[[#This Row],[tournament]],tournaments_n_rules[],3,0)</f>
        <v>Весна 2026</v>
      </c>
      <c r="N1279" s="56">
        <f>VLOOKUP(_stats[[#This Row],[tournament]],tournaments_n_rules[],4,0)</f>
        <v>46082</v>
      </c>
      <c r="O1279" s="56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7">
        <v>6</v>
      </c>
      <c r="L1280" s="55" t="str">
        <f>VLOOKUP(_stats[[#This Row],[tournament]],tournaments_n_rules[],2,0)</f>
        <v>УПК</v>
      </c>
      <c r="M1280" s="55" t="str">
        <f>VLOOKUP(_stats[[#This Row],[tournament]],tournaments_n_rules[],3,0)</f>
        <v>Весна 2026</v>
      </c>
      <c r="N1280" s="56">
        <f>VLOOKUP(_stats[[#This Row],[tournament]],tournaments_n_rules[],4,0)</f>
        <v>46082</v>
      </c>
      <c r="O1280" s="56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7">
        <v>6</v>
      </c>
      <c r="L1281" s="55" t="str">
        <f>VLOOKUP(_stats[[#This Row],[tournament]],tournaments_n_rules[],2,0)</f>
        <v>УПК</v>
      </c>
      <c r="M1281" s="55" t="str">
        <f>VLOOKUP(_stats[[#This Row],[tournament]],tournaments_n_rules[],3,0)</f>
        <v>Весна 2026</v>
      </c>
      <c r="N1281" s="56">
        <f>VLOOKUP(_stats[[#This Row],[tournament]],tournaments_n_rules[],4,0)</f>
        <v>46082</v>
      </c>
      <c r="O1281" s="56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7">
        <v>6</v>
      </c>
      <c r="L1282" s="55" t="str">
        <f>VLOOKUP(_stats[[#This Row],[tournament]],tournaments_n_rules[],2,0)</f>
        <v>УПК</v>
      </c>
      <c r="M1282" s="55" t="str">
        <f>VLOOKUP(_stats[[#This Row],[tournament]],tournaments_n_rules[],3,0)</f>
        <v>Весна 2026</v>
      </c>
      <c r="N1282" s="56">
        <f>VLOOKUP(_stats[[#This Row],[tournament]],tournaments_n_rules[],4,0)</f>
        <v>46082</v>
      </c>
      <c r="O1282" s="56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7">
        <v>6</v>
      </c>
      <c r="L1283" s="55" t="str">
        <f>VLOOKUP(_stats[[#This Row],[tournament]],tournaments_n_rules[],2,0)</f>
        <v>УПК</v>
      </c>
      <c r="M1283" s="55" t="str">
        <f>VLOOKUP(_stats[[#This Row],[tournament]],tournaments_n_rules[],3,0)</f>
        <v>Весна 2026</v>
      </c>
      <c r="N1283" s="56">
        <f>VLOOKUP(_stats[[#This Row],[tournament]],tournaments_n_rules[],4,0)</f>
        <v>46082</v>
      </c>
      <c r="O1283" s="56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7">
        <v>6</v>
      </c>
      <c r="L1284" s="55" t="str">
        <f>VLOOKUP(_stats[[#This Row],[tournament]],tournaments_n_rules[],2,0)</f>
        <v>УПК</v>
      </c>
      <c r="M1284" s="55" t="str">
        <f>VLOOKUP(_stats[[#This Row],[tournament]],tournaments_n_rules[],3,0)</f>
        <v>Весна 2026</v>
      </c>
      <c r="N1284" s="56">
        <f>VLOOKUP(_stats[[#This Row],[tournament]],tournaments_n_rules[],4,0)</f>
        <v>46082</v>
      </c>
      <c r="O1284" s="56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7">
        <v>6</v>
      </c>
      <c r="L1285" s="55" t="str">
        <f>VLOOKUP(_stats[[#This Row],[tournament]],tournaments_n_rules[],2,0)</f>
        <v>УПК</v>
      </c>
      <c r="M1285" s="55" t="str">
        <f>VLOOKUP(_stats[[#This Row],[tournament]],tournaments_n_rules[],3,0)</f>
        <v>Весна 2026</v>
      </c>
      <c r="N1285" s="56">
        <f>VLOOKUP(_stats[[#This Row],[tournament]],tournaments_n_rules[],4,0)</f>
        <v>46082</v>
      </c>
      <c r="O1285" s="56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7">
        <v>6</v>
      </c>
      <c r="L1286" s="55" t="str">
        <f>VLOOKUP(_stats[[#This Row],[tournament]],tournaments_n_rules[],2,0)</f>
        <v>УПК</v>
      </c>
      <c r="M1286" s="55" t="str">
        <f>VLOOKUP(_stats[[#This Row],[tournament]],tournaments_n_rules[],3,0)</f>
        <v>Весна 2026</v>
      </c>
      <c r="N1286" s="56">
        <f>VLOOKUP(_stats[[#This Row],[tournament]],tournaments_n_rules[],4,0)</f>
        <v>46082</v>
      </c>
      <c r="O1286" s="56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7">
        <v>6</v>
      </c>
      <c r="L1287" s="55" t="str">
        <f>VLOOKUP(_stats[[#This Row],[tournament]],tournaments_n_rules[],2,0)</f>
        <v>УПК</v>
      </c>
      <c r="M1287" s="55" t="str">
        <f>VLOOKUP(_stats[[#This Row],[tournament]],tournaments_n_rules[],3,0)</f>
        <v>Весна 2026</v>
      </c>
      <c r="N1287" s="56">
        <f>VLOOKUP(_stats[[#This Row],[tournament]],tournaments_n_rules[],4,0)</f>
        <v>46082</v>
      </c>
      <c r="O1287" s="56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7">
        <v>6</v>
      </c>
      <c r="L1288" s="55" t="str">
        <f>VLOOKUP(_stats[[#This Row],[tournament]],tournaments_n_rules[],2,0)</f>
        <v>УПК</v>
      </c>
      <c r="M1288" s="55" t="str">
        <f>VLOOKUP(_stats[[#This Row],[tournament]],tournaments_n_rules[],3,0)</f>
        <v>Весна 2026</v>
      </c>
      <c r="N1288" s="56">
        <f>VLOOKUP(_stats[[#This Row],[tournament]],tournaments_n_rules[],4,0)</f>
        <v>46082</v>
      </c>
      <c r="O1288" s="56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7">
        <v>6</v>
      </c>
      <c r="L1289" s="55" t="str">
        <f>VLOOKUP(_stats[[#This Row],[tournament]],tournaments_n_rules[],2,0)</f>
        <v>УПК</v>
      </c>
      <c r="M1289" s="55" t="str">
        <f>VLOOKUP(_stats[[#This Row],[tournament]],tournaments_n_rules[],3,0)</f>
        <v>Весна 2026</v>
      </c>
      <c r="N1289" s="56">
        <f>VLOOKUP(_stats[[#This Row],[tournament]],tournaments_n_rules[],4,0)</f>
        <v>46082</v>
      </c>
      <c r="O1289" s="56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7">
        <v>6</v>
      </c>
      <c r="L1290" s="55" t="str">
        <f>VLOOKUP(_stats[[#This Row],[tournament]],tournaments_n_rules[],2,0)</f>
        <v>УПК</v>
      </c>
      <c r="M1290" s="55" t="str">
        <f>VLOOKUP(_stats[[#This Row],[tournament]],tournaments_n_rules[],3,0)</f>
        <v>Весна 2026</v>
      </c>
      <c r="N1290" s="56">
        <f>VLOOKUP(_stats[[#This Row],[tournament]],tournaments_n_rules[],4,0)</f>
        <v>46082</v>
      </c>
      <c r="O1290" s="56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7">
        <v>6</v>
      </c>
      <c r="L1291" s="55" t="str">
        <f>VLOOKUP(_stats[[#This Row],[tournament]],tournaments_n_rules[],2,0)</f>
        <v>УПК</v>
      </c>
      <c r="M1291" s="55" t="str">
        <f>VLOOKUP(_stats[[#This Row],[tournament]],tournaments_n_rules[],3,0)</f>
        <v>Весна 2026</v>
      </c>
      <c r="N1291" s="56">
        <f>VLOOKUP(_stats[[#This Row],[tournament]],tournaments_n_rules[],4,0)</f>
        <v>46082</v>
      </c>
      <c r="O1291" s="56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7">
        <v>6</v>
      </c>
      <c r="L1292" s="55" t="str">
        <f>VLOOKUP(_stats[[#This Row],[tournament]],tournaments_n_rules[],2,0)</f>
        <v>УПК</v>
      </c>
      <c r="M1292" s="55" t="str">
        <f>VLOOKUP(_stats[[#This Row],[tournament]],tournaments_n_rules[],3,0)</f>
        <v>Весна 2026</v>
      </c>
      <c r="N1292" s="56">
        <f>VLOOKUP(_stats[[#This Row],[tournament]],tournaments_n_rules[],4,0)</f>
        <v>46082</v>
      </c>
      <c r="O1292" s="56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7">
        <v>6</v>
      </c>
      <c r="L1293" s="55" t="str">
        <f>VLOOKUP(_stats[[#This Row],[tournament]],tournaments_n_rules[],2,0)</f>
        <v>УПК</v>
      </c>
      <c r="M1293" s="55" t="str">
        <f>VLOOKUP(_stats[[#This Row],[tournament]],tournaments_n_rules[],3,0)</f>
        <v>Весна 2026</v>
      </c>
      <c r="N1293" s="56">
        <f>VLOOKUP(_stats[[#This Row],[tournament]],tournaments_n_rules[],4,0)</f>
        <v>46082</v>
      </c>
      <c r="O1293" s="56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7">
        <v>6</v>
      </c>
      <c r="L1294" s="55" t="str">
        <f>VLOOKUP(_stats[[#This Row],[tournament]],tournaments_n_rules[],2,0)</f>
        <v>УПК</v>
      </c>
      <c r="M1294" s="55" t="str">
        <f>VLOOKUP(_stats[[#This Row],[tournament]],tournaments_n_rules[],3,0)</f>
        <v>Весна 2026</v>
      </c>
      <c r="N1294" s="56">
        <f>VLOOKUP(_stats[[#This Row],[tournament]],tournaments_n_rules[],4,0)</f>
        <v>46082</v>
      </c>
      <c r="O1294" s="56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7">
        <v>6</v>
      </c>
      <c r="L1295" s="55" t="str">
        <f>VLOOKUP(_stats[[#This Row],[tournament]],tournaments_n_rules[],2,0)</f>
        <v>УПК</v>
      </c>
      <c r="M1295" s="55" t="str">
        <f>VLOOKUP(_stats[[#This Row],[tournament]],tournaments_n_rules[],3,0)</f>
        <v>Весна 2026</v>
      </c>
      <c r="N1295" s="56">
        <f>VLOOKUP(_stats[[#This Row],[tournament]],tournaments_n_rules[],4,0)</f>
        <v>46082</v>
      </c>
      <c r="O1295" s="56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7">
        <v>6</v>
      </c>
      <c r="L1296" s="55" t="str">
        <f>VLOOKUP(_stats[[#This Row],[tournament]],tournaments_n_rules[],2,0)</f>
        <v>УПК</v>
      </c>
      <c r="M1296" s="55" t="str">
        <f>VLOOKUP(_stats[[#This Row],[tournament]],tournaments_n_rules[],3,0)</f>
        <v>Весна 2026</v>
      </c>
      <c r="N1296" s="56">
        <f>VLOOKUP(_stats[[#This Row],[tournament]],tournaments_n_rules[],4,0)</f>
        <v>46082</v>
      </c>
      <c r="O1296" s="56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7">
        <v>6</v>
      </c>
      <c r="L1297" s="55" t="str">
        <f>VLOOKUP(_stats[[#This Row],[tournament]],tournaments_n_rules[],2,0)</f>
        <v>УПК</v>
      </c>
      <c r="M1297" s="55" t="str">
        <f>VLOOKUP(_stats[[#This Row],[tournament]],tournaments_n_rules[],3,0)</f>
        <v>Весна 2026</v>
      </c>
      <c r="N1297" s="56">
        <f>VLOOKUP(_stats[[#This Row],[tournament]],tournaments_n_rules[],4,0)</f>
        <v>46082</v>
      </c>
      <c r="O1297" s="56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7">
        <v>6</v>
      </c>
      <c r="L1298" s="55" t="str">
        <f>VLOOKUP(_stats[[#This Row],[tournament]],tournaments_n_rules[],2,0)</f>
        <v>УПК</v>
      </c>
      <c r="M1298" s="55" t="str">
        <f>VLOOKUP(_stats[[#This Row],[tournament]],tournaments_n_rules[],3,0)</f>
        <v>Весна 2026</v>
      </c>
      <c r="N1298" s="56">
        <f>VLOOKUP(_stats[[#This Row],[tournament]],tournaments_n_rules[],4,0)</f>
        <v>46082</v>
      </c>
      <c r="O1298" s="56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7">
        <v>6</v>
      </c>
      <c r="L1299" s="55" t="str">
        <f>VLOOKUP(_stats[[#This Row],[tournament]],tournaments_n_rules[],2,0)</f>
        <v>УПК</v>
      </c>
      <c r="M1299" s="55" t="str">
        <f>VLOOKUP(_stats[[#This Row],[tournament]],tournaments_n_rules[],3,0)</f>
        <v>Весна 2026</v>
      </c>
      <c r="N1299" s="56">
        <f>VLOOKUP(_stats[[#This Row],[tournament]],tournaments_n_rules[],4,0)</f>
        <v>46082</v>
      </c>
      <c r="O1299" s="56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7">
        <v>6</v>
      </c>
      <c r="L1300" s="55" t="str">
        <f>VLOOKUP(_stats[[#This Row],[tournament]],tournaments_n_rules[],2,0)</f>
        <v>УПК</v>
      </c>
      <c r="M1300" s="55" t="str">
        <f>VLOOKUP(_stats[[#This Row],[tournament]],tournaments_n_rules[],3,0)</f>
        <v>Весна 2026</v>
      </c>
      <c r="N1300" s="56">
        <f>VLOOKUP(_stats[[#This Row],[tournament]],tournaments_n_rules[],4,0)</f>
        <v>46082</v>
      </c>
      <c r="O1300" s="56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7">
        <v>6</v>
      </c>
      <c r="L1301" s="55" t="str">
        <f>VLOOKUP(_stats[[#This Row],[tournament]],tournaments_n_rules[],2,0)</f>
        <v>УПК</v>
      </c>
      <c r="M1301" s="55" t="str">
        <f>VLOOKUP(_stats[[#This Row],[tournament]],tournaments_n_rules[],3,0)</f>
        <v>Весна 2026</v>
      </c>
      <c r="N1301" s="56">
        <f>VLOOKUP(_stats[[#This Row],[tournament]],tournaments_n_rules[],4,0)</f>
        <v>46082</v>
      </c>
      <c r="O1301" s="56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7">
        <v>6</v>
      </c>
      <c r="L1302" s="55" t="str">
        <f>VLOOKUP(_stats[[#This Row],[tournament]],tournaments_n_rules[],2,0)</f>
        <v>УПК</v>
      </c>
      <c r="M1302" s="55" t="str">
        <f>VLOOKUP(_stats[[#This Row],[tournament]],tournaments_n_rules[],3,0)</f>
        <v>Весна 2026</v>
      </c>
      <c r="N1302" s="56">
        <f>VLOOKUP(_stats[[#This Row],[tournament]],tournaments_n_rules[],4,0)</f>
        <v>46082</v>
      </c>
      <c r="O1302" s="56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7">
        <v>6</v>
      </c>
      <c r="L1303" s="55" t="str">
        <f>VLOOKUP(_stats[[#This Row],[tournament]],tournaments_n_rules[],2,0)</f>
        <v>УПК</v>
      </c>
      <c r="M1303" s="55" t="str">
        <f>VLOOKUP(_stats[[#This Row],[tournament]],tournaments_n_rules[],3,0)</f>
        <v>Весна 2026</v>
      </c>
      <c r="N1303" s="56">
        <f>VLOOKUP(_stats[[#This Row],[tournament]],tournaments_n_rules[],4,0)</f>
        <v>46082</v>
      </c>
      <c r="O1303" s="56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7">
        <v>6</v>
      </c>
      <c r="L1304" s="55" t="str">
        <f>VLOOKUP(_stats[[#This Row],[tournament]],tournaments_n_rules[],2,0)</f>
        <v>УПК</v>
      </c>
      <c r="M1304" s="55" t="str">
        <f>VLOOKUP(_stats[[#This Row],[tournament]],tournaments_n_rules[],3,0)</f>
        <v>Весна 2026</v>
      </c>
      <c r="N1304" s="56">
        <f>VLOOKUP(_stats[[#This Row],[tournament]],tournaments_n_rules[],4,0)</f>
        <v>46082</v>
      </c>
      <c r="O1304" s="56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5" t="str">
        <f>VLOOKUP(_stats[[#This Row],[tournament]],tournaments_n_rules[],2,0)</f>
        <v>УПК</v>
      </c>
      <c r="M1305" s="55" t="str">
        <f>VLOOKUP(_stats[[#This Row],[tournament]],tournaments_n_rules[],3,0)</f>
        <v>Весна 2026</v>
      </c>
      <c r="N1305" s="56">
        <f>VLOOKUP(_stats[[#This Row],[tournament]],tournaments_n_rules[],4,0)</f>
        <v>46082</v>
      </c>
      <c r="O1305" s="56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5" t="str">
        <f>VLOOKUP(_stats[[#This Row],[tournament]],tournaments_n_rules[],2,0)</f>
        <v>УПК</v>
      </c>
      <c r="M1306" s="55" t="str">
        <f>VLOOKUP(_stats[[#This Row],[tournament]],tournaments_n_rules[],3,0)</f>
        <v>Весна 2026</v>
      </c>
      <c r="N1306" s="56">
        <f>VLOOKUP(_stats[[#This Row],[tournament]],tournaments_n_rules[],4,0)</f>
        <v>46082</v>
      </c>
      <c r="O1306" s="56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5" t="str">
        <f>VLOOKUP(_stats[[#This Row],[tournament]],tournaments_n_rules[],2,0)</f>
        <v>УПК</v>
      </c>
      <c r="M1307" s="55" t="str">
        <f>VLOOKUP(_stats[[#This Row],[tournament]],tournaments_n_rules[],3,0)</f>
        <v>Весна 2026</v>
      </c>
      <c r="N1307" s="56">
        <f>VLOOKUP(_stats[[#This Row],[tournament]],tournaments_n_rules[],4,0)</f>
        <v>46082</v>
      </c>
      <c r="O1307" s="56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5" t="str">
        <f>VLOOKUP(_stats[[#This Row],[tournament]],tournaments_n_rules[],2,0)</f>
        <v>УПК</v>
      </c>
      <c r="M1308" s="55" t="str">
        <f>VLOOKUP(_stats[[#This Row],[tournament]],tournaments_n_rules[],3,0)</f>
        <v>Весна 2026</v>
      </c>
      <c r="N1308" s="56">
        <f>VLOOKUP(_stats[[#This Row],[tournament]],tournaments_n_rules[],4,0)</f>
        <v>46082</v>
      </c>
      <c r="O1308" s="56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5" t="str">
        <f>VLOOKUP(_stats[[#This Row],[tournament]],tournaments_n_rules[],2,0)</f>
        <v>УПК</v>
      </c>
      <c r="M1309" s="55" t="str">
        <f>VLOOKUP(_stats[[#This Row],[tournament]],tournaments_n_rules[],3,0)</f>
        <v>Весна 2026</v>
      </c>
      <c r="N1309" s="56">
        <f>VLOOKUP(_stats[[#This Row],[tournament]],tournaments_n_rules[],4,0)</f>
        <v>46082</v>
      </c>
      <c r="O1309" s="56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5" t="str">
        <f>VLOOKUP(_stats[[#This Row],[tournament]],tournaments_n_rules[],2,0)</f>
        <v>УПК</v>
      </c>
      <c r="M1310" s="55" t="str">
        <f>VLOOKUP(_stats[[#This Row],[tournament]],tournaments_n_rules[],3,0)</f>
        <v>Весна 2026</v>
      </c>
      <c r="N1310" s="56">
        <f>VLOOKUP(_stats[[#This Row],[tournament]],tournaments_n_rules[],4,0)</f>
        <v>46082</v>
      </c>
      <c r="O1310" s="56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5" t="str">
        <f>VLOOKUP(_stats[[#This Row],[tournament]],tournaments_n_rules[],2,0)</f>
        <v>УПК</v>
      </c>
      <c r="M1311" s="55" t="str">
        <f>VLOOKUP(_stats[[#This Row],[tournament]],tournaments_n_rules[],3,0)</f>
        <v>Весна 2026</v>
      </c>
      <c r="N1311" s="56">
        <f>VLOOKUP(_stats[[#This Row],[tournament]],tournaments_n_rules[],4,0)</f>
        <v>46082</v>
      </c>
      <c r="O1311" s="56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5" t="str">
        <f>VLOOKUP(_stats[[#This Row],[tournament]],tournaments_n_rules[],2,0)</f>
        <v>УПК</v>
      </c>
      <c r="M1312" s="55" t="str">
        <f>VLOOKUP(_stats[[#This Row],[tournament]],tournaments_n_rules[],3,0)</f>
        <v>Весна 2026</v>
      </c>
      <c r="N1312" s="56">
        <f>VLOOKUP(_stats[[#This Row],[tournament]],tournaments_n_rules[],4,0)</f>
        <v>46082</v>
      </c>
      <c r="O1312" s="56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5" t="str">
        <f>VLOOKUP(_stats[[#This Row],[tournament]],tournaments_n_rules[],2,0)</f>
        <v>УПК</v>
      </c>
      <c r="M1313" s="55" t="str">
        <f>VLOOKUP(_stats[[#This Row],[tournament]],tournaments_n_rules[],3,0)</f>
        <v>Весна 2026</v>
      </c>
      <c r="N1313" s="56">
        <f>VLOOKUP(_stats[[#This Row],[tournament]],tournaments_n_rules[],4,0)</f>
        <v>46082</v>
      </c>
      <c r="O1313" s="56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5" t="str">
        <f>VLOOKUP(_stats[[#This Row],[tournament]],tournaments_n_rules[],2,0)</f>
        <v>УПК</v>
      </c>
      <c r="M1314" s="55" t="str">
        <f>VLOOKUP(_stats[[#This Row],[tournament]],tournaments_n_rules[],3,0)</f>
        <v>Весна 2026</v>
      </c>
      <c r="N1314" s="56">
        <f>VLOOKUP(_stats[[#This Row],[tournament]],tournaments_n_rules[],4,0)</f>
        <v>46082</v>
      </c>
      <c r="O1314" s="56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5" t="str">
        <f>VLOOKUP(_stats[[#This Row],[tournament]],tournaments_n_rules[],2,0)</f>
        <v>УПК</v>
      </c>
      <c r="M1315" s="55" t="str">
        <f>VLOOKUP(_stats[[#This Row],[tournament]],tournaments_n_rules[],3,0)</f>
        <v>Весна 2026</v>
      </c>
      <c r="N1315" s="56">
        <f>VLOOKUP(_stats[[#This Row],[tournament]],tournaments_n_rules[],4,0)</f>
        <v>46082</v>
      </c>
      <c r="O1315" s="56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5" t="str">
        <f>VLOOKUP(_stats[[#This Row],[tournament]],tournaments_n_rules[],2,0)</f>
        <v>УПК</v>
      </c>
      <c r="M1316" s="55" t="str">
        <f>VLOOKUP(_stats[[#This Row],[tournament]],tournaments_n_rules[],3,0)</f>
        <v>Весна 2026</v>
      </c>
      <c r="N1316" s="56">
        <f>VLOOKUP(_stats[[#This Row],[tournament]],tournaments_n_rules[],4,0)</f>
        <v>46082</v>
      </c>
      <c r="O1316" s="56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5" t="str">
        <f>VLOOKUP(_stats[[#This Row],[tournament]],tournaments_n_rules[],2,0)</f>
        <v>УПК</v>
      </c>
      <c r="M1317" s="55" t="str">
        <f>VLOOKUP(_stats[[#This Row],[tournament]],tournaments_n_rules[],3,0)</f>
        <v>Весна 2026</v>
      </c>
      <c r="N1317" s="56">
        <f>VLOOKUP(_stats[[#This Row],[tournament]],tournaments_n_rules[],4,0)</f>
        <v>46082</v>
      </c>
      <c r="O1317" s="56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5" t="str">
        <f>VLOOKUP(_stats[[#This Row],[tournament]],tournaments_n_rules[],2,0)</f>
        <v>УПК</v>
      </c>
      <c r="M1318" s="55" t="str">
        <f>VLOOKUP(_stats[[#This Row],[tournament]],tournaments_n_rules[],3,0)</f>
        <v>Весна 2026</v>
      </c>
      <c r="N1318" s="56">
        <f>VLOOKUP(_stats[[#This Row],[tournament]],tournaments_n_rules[],4,0)</f>
        <v>46082</v>
      </c>
      <c r="O1318" s="56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5" t="str">
        <f>VLOOKUP(_stats[[#This Row],[tournament]],tournaments_n_rules[],2,0)</f>
        <v>УПК</v>
      </c>
      <c r="M1319" s="55" t="str">
        <f>VLOOKUP(_stats[[#This Row],[tournament]],tournaments_n_rules[],3,0)</f>
        <v>Весна 2026</v>
      </c>
      <c r="N1319" s="56">
        <f>VLOOKUP(_stats[[#This Row],[tournament]],tournaments_n_rules[],4,0)</f>
        <v>46082</v>
      </c>
      <c r="O1319" s="56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5" t="str">
        <f>VLOOKUP(_stats[[#This Row],[tournament]],tournaments_n_rules[],2,0)</f>
        <v>УПК</v>
      </c>
      <c r="M1320" s="55" t="str">
        <f>VLOOKUP(_stats[[#This Row],[tournament]],tournaments_n_rules[],3,0)</f>
        <v>Весна 2026</v>
      </c>
      <c r="N1320" s="56">
        <f>VLOOKUP(_stats[[#This Row],[tournament]],tournaments_n_rules[],4,0)</f>
        <v>46082</v>
      </c>
      <c r="O1320" s="56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5" t="str">
        <f>VLOOKUP(_stats[[#This Row],[tournament]],tournaments_n_rules[],2,0)</f>
        <v>УПК</v>
      </c>
      <c r="M1321" s="55" t="str">
        <f>VLOOKUP(_stats[[#This Row],[tournament]],tournaments_n_rules[],3,0)</f>
        <v>Весна 2026</v>
      </c>
      <c r="N1321" s="56">
        <f>VLOOKUP(_stats[[#This Row],[tournament]],tournaments_n_rules[],4,0)</f>
        <v>46082</v>
      </c>
      <c r="O1321" s="56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5" t="str">
        <f>VLOOKUP(_stats[[#This Row],[tournament]],tournaments_n_rules[],2,0)</f>
        <v>УПК</v>
      </c>
      <c r="M1322" s="55" t="str">
        <f>VLOOKUP(_stats[[#This Row],[tournament]],tournaments_n_rules[],3,0)</f>
        <v>Весна 2026</v>
      </c>
      <c r="N1322" s="56">
        <f>VLOOKUP(_stats[[#This Row],[tournament]],tournaments_n_rules[],4,0)</f>
        <v>46082</v>
      </c>
      <c r="O1322" s="56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5" t="str">
        <f>VLOOKUP(_stats[[#This Row],[tournament]],tournaments_n_rules[],2,0)</f>
        <v>УПК</v>
      </c>
      <c r="M1323" s="55" t="str">
        <f>VLOOKUP(_stats[[#This Row],[tournament]],tournaments_n_rules[],3,0)</f>
        <v>Весна 2026</v>
      </c>
      <c r="N1323" s="56">
        <f>VLOOKUP(_stats[[#This Row],[tournament]],tournaments_n_rules[],4,0)</f>
        <v>46082</v>
      </c>
      <c r="O1323" s="56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5" t="str">
        <f>VLOOKUP(_stats[[#This Row],[tournament]],tournaments_n_rules[],2,0)</f>
        <v>УПК</v>
      </c>
      <c r="M1324" s="55" t="str">
        <f>VLOOKUP(_stats[[#This Row],[tournament]],tournaments_n_rules[],3,0)</f>
        <v>Весна 2026</v>
      </c>
      <c r="N1324" s="56">
        <f>VLOOKUP(_stats[[#This Row],[tournament]],tournaments_n_rules[],4,0)</f>
        <v>46082</v>
      </c>
      <c r="O1324" s="56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5" t="str">
        <f>VLOOKUP(_stats[[#This Row],[tournament]],tournaments_n_rules[],2,0)</f>
        <v>УПК</v>
      </c>
      <c r="M1325" s="55" t="str">
        <f>VLOOKUP(_stats[[#This Row],[tournament]],tournaments_n_rules[],3,0)</f>
        <v>Весна 2026</v>
      </c>
      <c r="N1325" s="56">
        <f>VLOOKUP(_stats[[#This Row],[tournament]],tournaments_n_rules[],4,0)</f>
        <v>46082</v>
      </c>
      <c r="O1325" s="56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5" t="str">
        <f>VLOOKUP(_stats[[#This Row],[tournament]],tournaments_n_rules[],2,0)</f>
        <v>УПК</v>
      </c>
      <c r="M1326" s="55" t="str">
        <f>VLOOKUP(_stats[[#This Row],[tournament]],tournaments_n_rules[],3,0)</f>
        <v>Весна 2026</v>
      </c>
      <c r="N1326" s="56">
        <f>VLOOKUP(_stats[[#This Row],[tournament]],tournaments_n_rules[],4,0)</f>
        <v>46082</v>
      </c>
      <c r="O1326" s="56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5" t="str">
        <f>VLOOKUP(_stats[[#This Row],[tournament]],tournaments_n_rules[],2,0)</f>
        <v>УПК</v>
      </c>
      <c r="M1327" s="55" t="str">
        <f>VLOOKUP(_stats[[#This Row],[tournament]],tournaments_n_rules[],3,0)</f>
        <v>Весна 2026</v>
      </c>
      <c r="N1327" s="56">
        <f>VLOOKUP(_stats[[#This Row],[tournament]],tournaments_n_rules[],4,0)</f>
        <v>46082</v>
      </c>
      <c r="O1327" s="56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5" t="str">
        <f>VLOOKUP(_stats[[#This Row],[tournament]],tournaments_n_rules[],2,0)</f>
        <v>УПК</v>
      </c>
      <c r="M1328" s="55" t="str">
        <f>VLOOKUP(_stats[[#This Row],[tournament]],tournaments_n_rules[],3,0)</f>
        <v>Весна 2026</v>
      </c>
      <c r="N1328" s="56">
        <f>VLOOKUP(_stats[[#This Row],[tournament]],tournaments_n_rules[],4,0)</f>
        <v>46082</v>
      </c>
      <c r="O1328" s="56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5" t="str">
        <f>VLOOKUP(_stats[[#This Row],[tournament]],tournaments_n_rules[],2,0)</f>
        <v>УПК</v>
      </c>
      <c r="M1329" s="55" t="str">
        <f>VLOOKUP(_stats[[#This Row],[tournament]],tournaments_n_rules[],3,0)</f>
        <v>Весна 2026</v>
      </c>
      <c r="N1329" s="56">
        <f>VLOOKUP(_stats[[#This Row],[tournament]],tournaments_n_rules[],4,0)</f>
        <v>46082</v>
      </c>
      <c r="O1329" s="56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5" t="str">
        <f>VLOOKUP(_stats[[#This Row],[tournament]],tournaments_n_rules[],2,0)</f>
        <v>УПК</v>
      </c>
      <c r="M1330" s="55" t="str">
        <f>VLOOKUP(_stats[[#This Row],[tournament]],tournaments_n_rules[],3,0)</f>
        <v>Весна 2026</v>
      </c>
      <c r="N1330" s="56">
        <f>VLOOKUP(_stats[[#This Row],[tournament]],tournaments_n_rules[],4,0)</f>
        <v>46082</v>
      </c>
      <c r="O1330" s="56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5" t="str">
        <f>VLOOKUP(_stats[[#This Row],[tournament]],tournaments_n_rules[],2,0)</f>
        <v>УПК</v>
      </c>
      <c r="M1331" s="55" t="str">
        <f>VLOOKUP(_stats[[#This Row],[tournament]],tournaments_n_rules[],3,0)</f>
        <v>Весна 2026</v>
      </c>
      <c r="N1331" s="56">
        <f>VLOOKUP(_stats[[#This Row],[tournament]],tournaments_n_rules[],4,0)</f>
        <v>46082</v>
      </c>
      <c r="O1331" s="56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5" t="str">
        <f>VLOOKUP(_stats[[#This Row],[tournament]],tournaments_n_rules[],2,0)</f>
        <v>УПК</v>
      </c>
      <c r="M1332" s="55" t="str">
        <f>VLOOKUP(_stats[[#This Row],[tournament]],tournaments_n_rules[],3,0)</f>
        <v>Весна 2026</v>
      </c>
      <c r="N1332" s="56">
        <f>VLOOKUP(_stats[[#This Row],[tournament]],tournaments_n_rules[],4,0)</f>
        <v>46082</v>
      </c>
      <c r="O1332" s="56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5" t="str">
        <f>VLOOKUP(_stats[[#This Row],[tournament]],tournaments_n_rules[],2,0)</f>
        <v>УПК</v>
      </c>
      <c r="M1333" s="55" t="str">
        <f>VLOOKUP(_stats[[#This Row],[tournament]],tournaments_n_rules[],3,0)</f>
        <v>Весна 2026</v>
      </c>
      <c r="N1333" s="56">
        <f>VLOOKUP(_stats[[#This Row],[tournament]],tournaments_n_rules[],4,0)</f>
        <v>46082</v>
      </c>
      <c r="O1333" s="56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5" t="str">
        <f>VLOOKUP(_stats[[#This Row],[tournament]],tournaments_n_rules[],2,0)</f>
        <v>УПК</v>
      </c>
      <c r="M1334" s="55" t="str">
        <f>VLOOKUP(_stats[[#This Row],[tournament]],tournaments_n_rules[],3,0)</f>
        <v>Весна 2026</v>
      </c>
      <c r="N1334" s="56">
        <f>VLOOKUP(_stats[[#This Row],[tournament]],tournaments_n_rules[],4,0)</f>
        <v>46082</v>
      </c>
      <c r="O1334" s="56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5" t="str">
        <f>VLOOKUP(_stats[[#This Row],[tournament]],tournaments_n_rules[],2,0)</f>
        <v>УПК</v>
      </c>
      <c r="M1335" s="55" t="str">
        <f>VLOOKUP(_stats[[#This Row],[tournament]],tournaments_n_rules[],3,0)</f>
        <v>Весна 2026</v>
      </c>
      <c r="N1335" s="56">
        <f>VLOOKUP(_stats[[#This Row],[tournament]],tournaments_n_rules[],4,0)</f>
        <v>46082</v>
      </c>
      <c r="O1335" s="56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5" t="str">
        <f>VLOOKUP(_stats[[#This Row],[tournament]],tournaments_n_rules[],2,0)</f>
        <v>УПК</v>
      </c>
      <c r="M1336" s="55" t="str">
        <f>VLOOKUP(_stats[[#This Row],[tournament]],tournaments_n_rules[],3,0)</f>
        <v>Весна 2026</v>
      </c>
      <c r="N1336" s="56">
        <f>VLOOKUP(_stats[[#This Row],[tournament]],tournaments_n_rules[],4,0)</f>
        <v>46082</v>
      </c>
      <c r="O1336" s="56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5" t="str">
        <f>VLOOKUP(_stats[[#This Row],[tournament]],tournaments_n_rules[],2,0)</f>
        <v>УПК</v>
      </c>
      <c r="M1337" s="55" t="str">
        <f>VLOOKUP(_stats[[#This Row],[tournament]],tournaments_n_rules[],3,0)</f>
        <v>Весна 2026</v>
      </c>
      <c r="N1337" s="56">
        <f>VLOOKUP(_stats[[#This Row],[tournament]],tournaments_n_rules[],4,0)</f>
        <v>46082</v>
      </c>
      <c r="O1337" s="56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5" t="str">
        <f>VLOOKUP(_stats[[#This Row],[tournament]],tournaments_n_rules[],2,0)</f>
        <v>УПК</v>
      </c>
      <c r="M1338" s="55" t="str">
        <f>VLOOKUP(_stats[[#This Row],[tournament]],tournaments_n_rules[],3,0)</f>
        <v>Весна 2026</v>
      </c>
      <c r="N1338" s="56">
        <f>VLOOKUP(_stats[[#This Row],[tournament]],tournaments_n_rules[],4,0)</f>
        <v>46082</v>
      </c>
      <c r="O1338" s="56">
        <f>VLOOKUP(_stats[[#This Row],[tournament]],tournaments_n_rules[],5,0)</f>
        <v>46173</v>
      </c>
    </row>
    <row r="1339" spans="1:15" x14ac:dyDescent="0.25">
      <c r="A1339" s="59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8">
        <v>7</v>
      </c>
      <c r="L1339" s="55" t="str">
        <f>VLOOKUP(_stats[[#This Row],[tournament]],tournaments_n_rules[],2,0)</f>
        <v>УПК</v>
      </c>
      <c r="M1339" s="55" t="str">
        <f>VLOOKUP(_stats[[#This Row],[tournament]],tournaments_n_rules[],3,0)</f>
        <v>Лето 2026</v>
      </c>
      <c r="N1339" s="56">
        <f>VLOOKUP(_stats[[#This Row],[tournament]],tournaments_n_rules[],4,0)</f>
        <v>46194</v>
      </c>
      <c r="O1339" s="56">
        <f>VLOOKUP(_stats[[#This Row],[tournament]],tournaments_n_rules[],5,0)</f>
        <v>46265</v>
      </c>
    </row>
    <row r="1340" spans="1:15" x14ac:dyDescent="0.25">
      <c r="A1340" s="59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8">
        <v>7</v>
      </c>
      <c r="L1340" s="55" t="str">
        <f>VLOOKUP(_stats[[#This Row],[tournament]],tournaments_n_rules[],2,0)</f>
        <v>УПК</v>
      </c>
      <c r="M1340" s="55" t="str">
        <f>VLOOKUP(_stats[[#This Row],[tournament]],tournaments_n_rules[],3,0)</f>
        <v>Лето 2026</v>
      </c>
      <c r="N1340" s="56">
        <f>VLOOKUP(_stats[[#This Row],[tournament]],tournaments_n_rules[],4,0)</f>
        <v>46194</v>
      </c>
      <c r="O1340" s="56">
        <f>VLOOKUP(_stats[[#This Row],[tournament]],tournaments_n_rules[],5,0)</f>
        <v>46265</v>
      </c>
    </row>
    <row r="1341" spans="1:15" x14ac:dyDescent="0.25">
      <c r="A1341" s="59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8">
        <v>7</v>
      </c>
      <c r="L1341" s="55" t="str">
        <f>VLOOKUP(_stats[[#This Row],[tournament]],tournaments_n_rules[],2,0)</f>
        <v>УПК</v>
      </c>
      <c r="M1341" s="55" t="str">
        <f>VLOOKUP(_stats[[#This Row],[tournament]],tournaments_n_rules[],3,0)</f>
        <v>Лето 2026</v>
      </c>
      <c r="N1341" s="56">
        <f>VLOOKUP(_stats[[#This Row],[tournament]],tournaments_n_rules[],4,0)</f>
        <v>46194</v>
      </c>
      <c r="O1341" s="56">
        <f>VLOOKUP(_stats[[#This Row],[tournament]],tournaments_n_rules[],5,0)</f>
        <v>46265</v>
      </c>
    </row>
    <row r="1342" spans="1:15" x14ac:dyDescent="0.25">
      <c r="A1342" s="59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8">
        <v>7</v>
      </c>
      <c r="L1342" s="55" t="str">
        <f>VLOOKUP(_stats[[#This Row],[tournament]],tournaments_n_rules[],2,0)</f>
        <v>УПК</v>
      </c>
      <c r="M1342" s="55" t="str">
        <f>VLOOKUP(_stats[[#This Row],[tournament]],tournaments_n_rules[],3,0)</f>
        <v>Лето 2026</v>
      </c>
      <c r="N1342" s="56">
        <f>VLOOKUP(_stats[[#This Row],[tournament]],tournaments_n_rules[],4,0)</f>
        <v>46194</v>
      </c>
      <c r="O1342" s="56">
        <f>VLOOKUP(_stats[[#This Row],[tournament]],tournaments_n_rules[],5,0)</f>
        <v>46265</v>
      </c>
    </row>
    <row r="1343" spans="1:15" x14ac:dyDescent="0.25">
      <c r="A1343" s="59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8">
        <v>7</v>
      </c>
      <c r="L1343" s="55" t="str">
        <f>VLOOKUP(_stats[[#This Row],[tournament]],tournaments_n_rules[],2,0)</f>
        <v>УПК</v>
      </c>
      <c r="M1343" s="55" t="str">
        <f>VLOOKUP(_stats[[#This Row],[tournament]],tournaments_n_rules[],3,0)</f>
        <v>Лето 2026</v>
      </c>
      <c r="N1343" s="56">
        <f>VLOOKUP(_stats[[#This Row],[tournament]],tournaments_n_rules[],4,0)</f>
        <v>46194</v>
      </c>
      <c r="O1343" s="56">
        <f>VLOOKUP(_stats[[#This Row],[tournament]],tournaments_n_rules[],5,0)</f>
        <v>46265</v>
      </c>
    </row>
    <row r="1344" spans="1:15" x14ac:dyDescent="0.25">
      <c r="A1344" s="59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8">
        <v>7</v>
      </c>
      <c r="L1344" s="55" t="str">
        <f>VLOOKUP(_stats[[#This Row],[tournament]],tournaments_n_rules[],2,0)</f>
        <v>УПК</v>
      </c>
      <c r="M1344" s="55" t="str">
        <f>VLOOKUP(_stats[[#This Row],[tournament]],tournaments_n_rules[],3,0)</f>
        <v>Лето 2026</v>
      </c>
      <c r="N1344" s="56">
        <f>VLOOKUP(_stats[[#This Row],[tournament]],tournaments_n_rules[],4,0)</f>
        <v>46194</v>
      </c>
      <c r="O1344" s="56">
        <f>VLOOKUP(_stats[[#This Row],[tournament]],tournaments_n_rules[],5,0)</f>
        <v>46265</v>
      </c>
    </row>
    <row r="1345" spans="1:15" x14ac:dyDescent="0.25">
      <c r="A1345" s="59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8">
        <v>7</v>
      </c>
      <c r="L1345" s="55" t="str">
        <f>VLOOKUP(_stats[[#This Row],[tournament]],tournaments_n_rules[],2,0)</f>
        <v>УПК</v>
      </c>
      <c r="M1345" s="55" t="str">
        <f>VLOOKUP(_stats[[#This Row],[tournament]],tournaments_n_rules[],3,0)</f>
        <v>Лето 2026</v>
      </c>
      <c r="N1345" s="56">
        <f>VLOOKUP(_stats[[#This Row],[tournament]],tournaments_n_rules[],4,0)</f>
        <v>46194</v>
      </c>
      <c r="O1345" s="56">
        <f>VLOOKUP(_stats[[#This Row],[tournament]],tournaments_n_rules[],5,0)</f>
        <v>46265</v>
      </c>
    </row>
    <row r="1346" spans="1:15" x14ac:dyDescent="0.25">
      <c r="A1346" s="59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8">
        <v>7</v>
      </c>
      <c r="L1346" s="55" t="str">
        <f>VLOOKUP(_stats[[#This Row],[tournament]],tournaments_n_rules[],2,0)</f>
        <v>УПК</v>
      </c>
      <c r="M1346" s="55" t="str">
        <f>VLOOKUP(_stats[[#This Row],[tournament]],tournaments_n_rules[],3,0)</f>
        <v>Лето 2026</v>
      </c>
      <c r="N1346" s="56">
        <f>VLOOKUP(_stats[[#This Row],[tournament]],tournaments_n_rules[],4,0)</f>
        <v>46194</v>
      </c>
      <c r="O1346" s="56">
        <f>VLOOKUP(_stats[[#This Row],[tournament]],tournaments_n_rules[],5,0)</f>
        <v>46265</v>
      </c>
    </row>
    <row r="1347" spans="1:15" x14ac:dyDescent="0.25">
      <c r="A1347" s="59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8">
        <v>7</v>
      </c>
      <c r="L1347" s="55" t="str">
        <f>VLOOKUP(_stats[[#This Row],[tournament]],tournaments_n_rules[],2,0)</f>
        <v>УПК</v>
      </c>
      <c r="M1347" s="55" t="str">
        <f>VLOOKUP(_stats[[#This Row],[tournament]],tournaments_n_rules[],3,0)</f>
        <v>Лето 2026</v>
      </c>
      <c r="N1347" s="56">
        <f>VLOOKUP(_stats[[#This Row],[tournament]],tournaments_n_rules[],4,0)</f>
        <v>46194</v>
      </c>
      <c r="O1347" s="56">
        <f>VLOOKUP(_stats[[#This Row],[tournament]],tournaments_n_rules[],5,0)</f>
        <v>46265</v>
      </c>
    </row>
    <row r="1348" spans="1:15" x14ac:dyDescent="0.25">
      <c r="A1348" s="59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8">
        <v>7</v>
      </c>
      <c r="L1348" s="55" t="str">
        <f>VLOOKUP(_stats[[#This Row],[tournament]],tournaments_n_rules[],2,0)</f>
        <v>УПК</v>
      </c>
      <c r="M1348" s="55" t="str">
        <f>VLOOKUP(_stats[[#This Row],[tournament]],tournaments_n_rules[],3,0)</f>
        <v>Лето 2026</v>
      </c>
      <c r="N1348" s="56">
        <f>VLOOKUP(_stats[[#This Row],[tournament]],tournaments_n_rules[],4,0)</f>
        <v>46194</v>
      </c>
      <c r="O1348" s="56">
        <f>VLOOKUP(_stats[[#This Row],[tournament]],tournaments_n_rules[],5,0)</f>
        <v>46265</v>
      </c>
    </row>
    <row r="1349" spans="1:15" x14ac:dyDescent="0.25">
      <c r="A1349" s="59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8">
        <v>7</v>
      </c>
      <c r="L1349" s="55" t="str">
        <f>VLOOKUP(_stats[[#This Row],[tournament]],tournaments_n_rules[],2,0)</f>
        <v>УПК</v>
      </c>
      <c r="M1349" s="55" t="str">
        <f>VLOOKUP(_stats[[#This Row],[tournament]],tournaments_n_rules[],3,0)</f>
        <v>Лето 2026</v>
      </c>
      <c r="N1349" s="56">
        <f>VLOOKUP(_stats[[#This Row],[tournament]],tournaments_n_rules[],4,0)</f>
        <v>46194</v>
      </c>
      <c r="O1349" s="56">
        <f>VLOOKUP(_stats[[#This Row],[tournament]],tournaments_n_rules[],5,0)</f>
        <v>46265</v>
      </c>
    </row>
    <row r="1350" spans="1:15" x14ac:dyDescent="0.25">
      <c r="A1350" s="59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8">
        <v>7</v>
      </c>
      <c r="L1350" s="55" t="str">
        <f>VLOOKUP(_stats[[#This Row],[tournament]],tournaments_n_rules[],2,0)</f>
        <v>УПК</v>
      </c>
      <c r="M1350" s="55" t="str">
        <f>VLOOKUP(_stats[[#This Row],[tournament]],tournaments_n_rules[],3,0)</f>
        <v>Лето 2026</v>
      </c>
      <c r="N1350" s="56">
        <f>VLOOKUP(_stats[[#This Row],[tournament]],tournaments_n_rules[],4,0)</f>
        <v>46194</v>
      </c>
      <c r="O1350" s="56">
        <f>VLOOKUP(_stats[[#This Row],[tournament]],tournaments_n_rules[],5,0)</f>
        <v>46265</v>
      </c>
    </row>
    <row r="1351" spans="1:15" x14ac:dyDescent="0.25">
      <c r="A1351" s="59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8">
        <v>7</v>
      </c>
      <c r="L1351" s="55" t="str">
        <f>VLOOKUP(_stats[[#This Row],[tournament]],tournaments_n_rules[],2,0)</f>
        <v>УПК</v>
      </c>
      <c r="M1351" s="55" t="str">
        <f>VLOOKUP(_stats[[#This Row],[tournament]],tournaments_n_rules[],3,0)</f>
        <v>Лето 2026</v>
      </c>
      <c r="N1351" s="56">
        <f>VLOOKUP(_stats[[#This Row],[tournament]],tournaments_n_rules[],4,0)</f>
        <v>46194</v>
      </c>
      <c r="O1351" s="56">
        <f>VLOOKUP(_stats[[#This Row],[tournament]],tournaments_n_rules[],5,0)</f>
        <v>46265</v>
      </c>
    </row>
    <row r="1352" spans="1:15" x14ac:dyDescent="0.25">
      <c r="A1352" s="59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8">
        <v>7</v>
      </c>
      <c r="L1352" s="55" t="str">
        <f>VLOOKUP(_stats[[#This Row],[tournament]],tournaments_n_rules[],2,0)</f>
        <v>УПК</v>
      </c>
      <c r="M1352" s="55" t="str">
        <f>VLOOKUP(_stats[[#This Row],[tournament]],tournaments_n_rules[],3,0)</f>
        <v>Лето 2026</v>
      </c>
      <c r="N1352" s="56">
        <f>VLOOKUP(_stats[[#This Row],[tournament]],tournaments_n_rules[],4,0)</f>
        <v>46194</v>
      </c>
      <c r="O1352" s="56">
        <f>VLOOKUP(_stats[[#This Row],[tournament]],tournaments_n_rules[],5,0)</f>
        <v>46265</v>
      </c>
    </row>
    <row r="1353" spans="1:15" x14ac:dyDescent="0.25">
      <c r="A1353" s="59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8">
        <v>7</v>
      </c>
      <c r="L1353" s="55" t="str">
        <f>VLOOKUP(_stats[[#This Row],[tournament]],tournaments_n_rules[],2,0)</f>
        <v>УПК</v>
      </c>
      <c r="M1353" s="55" t="str">
        <f>VLOOKUP(_stats[[#This Row],[tournament]],tournaments_n_rules[],3,0)</f>
        <v>Лето 2026</v>
      </c>
      <c r="N1353" s="56">
        <f>VLOOKUP(_stats[[#This Row],[tournament]],tournaments_n_rules[],4,0)</f>
        <v>46194</v>
      </c>
      <c r="O1353" s="56">
        <f>VLOOKUP(_stats[[#This Row],[tournament]],tournaments_n_rules[],5,0)</f>
        <v>46265</v>
      </c>
    </row>
    <row r="1354" spans="1:15" x14ac:dyDescent="0.25">
      <c r="A1354" s="59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8">
        <v>7</v>
      </c>
      <c r="L1354" s="55" t="str">
        <f>VLOOKUP(_stats[[#This Row],[tournament]],tournaments_n_rules[],2,0)</f>
        <v>УПК</v>
      </c>
      <c r="M1354" s="55" t="str">
        <f>VLOOKUP(_stats[[#This Row],[tournament]],tournaments_n_rules[],3,0)</f>
        <v>Лето 2026</v>
      </c>
      <c r="N1354" s="56">
        <f>VLOOKUP(_stats[[#This Row],[tournament]],tournaments_n_rules[],4,0)</f>
        <v>46194</v>
      </c>
      <c r="O1354" s="56">
        <f>VLOOKUP(_stats[[#This Row],[tournament]],tournaments_n_rules[],5,0)</f>
        <v>46265</v>
      </c>
    </row>
    <row r="1355" spans="1:15" x14ac:dyDescent="0.25">
      <c r="A1355" s="59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8">
        <v>7</v>
      </c>
      <c r="L1355" s="55" t="str">
        <f>VLOOKUP(_stats[[#This Row],[tournament]],tournaments_n_rules[],2,0)</f>
        <v>УПК</v>
      </c>
      <c r="M1355" s="55" t="str">
        <f>VLOOKUP(_stats[[#This Row],[tournament]],tournaments_n_rules[],3,0)</f>
        <v>Лето 2026</v>
      </c>
      <c r="N1355" s="56">
        <f>VLOOKUP(_stats[[#This Row],[tournament]],tournaments_n_rules[],4,0)</f>
        <v>46194</v>
      </c>
      <c r="O1355" s="56">
        <f>VLOOKUP(_stats[[#This Row],[tournament]],tournaments_n_rules[],5,0)</f>
        <v>46265</v>
      </c>
    </row>
    <row r="1356" spans="1:15" x14ac:dyDescent="0.25">
      <c r="A1356" s="59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8">
        <v>7</v>
      </c>
      <c r="L1356" s="55" t="str">
        <f>VLOOKUP(_stats[[#This Row],[tournament]],tournaments_n_rules[],2,0)</f>
        <v>УПК</v>
      </c>
      <c r="M1356" s="55" t="str">
        <f>VLOOKUP(_stats[[#This Row],[tournament]],tournaments_n_rules[],3,0)</f>
        <v>Лето 2026</v>
      </c>
      <c r="N1356" s="56">
        <f>VLOOKUP(_stats[[#This Row],[tournament]],tournaments_n_rules[],4,0)</f>
        <v>46194</v>
      </c>
      <c r="O1356" s="56">
        <f>VLOOKUP(_stats[[#This Row],[tournament]],tournaments_n_rules[],5,0)</f>
        <v>46265</v>
      </c>
    </row>
    <row r="1357" spans="1:15" x14ac:dyDescent="0.25">
      <c r="A1357" s="59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8">
        <v>7</v>
      </c>
      <c r="L1357" s="55" t="str">
        <f>VLOOKUP(_stats[[#This Row],[tournament]],tournaments_n_rules[],2,0)</f>
        <v>УПК</v>
      </c>
      <c r="M1357" s="55" t="str">
        <f>VLOOKUP(_stats[[#This Row],[tournament]],tournaments_n_rules[],3,0)</f>
        <v>Лето 2026</v>
      </c>
      <c r="N1357" s="56">
        <f>VLOOKUP(_stats[[#This Row],[tournament]],tournaments_n_rules[],4,0)</f>
        <v>46194</v>
      </c>
      <c r="O1357" s="56">
        <f>VLOOKUP(_stats[[#This Row],[tournament]],tournaments_n_rules[],5,0)</f>
        <v>46265</v>
      </c>
    </row>
    <row r="1358" spans="1:15" x14ac:dyDescent="0.25">
      <c r="A1358" s="59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8">
        <v>7</v>
      </c>
      <c r="L1358" s="55" t="str">
        <f>VLOOKUP(_stats[[#This Row],[tournament]],tournaments_n_rules[],2,0)</f>
        <v>УПК</v>
      </c>
      <c r="M1358" s="55" t="str">
        <f>VLOOKUP(_stats[[#This Row],[tournament]],tournaments_n_rules[],3,0)</f>
        <v>Лето 2026</v>
      </c>
      <c r="N1358" s="56">
        <f>VLOOKUP(_stats[[#This Row],[tournament]],tournaments_n_rules[],4,0)</f>
        <v>46194</v>
      </c>
      <c r="O1358" s="56">
        <f>VLOOKUP(_stats[[#This Row],[tournament]],tournaments_n_rules[],5,0)</f>
        <v>46265</v>
      </c>
    </row>
    <row r="1359" spans="1:15" x14ac:dyDescent="0.25">
      <c r="A1359" s="59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8">
        <v>7</v>
      </c>
      <c r="L1359" s="55" t="str">
        <f>VLOOKUP(_stats[[#This Row],[tournament]],tournaments_n_rules[],2,0)</f>
        <v>УПК</v>
      </c>
      <c r="M1359" s="55" t="str">
        <f>VLOOKUP(_stats[[#This Row],[tournament]],tournaments_n_rules[],3,0)</f>
        <v>Лето 2026</v>
      </c>
      <c r="N1359" s="56">
        <f>VLOOKUP(_stats[[#This Row],[tournament]],tournaments_n_rules[],4,0)</f>
        <v>46194</v>
      </c>
      <c r="O1359" s="56">
        <f>VLOOKUP(_stats[[#This Row],[tournament]],tournaments_n_rules[],5,0)</f>
        <v>46265</v>
      </c>
    </row>
    <row r="1360" spans="1:15" x14ac:dyDescent="0.25">
      <c r="A1360" s="59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8">
        <v>7</v>
      </c>
      <c r="L1360" s="55" t="str">
        <f>VLOOKUP(_stats[[#This Row],[tournament]],tournaments_n_rules[],2,0)</f>
        <v>УПК</v>
      </c>
      <c r="M1360" s="55" t="str">
        <f>VLOOKUP(_stats[[#This Row],[tournament]],tournaments_n_rules[],3,0)</f>
        <v>Лето 2026</v>
      </c>
      <c r="N1360" s="56">
        <f>VLOOKUP(_stats[[#This Row],[tournament]],tournaments_n_rules[],4,0)</f>
        <v>46194</v>
      </c>
      <c r="O1360" s="56">
        <f>VLOOKUP(_stats[[#This Row],[tournament]],tournaments_n_rules[],5,0)</f>
        <v>46265</v>
      </c>
    </row>
    <row r="1361" spans="1:15" x14ac:dyDescent="0.25">
      <c r="A1361" s="59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5" t="str">
        <f>VLOOKUP(_stats[[#This Row],[tournament]],tournaments_n_rules[],2,0)</f>
        <v>УПК</v>
      </c>
      <c r="M1361" s="55" t="str">
        <f>VLOOKUP(_stats[[#This Row],[tournament]],tournaments_n_rules[],3,0)</f>
        <v>Лето 2026</v>
      </c>
      <c r="N1361" s="56">
        <f>VLOOKUP(_stats[[#This Row],[tournament]],tournaments_n_rules[],4,0)</f>
        <v>46194</v>
      </c>
      <c r="O1361" s="56">
        <f>VLOOKUP(_stats[[#This Row],[tournament]],tournaments_n_rules[],5,0)</f>
        <v>46265</v>
      </c>
    </row>
    <row r="1362" spans="1:15" x14ac:dyDescent="0.25">
      <c r="A1362" s="59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5" t="str">
        <f>VLOOKUP(_stats[[#This Row],[tournament]],tournaments_n_rules[],2,0)</f>
        <v>УПК</v>
      </c>
      <c r="M1362" s="55" t="str">
        <f>VLOOKUP(_stats[[#This Row],[tournament]],tournaments_n_rules[],3,0)</f>
        <v>Лето 2026</v>
      </c>
      <c r="N1362" s="56">
        <f>VLOOKUP(_stats[[#This Row],[tournament]],tournaments_n_rules[],4,0)</f>
        <v>46194</v>
      </c>
      <c r="O1362" s="56">
        <f>VLOOKUP(_stats[[#This Row],[tournament]],tournaments_n_rules[],5,0)</f>
        <v>46265</v>
      </c>
    </row>
    <row r="1363" spans="1:15" x14ac:dyDescent="0.25">
      <c r="A1363" s="59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5" t="str">
        <f>VLOOKUP(_stats[[#This Row],[tournament]],tournaments_n_rules[],2,0)</f>
        <v>УПК</v>
      </c>
      <c r="M1363" s="55" t="str">
        <f>VLOOKUP(_stats[[#This Row],[tournament]],tournaments_n_rules[],3,0)</f>
        <v>Лето 2026</v>
      </c>
      <c r="N1363" s="56">
        <f>VLOOKUP(_stats[[#This Row],[tournament]],tournaments_n_rules[],4,0)</f>
        <v>46194</v>
      </c>
      <c r="O1363" s="56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60">
        <v>7</v>
      </c>
      <c r="L1364" s="55" t="str">
        <f>VLOOKUP(_stats[[#This Row],[tournament]],tournaments_n_rules[],2,0)</f>
        <v>УПК</v>
      </c>
      <c r="M1364" s="55" t="str">
        <f>VLOOKUP(_stats[[#This Row],[tournament]],tournaments_n_rules[],3,0)</f>
        <v>Лето 2026</v>
      </c>
      <c r="N1364" s="56">
        <f>VLOOKUP(_stats[[#This Row],[tournament]],tournaments_n_rules[],4,0)</f>
        <v>46194</v>
      </c>
      <c r="O1364" s="56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60">
        <v>7</v>
      </c>
      <c r="L1365" s="55" t="str">
        <f>VLOOKUP(_stats[[#This Row],[tournament]],tournaments_n_rules[],2,0)</f>
        <v>УПК</v>
      </c>
      <c r="M1365" s="55" t="str">
        <f>VLOOKUP(_stats[[#This Row],[tournament]],tournaments_n_rules[],3,0)</f>
        <v>Лето 2026</v>
      </c>
      <c r="N1365" s="56">
        <f>VLOOKUP(_stats[[#This Row],[tournament]],tournaments_n_rules[],4,0)</f>
        <v>46194</v>
      </c>
      <c r="O1365" s="56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60">
        <v>7</v>
      </c>
      <c r="L1366" s="55" t="str">
        <f>VLOOKUP(_stats[[#This Row],[tournament]],tournaments_n_rules[],2,0)</f>
        <v>УПК</v>
      </c>
      <c r="M1366" s="55" t="str">
        <f>VLOOKUP(_stats[[#This Row],[tournament]],tournaments_n_rules[],3,0)</f>
        <v>Лето 2026</v>
      </c>
      <c r="N1366" s="56">
        <f>VLOOKUP(_stats[[#This Row],[tournament]],tournaments_n_rules[],4,0)</f>
        <v>46194</v>
      </c>
      <c r="O1366" s="56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60">
        <v>7</v>
      </c>
      <c r="L1367" s="55" t="str">
        <f>VLOOKUP(_stats[[#This Row],[tournament]],tournaments_n_rules[],2,0)</f>
        <v>УПК</v>
      </c>
      <c r="M1367" s="55" t="str">
        <f>VLOOKUP(_stats[[#This Row],[tournament]],tournaments_n_rules[],3,0)</f>
        <v>Лето 2026</v>
      </c>
      <c r="N1367" s="56">
        <f>VLOOKUP(_stats[[#This Row],[tournament]],tournaments_n_rules[],4,0)</f>
        <v>46194</v>
      </c>
      <c r="O1367" s="56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60">
        <v>7</v>
      </c>
      <c r="L1368" s="55" t="str">
        <f>VLOOKUP(_stats[[#This Row],[tournament]],tournaments_n_rules[],2,0)</f>
        <v>УПК</v>
      </c>
      <c r="M1368" s="55" t="str">
        <f>VLOOKUP(_stats[[#This Row],[tournament]],tournaments_n_rules[],3,0)</f>
        <v>Лето 2026</v>
      </c>
      <c r="N1368" s="56">
        <f>VLOOKUP(_stats[[#This Row],[tournament]],tournaments_n_rules[],4,0)</f>
        <v>46194</v>
      </c>
      <c r="O1368" s="56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60">
        <v>7</v>
      </c>
      <c r="L1369" s="55" t="str">
        <f>VLOOKUP(_stats[[#This Row],[tournament]],tournaments_n_rules[],2,0)</f>
        <v>УПК</v>
      </c>
      <c r="M1369" s="55" t="str">
        <f>VLOOKUP(_stats[[#This Row],[tournament]],tournaments_n_rules[],3,0)</f>
        <v>Лето 2026</v>
      </c>
      <c r="N1369" s="56">
        <f>VLOOKUP(_stats[[#This Row],[tournament]],tournaments_n_rules[],4,0)</f>
        <v>46194</v>
      </c>
      <c r="O1369" s="56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60">
        <v>7</v>
      </c>
      <c r="L1370" s="55" t="str">
        <f>VLOOKUP(_stats[[#This Row],[tournament]],tournaments_n_rules[],2,0)</f>
        <v>УПК</v>
      </c>
      <c r="M1370" s="55" t="str">
        <f>VLOOKUP(_stats[[#This Row],[tournament]],tournaments_n_rules[],3,0)</f>
        <v>Лето 2026</v>
      </c>
      <c r="N1370" s="56">
        <f>VLOOKUP(_stats[[#This Row],[tournament]],tournaments_n_rules[],4,0)</f>
        <v>46194</v>
      </c>
      <c r="O1370" s="56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60">
        <v>7</v>
      </c>
      <c r="L1371" s="55" t="str">
        <f>VLOOKUP(_stats[[#This Row],[tournament]],tournaments_n_rules[],2,0)</f>
        <v>УПК</v>
      </c>
      <c r="M1371" s="55" t="str">
        <f>VLOOKUP(_stats[[#This Row],[tournament]],tournaments_n_rules[],3,0)</f>
        <v>Лето 2026</v>
      </c>
      <c r="N1371" s="56">
        <f>VLOOKUP(_stats[[#This Row],[tournament]],tournaments_n_rules[],4,0)</f>
        <v>46194</v>
      </c>
      <c r="O1371" s="56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60">
        <v>7</v>
      </c>
      <c r="L1372" s="55" t="str">
        <f>VLOOKUP(_stats[[#This Row],[tournament]],tournaments_n_rules[],2,0)</f>
        <v>УПК</v>
      </c>
      <c r="M1372" s="55" t="str">
        <f>VLOOKUP(_stats[[#This Row],[tournament]],tournaments_n_rules[],3,0)</f>
        <v>Лето 2026</v>
      </c>
      <c r="N1372" s="56">
        <f>VLOOKUP(_stats[[#This Row],[tournament]],tournaments_n_rules[],4,0)</f>
        <v>46194</v>
      </c>
      <c r="O1372" s="56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60">
        <v>7</v>
      </c>
      <c r="L1373" s="55" t="str">
        <f>VLOOKUP(_stats[[#This Row],[tournament]],tournaments_n_rules[],2,0)</f>
        <v>УПК</v>
      </c>
      <c r="M1373" s="55" t="str">
        <f>VLOOKUP(_stats[[#This Row],[tournament]],tournaments_n_rules[],3,0)</f>
        <v>Лето 2026</v>
      </c>
      <c r="N1373" s="56">
        <f>VLOOKUP(_stats[[#This Row],[tournament]],tournaments_n_rules[],4,0)</f>
        <v>46194</v>
      </c>
      <c r="O1373" s="56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60">
        <v>7</v>
      </c>
      <c r="L1374" s="55" t="str">
        <f>VLOOKUP(_stats[[#This Row],[tournament]],tournaments_n_rules[],2,0)</f>
        <v>УПК</v>
      </c>
      <c r="M1374" s="55" t="str">
        <f>VLOOKUP(_stats[[#This Row],[tournament]],tournaments_n_rules[],3,0)</f>
        <v>Лето 2026</v>
      </c>
      <c r="N1374" s="56">
        <f>VLOOKUP(_stats[[#This Row],[tournament]],tournaments_n_rules[],4,0)</f>
        <v>46194</v>
      </c>
      <c r="O1374" s="56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60">
        <v>7</v>
      </c>
      <c r="L1375" s="55" t="str">
        <f>VLOOKUP(_stats[[#This Row],[tournament]],tournaments_n_rules[],2,0)</f>
        <v>УПК</v>
      </c>
      <c r="M1375" s="55" t="str">
        <f>VLOOKUP(_stats[[#This Row],[tournament]],tournaments_n_rules[],3,0)</f>
        <v>Лето 2026</v>
      </c>
      <c r="N1375" s="56">
        <f>VLOOKUP(_stats[[#This Row],[tournament]],tournaments_n_rules[],4,0)</f>
        <v>46194</v>
      </c>
      <c r="O1375" s="56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60">
        <v>7</v>
      </c>
      <c r="L1376" s="55" t="str">
        <f>VLOOKUP(_stats[[#This Row],[tournament]],tournaments_n_rules[],2,0)</f>
        <v>УПК</v>
      </c>
      <c r="M1376" s="55" t="str">
        <f>VLOOKUP(_stats[[#This Row],[tournament]],tournaments_n_rules[],3,0)</f>
        <v>Лето 2026</v>
      </c>
      <c r="N1376" s="56">
        <f>VLOOKUP(_stats[[#This Row],[tournament]],tournaments_n_rules[],4,0)</f>
        <v>46194</v>
      </c>
      <c r="O1376" s="56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60">
        <v>7</v>
      </c>
      <c r="L1377" s="55" t="str">
        <f>VLOOKUP(_stats[[#This Row],[tournament]],tournaments_n_rules[],2,0)</f>
        <v>УПК</v>
      </c>
      <c r="M1377" s="55" t="str">
        <f>VLOOKUP(_stats[[#This Row],[tournament]],tournaments_n_rules[],3,0)</f>
        <v>Лето 2026</v>
      </c>
      <c r="N1377" s="56">
        <f>VLOOKUP(_stats[[#This Row],[tournament]],tournaments_n_rules[],4,0)</f>
        <v>46194</v>
      </c>
      <c r="O1377" s="56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60">
        <v>7</v>
      </c>
      <c r="L1378" s="55" t="str">
        <f>VLOOKUP(_stats[[#This Row],[tournament]],tournaments_n_rules[],2,0)</f>
        <v>УПК</v>
      </c>
      <c r="M1378" s="55" t="str">
        <f>VLOOKUP(_stats[[#This Row],[tournament]],tournaments_n_rules[],3,0)</f>
        <v>Лето 2026</v>
      </c>
      <c r="N1378" s="56">
        <f>VLOOKUP(_stats[[#This Row],[tournament]],tournaments_n_rules[],4,0)</f>
        <v>46194</v>
      </c>
      <c r="O1378" s="56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60">
        <v>7</v>
      </c>
      <c r="L1379" s="55" t="str">
        <f>VLOOKUP(_stats[[#This Row],[tournament]],tournaments_n_rules[],2,0)</f>
        <v>УПК</v>
      </c>
      <c r="M1379" s="55" t="str">
        <f>VLOOKUP(_stats[[#This Row],[tournament]],tournaments_n_rules[],3,0)</f>
        <v>Лето 2026</v>
      </c>
      <c r="N1379" s="56">
        <f>VLOOKUP(_stats[[#This Row],[tournament]],tournaments_n_rules[],4,0)</f>
        <v>46194</v>
      </c>
      <c r="O1379" s="56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60">
        <v>7</v>
      </c>
      <c r="L1380" s="55" t="str">
        <f>VLOOKUP(_stats[[#This Row],[tournament]],tournaments_n_rules[],2,0)</f>
        <v>УПК</v>
      </c>
      <c r="M1380" s="55" t="str">
        <f>VLOOKUP(_stats[[#This Row],[tournament]],tournaments_n_rules[],3,0)</f>
        <v>Лето 2026</v>
      </c>
      <c r="N1380" s="56">
        <f>VLOOKUP(_stats[[#This Row],[tournament]],tournaments_n_rules[],4,0)</f>
        <v>46194</v>
      </c>
      <c r="O1380" s="56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60">
        <v>7</v>
      </c>
      <c r="L1381" s="55" t="str">
        <f>VLOOKUP(_stats[[#This Row],[tournament]],tournaments_n_rules[],2,0)</f>
        <v>УПК</v>
      </c>
      <c r="M1381" s="55" t="str">
        <f>VLOOKUP(_stats[[#This Row],[tournament]],tournaments_n_rules[],3,0)</f>
        <v>Лето 2026</v>
      </c>
      <c r="N1381" s="56">
        <f>VLOOKUP(_stats[[#This Row],[tournament]],tournaments_n_rules[],4,0)</f>
        <v>46194</v>
      </c>
      <c r="O1381" s="56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60">
        <v>7</v>
      </c>
      <c r="L1382" s="55" t="str">
        <f>VLOOKUP(_stats[[#This Row],[tournament]],tournaments_n_rules[],2,0)</f>
        <v>УПК</v>
      </c>
      <c r="M1382" s="55" t="str">
        <f>VLOOKUP(_stats[[#This Row],[tournament]],tournaments_n_rules[],3,0)</f>
        <v>Лето 2026</v>
      </c>
      <c r="N1382" s="56">
        <f>VLOOKUP(_stats[[#This Row],[tournament]],tournaments_n_rules[],4,0)</f>
        <v>46194</v>
      </c>
      <c r="O1382" s="56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60">
        <v>7</v>
      </c>
      <c r="L1383" s="55" t="str">
        <f>VLOOKUP(_stats[[#This Row],[tournament]],tournaments_n_rules[],2,0)</f>
        <v>УПК</v>
      </c>
      <c r="M1383" s="55" t="str">
        <f>VLOOKUP(_stats[[#This Row],[tournament]],tournaments_n_rules[],3,0)</f>
        <v>Лето 2026</v>
      </c>
      <c r="N1383" s="56">
        <f>VLOOKUP(_stats[[#This Row],[tournament]],tournaments_n_rules[],4,0)</f>
        <v>46194</v>
      </c>
      <c r="O1383" s="56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60">
        <v>7</v>
      </c>
      <c r="L1384" s="55" t="str">
        <f>VLOOKUP(_stats[[#This Row],[tournament]],tournaments_n_rules[],2,0)</f>
        <v>УПК</v>
      </c>
      <c r="M1384" s="55" t="str">
        <f>VLOOKUP(_stats[[#This Row],[tournament]],tournaments_n_rules[],3,0)</f>
        <v>Лето 2026</v>
      </c>
      <c r="N1384" s="56">
        <f>VLOOKUP(_stats[[#This Row],[tournament]],tournaments_n_rules[],4,0)</f>
        <v>46194</v>
      </c>
      <c r="O1384" s="56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5" t="str">
        <f>VLOOKUP(_stats[[#This Row],[tournament]],tournaments_n_rules[],2,0)</f>
        <v>УПК</v>
      </c>
      <c r="M1385" s="55" t="str">
        <f>VLOOKUP(_stats[[#This Row],[tournament]],tournaments_n_rules[],3,0)</f>
        <v>Лето 2026</v>
      </c>
      <c r="N1385" s="56">
        <f>VLOOKUP(_stats[[#This Row],[tournament]],tournaments_n_rules[],4,0)</f>
        <v>46194</v>
      </c>
      <c r="O1385" s="56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5" t="str">
        <f>VLOOKUP(_stats[[#This Row],[tournament]],tournaments_n_rules[],2,0)</f>
        <v>УПК</v>
      </c>
      <c r="M1386" s="55" t="str">
        <f>VLOOKUP(_stats[[#This Row],[tournament]],tournaments_n_rules[],3,0)</f>
        <v>Лето 2026</v>
      </c>
      <c r="N1386" s="56">
        <f>VLOOKUP(_stats[[#This Row],[tournament]],tournaments_n_rules[],4,0)</f>
        <v>46194</v>
      </c>
      <c r="O1386" s="56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5" t="str">
        <f>VLOOKUP(_stats[[#This Row],[tournament]],tournaments_n_rules[],2,0)</f>
        <v>УПК</v>
      </c>
      <c r="M1387" s="55" t="str">
        <f>VLOOKUP(_stats[[#This Row],[tournament]],tournaments_n_rules[],3,0)</f>
        <v>Лето 2026</v>
      </c>
      <c r="N1387" s="56">
        <f>VLOOKUP(_stats[[#This Row],[tournament]],tournaments_n_rules[],4,0)</f>
        <v>46194</v>
      </c>
      <c r="O1387" s="56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5" t="str">
        <f>VLOOKUP(_stats[[#This Row],[tournament]],tournaments_n_rules[],2,0)</f>
        <v>УПК</v>
      </c>
      <c r="M1388" s="55" t="str">
        <f>VLOOKUP(_stats[[#This Row],[tournament]],tournaments_n_rules[],3,0)</f>
        <v>Лето 2026</v>
      </c>
      <c r="N1388" s="56">
        <f>VLOOKUP(_stats[[#This Row],[tournament]],tournaments_n_rules[],4,0)</f>
        <v>46194</v>
      </c>
      <c r="O1388" s="56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5" t="str">
        <f>VLOOKUP(_stats[[#This Row],[tournament]],tournaments_n_rules[],2,0)</f>
        <v>УПК</v>
      </c>
      <c r="M1389" s="55" t="str">
        <f>VLOOKUP(_stats[[#This Row],[tournament]],tournaments_n_rules[],3,0)</f>
        <v>Лето 2026</v>
      </c>
      <c r="N1389" s="56">
        <f>VLOOKUP(_stats[[#This Row],[tournament]],tournaments_n_rules[],4,0)</f>
        <v>46194</v>
      </c>
      <c r="O1389" s="56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5" t="str">
        <f>VLOOKUP(_stats[[#This Row],[tournament]],tournaments_n_rules[],2,0)</f>
        <v>УПК</v>
      </c>
      <c r="M1390" s="55" t="str">
        <f>VLOOKUP(_stats[[#This Row],[tournament]],tournaments_n_rules[],3,0)</f>
        <v>Лето 2026</v>
      </c>
      <c r="N1390" s="56">
        <f>VLOOKUP(_stats[[#This Row],[tournament]],tournaments_n_rules[],4,0)</f>
        <v>46194</v>
      </c>
      <c r="O1390" s="56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5" t="str">
        <f>VLOOKUP(_stats[[#This Row],[tournament]],tournaments_n_rules[],2,0)</f>
        <v>УПК</v>
      </c>
      <c r="M1391" s="55" t="str">
        <f>VLOOKUP(_stats[[#This Row],[tournament]],tournaments_n_rules[],3,0)</f>
        <v>Лето 2026</v>
      </c>
      <c r="N1391" s="56">
        <f>VLOOKUP(_stats[[#This Row],[tournament]],tournaments_n_rules[],4,0)</f>
        <v>46194</v>
      </c>
      <c r="O1391" s="56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5" t="str">
        <f>VLOOKUP(_stats[[#This Row],[tournament]],tournaments_n_rules[],2,0)</f>
        <v>УПК</v>
      </c>
      <c r="M1392" s="55" t="str">
        <f>VLOOKUP(_stats[[#This Row],[tournament]],tournaments_n_rules[],3,0)</f>
        <v>Лето 2026</v>
      </c>
      <c r="N1392" s="56">
        <f>VLOOKUP(_stats[[#This Row],[tournament]],tournaments_n_rules[],4,0)</f>
        <v>46194</v>
      </c>
      <c r="O1392" s="56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5" t="str">
        <f>VLOOKUP(_stats[[#This Row],[tournament]],tournaments_n_rules[],2,0)</f>
        <v>УПК</v>
      </c>
      <c r="M1393" s="55" t="str">
        <f>VLOOKUP(_stats[[#This Row],[tournament]],tournaments_n_rules[],3,0)</f>
        <v>Лето 2026</v>
      </c>
      <c r="N1393" s="56">
        <f>VLOOKUP(_stats[[#This Row],[tournament]],tournaments_n_rules[],4,0)</f>
        <v>46194</v>
      </c>
      <c r="O1393" s="56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5" t="str">
        <f>VLOOKUP(_stats[[#This Row],[tournament]],tournaments_n_rules[],2,0)</f>
        <v>УПК</v>
      </c>
      <c r="M1394" s="55" t="str">
        <f>VLOOKUP(_stats[[#This Row],[tournament]],tournaments_n_rules[],3,0)</f>
        <v>Лето 2026</v>
      </c>
      <c r="N1394" s="56">
        <f>VLOOKUP(_stats[[#This Row],[tournament]],tournaments_n_rules[],4,0)</f>
        <v>46194</v>
      </c>
      <c r="O1394" s="56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5" t="str">
        <f>VLOOKUP(_stats[[#This Row],[tournament]],tournaments_n_rules[],2,0)</f>
        <v>УПК</v>
      </c>
      <c r="M1395" s="55" t="str">
        <f>VLOOKUP(_stats[[#This Row],[tournament]],tournaments_n_rules[],3,0)</f>
        <v>Лето 2026</v>
      </c>
      <c r="N1395" s="56">
        <f>VLOOKUP(_stats[[#This Row],[tournament]],tournaments_n_rules[],4,0)</f>
        <v>46194</v>
      </c>
      <c r="O1395" s="56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5" t="str">
        <f>VLOOKUP(_stats[[#This Row],[tournament]],tournaments_n_rules[],2,0)</f>
        <v>УПК</v>
      </c>
      <c r="M1396" s="55" t="str">
        <f>VLOOKUP(_stats[[#This Row],[tournament]],tournaments_n_rules[],3,0)</f>
        <v>Лето 2026</v>
      </c>
      <c r="N1396" s="56">
        <f>VLOOKUP(_stats[[#This Row],[tournament]],tournaments_n_rules[],4,0)</f>
        <v>46194</v>
      </c>
      <c r="O1396" s="56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5" t="str">
        <f>VLOOKUP(_stats[[#This Row],[tournament]],tournaments_n_rules[],2,0)</f>
        <v>УПК</v>
      </c>
      <c r="M1397" s="55" t="str">
        <f>VLOOKUP(_stats[[#This Row],[tournament]],tournaments_n_rules[],3,0)</f>
        <v>Лето 2026</v>
      </c>
      <c r="N1397" s="56">
        <f>VLOOKUP(_stats[[#This Row],[tournament]],tournaments_n_rules[],4,0)</f>
        <v>46194</v>
      </c>
      <c r="O1397" s="56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5" t="str">
        <f>VLOOKUP(_stats[[#This Row],[tournament]],tournaments_n_rules[],2,0)</f>
        <v>УПК</v>
      </c>
      <c r="M1398" s="55" t="str">
        <f>VLOOKUP(_stats[[#This Row],[tournament]],tournaments_n_rules[],3,0)</f>
        <v>Лето 2026</v>
      </c>
      <c r="N1398" s="56">
        <f>VLOOKUP(_stats[[#This Row],[tournament]],tournaments_n_rules[],4,0)</f>
        <v>46194</v>
      </c>
      <c r="O1398" s="56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5" t="str">
        <f>VLOOKUP(_stats[[#This Row],[tournament]],tournaments_n_rules[],2,0)</f>
        <v>УПК</v>
      </c>
      <c r="M1399" s="55" t="str">
        <f>VLOOKUP(_stats[[#This Row],[tournament]],tournaments_n_rules[],3,0)</f>
        <v>Лето 2026</v>
      </c>
      <c r="N1399" s="56">
        <f>VLOOKUP(_stats[[#This Row],[tournament]],tournaments_n_rules[],4,0)</f>
        <v>46194</v>
      </c>
      <c r="O1399" s="56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5" t="str">
        <f>VLOOKUP(_stats[[#This Row],[tournament]],tournaments_n_rules[],2,0)</f>
        <v>УПК</v>
      </c>
      <c r="M1400" s="55" t="str">
        <f>VLOOKUP(_stats[[#This Row],[tournament]],tournaments_n_rules[],3,0)</f>
        <v>Лето 2026</v>
      </c>
      <c r="N1400" s="56">
        <f>VLOOKUP(_stats[[#This Row],[tournament]],tournaments_n_rules[],4,0)</f>
        <v>46194</v>
      </c>
      <c r="O1400" s="56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5" t="str">
        <f>VLOOKUP(_stats[[#This Row],[tournament]],tournaments_n_rules[],2,0)</f>
        <v>УПК</v>
      </c>
      <c r="M1401" s="55" t="str">
        <f>VLOOKUP(_stats[[#This Row],[tournament]],tournaments_n_rules[],3,0)</f>
        <v>Лето 2026</v>
      </c>
      <c r="N1401" s="56">
        <f>VLOOKUP(_stats[[#This Row],[tournament]],tournaments_n_rules[],4,0)</f>
        <v>46194</v>
      </c>
      <c r="O1401" s="56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5" t="str">
        <f>VLOOKUP(_stats[[#This Row],[tournament]],tournaments_n_rules[],2,0)</f>
        <v>УПК</v>
      </c>
      <c r="M1402" s="55" t="str">
        <f>VLOOKUP(_stats[[#This Row],[tournament]],tournaments_n_rules[],3,0)</f>
        <v>Лето 2026</v>
      </c>
      <c r="N1402" s="56">
        <f>VLOOKUP(_stats[[#This Row],[tournament]],tournaments_n_rules[],4,0)</f>
        <v>46194</v>
      </c>
      <c r="O1402" s="56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5" t="str">
        <f>VLOOKUP(_stats[[#This Row],[tournament]],tournaments_n_rules[],2,0)</f>
        <v>УПК</v>
      </c>
      <c r="M1403" s="55" t="str">
        <f>VLOOKUP(_stats[[#This Row],[tournament]],tournaments_n_rules[],3,0)</f>
        <v>Лето 2026</v>
      </c>
      <c r="N1403" s="56">
        <f>VLOOKUP(_stats[[#This Row],[tournament]],tournaments_n_rules[],4,0)</f>
        <v>46194</v>
      </c>
      <c r="O1403" s="56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5" t="str">
        <f>VLOOKUP(_stats[[#This Row],[tournament]],tournaments_n_rules[],2,0)</f>
        <v>УПК</v>
      </c>
      <c r="M1404" s="55" t="str">
        <f>VLOOKUP(_stats[[#This Row],[tournament]],tournaments_n_rules[],3,0)</f>
        <v>Лето 2026</v>
      </c>
      <c r="N1404" s="56">
        <f>VLOOKUP(_stats[[#This Row],[tournament]],tournaments_n_rules[],4,0)</f>
        <v>46194</v>
      </c>
      <c r="O1404" s="56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5" t="str">
        <f>VLOOKUP(_stats[[#This Row],[tournament]],tournaments_n_rules[],2,0)</f>
        <v>УПК</v>
      </c>
      <c r="M1405" s="55" t="str">
        <f>VLOOKUP(_stats[[#This Row],[tournament]],tournaments_n_rules[],3,0)</f>
        <v>Лето 2026</v>
      </c>
      <c r="N1405" s="56">
        <f>VLOOKUP(_stats[[#This Row],[tournament]],tournaments_n_rules[],4,0)</f>
        <v>46194</v>
      </c>
      <c r="O1405" s="56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5" t="str">
        <f>VLOOKUP(_stats[[#This Row],[tournament]],tournaments_n_rules[],2,0)</f>
        <v>УПК</v>
      </c>
      <c r="M1406" s="55" t="str">
        <f>VLOOKUP(_stats[[#This Row],[tournament]],tournaments_n_rules[],3,0)</f>
        <v>Лето 2026</v>
      </c>
      <c r="N1406" s="56">
        <f>VLOOKUP(_stats[[#This Row],[tournament]],tournaments_n_rules[],4,0)</f>
        <v>46194</v>
      </c>
      <c r="O1406" s="56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5" t="str">
        <f>VLOOKUP(_stats[[#This Row],[tournament]],tournaments_n_rules[],2,0)</f>
        <v>УПК</v>
      </c>
      <c r="M1407" s="55" t="str">
        <f>VLOOKUP(_stats[[#This Row],[tournament]],tournaments_n_rules[],3,0)</f>
        <v>Лето 2026</v>
      </c>
      <c r="N1407" s="56">
        <f>VLOOKUP(_stats[[#This Row],[tournament]],tournaments_n_rules[],4,0)</f>
        <v>46194</v>
      </c>
      <c r="O1407" s="56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5" t="str">
        <f>VLOOKUP(_stats[[#This Row],[tournament]],tournaments_n_rules[],2,0)</f>
        <v>УПК</v>
      </c>
      <c r="M1408" s="55" t="str">
        <f>VLOOKUP(_stats[[#This Row],[tournament]],tournaments_n_rules[],3,0)</f>
        <v>Лето 2026</v>
      </c>
      <c r="N1408" s="56">
        <f>VLOOKUP(_stats[[#This Row],[tournament]],tournaments_n_rules[],4,0)</f>
        <v>46194</v>
      </c>
      <c r="O1408" s="56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5" t="str">
        <f>VLOOKUP(_stats[[#This Row],[tournament]],tournaments_n_rules[],2,0)</f>
        <v>УПК</v>
      </c>
      <c r="M1409" s="55" t="str">
        <f>VLOOKUP(_stats[[#This Row],[tournament]],tournaments_n_rules[],3,0)</f>
        <v>Лето 2026</v>
      </c>
      <c r="N1409" s="56">
        <f>VLOOKUP(_stats[[#This Row],[tournament]],tournaments_n_rules[],4,0)</f>
        <v>46194</v>
      </c>
      <c r="O1409" s="56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5" t="str">
        <f>VLOOKUP(_stats[[#This Row],[tournament]],tournaments_n_rules[],2,0)</f>
        <v>УПК</v>
      </c>
      <c r="M1410" s="55" t="str">
        <f>VLOOKUP(_stats[[#This Row],[tournament]],tournaments_n_rules[],3,0)</f>
        <v>Лето 2026</v>
      </c>
      <c r="N1410" s="56">
        <f>VLOOKUP(_stats[[#This Row],[tournament]],tournaments_n_rules[],4,0)</f>
        <v>46194</v>
      </c>
      <c r="O1410" s="56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5" t="str">
        <f>VLOOKUP(_stats[[#This Row],[tournament]],tournaments_n_rules[],2,0)</f>
        <v>УПК</v>
      </c>
      <c r="M1411" s="55" t="str">
        <f>VLOOKUP(_stats[[#This Row],[tournament]],tournaments_n_rules[],3,0)</f>
        <v>Лето 2026</v>
      </c>
      <c r="N1411" s="56">
        <f>VLOOKUP(_stats[[#This Row],[tournament]],tournaments_n_rules[],4,0)</f>
        <v>46194</v>
      </c>
      <c r="O1411" s="56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5" t="str">
        <f>VLOOKUP(_stats[[#This Row],[tournament]],tournaments_n_rules[],2,0)</f>
        <v>УПК</v>
      </c>
      <c r="M1412" s="55" t="str">
        <f>VLOOKUP(_stats[[#This Row],[tournament]],tournaments_n_rules[],3,0)</f>
        <v>Лето 2026</v>
      </c>
      <c r="N1412" s="56">
        <f>VLOOKUP(_stats[[#This Row],[tournament]],tournaments_n_rules[],4,0)</f>
        <v>46194</v>
      </c>
      <c r="O1412" s="56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5" t="str">
        <f>VLOOKUP(_stats[[#This Row],[tournament]],tournaments_n_rules[],2,0)</f>
        <v>УПК</v>
      </c>
      <c r="M1413" s="55" t="str">
        <f>VLOOKUP(_stats[[#This Row],[tournament]],tournaments_n_rules[],3,0)</f>
        <v>Лето 2026</v>
      </c>
      <c r="N1413" s="56">
        <f>VLOOKUP(_stats[[#This Row],[tournament]],tournaments_n_rules[],4,0)</f>
        <v>46194</v>
      </c>
      <c r="O1413" s="56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5" t="str">
        <f>VLOOKUP(_stats[[#This Row],[tournament]],tournaments_n_rules[],2,0)</f>
        <v>УПК</v>
      </c>
      <c r="M1414" s="55" t="str">
        <f>VLOOKUP(_stats[[#This Row],[tournament]],tournaments_n_rules[],3,0)</f>
        <v>Лето 2026</v>
      </c>
      <c r="N1414" s="56">
        <f>VLOOKUP(_stats[[#This Row],[tournament]],tournaments_n_rules[],4,0)</f>
        <v>46194</v>
      </c>
      <c r="O1414" s="56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5" t="str">
        <f>VLOOKUP(_stats[[#This Row],[tournament]],tournaments_n_rules[],2,0)</f>
        <v>УПК</v>
      </c>
      <c r="M1415" s="55" t="str">
        <f>VLOOKUP(_stats[[#This Row],[tournament]],tournaments_n_rules[],3,0)</f>
        <v>Лето 2026</v>
      </c>
      <c r="N1415" s="56">
        <f>VLOOKUP(_stats[[#This Row],[tournament]],tournaments_n_rules[],4,0)</f>
        <v>46194</v>
      </c>
      <c r="O1415" s="56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5" t="str">
        <f>VLOOKUP(_stats[[#This Row],[tournament]],tournaments_n_rules[],2,0)</f>
        <v>УПК</v>
      </c>
      <c r="M1416" s="55" t="str">
        <f>VLOOKUP(_stats[[#This Row],[tournament]],tournaments_n_rules[],3,0)</f>
        <v>Лето 2026</v>
      </c>
      <c r="N1416" s="56">
        <f>VLOOKUP(_stats[[#This Row],[tournament]],tournaments_n_rules[],4,0)</f>
        <v>46194</v>
      </c>
      <c r="O1416" s="56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5" t="str">
        <f>VLOOKUP(_stats[[#This Row],[tournament]],tournaments_n_rules[],2,0)</f>
        <v>УПК</v>
      </c>
      <c r="M1417" s="55" t="str">
        <f>VLOOKUP(_stats[[#This Row],[tournament]],tournaments_n_rules[],3,0)</f>
        <v>Лето 2026</v>
      </c>
      <c r="N1417" s="56">
        <f>VLOOKUP(_stats[[#This Row],[tournament]],tournaments_n_rules[],4,0)</f>
        <v>46194</v>
      </c>
      <c r="O1417" s="56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5" t="str">
        <f>VLOOKUP(_stats[[#This Row],[tournament]],tournaments_n_rules[],2,0)</f>
        <v>УПК</v>
      </c>
      <c r="M1418" s="55" t="str">
        <f>VLOOKUP(_stats[[#This Row],[tournament]],tournaments_n_rules[],3,0)</f>
        <v>Лето 2026</v>
      </c>
      <c r="N1418" s="56">
        <f>VLOOKUP(_stats[[#This Row],[tournament]],tournaments_n_rules[],4,0)</f>
        <v>46194</v>
      </c>
      <c r="O1418" s="56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5" t="str">
        <f>VLOOKUP(_stats[[#This Row],[tournament]],tournaments_n_rules[],2,0)</f>
        <v>УПК</v>
      </c>
      <c r="M1419" s="55" t="str">
        <f>VLOOKUP(_stats[[#This Row],[tournament]],tournaments_n_rules[],3,0)</f>
        <v>Лето 2026</v>
      </c>
      <c r="N1419" s="56">
        <f>VLOOKUP(_stats[[#This Row],[tournament]],tournaments_n_rules[],4,0)</f>
        <v>46194</v>
      </c>
      <c r="O1419" s="56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5" t="str">
        <f>VLOOKUP(_stats[[#This Row],[tournament]],tournaments_n_rules[],2,0)</f>
        <v>УПК</v>
      </c>
      <c r="M1420" s="55" t="str">
        <f>VLOOKUP(_stats[[#This Row],[tournament]],tournaments_n_rules[],3,0)</f>
        <v>Лето 2026</v>
      </c>
      <c r="N1420" s="56">
        <f>VLOOKUP(_stats[[#This Row],[tournament]],tournaments_n_rules[],4,0)</f>
        <v>46194</v>
      </c>
      <c r="O1420" s="56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5" t="str">
        <f>VLOOKUP(_stats[[#This Row],[tournament]],tournaments_n_rules[],2,0)</f>
        <v>УПК</v>
      </c>
      <c r="M1421" s="55" t="str">
        <f>VLOOKUP(_stats[[#This Row],[tournament]],tournaments_n_rules[],3,0)</f>
        <v>Лето 2026</v>
      </c>
      <c r="N1421" s="56">
        <f>VLOOKUP(_stats[[#This Row],[tournament]],tournaments_n_rules[],4,0)</f>
        <v>46194</v>
      </c>
      <c r="O1421" s="56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5" t="str">
        <f>VLOOKUP(_stats[[#This Row],[tournament]],tournaments_n_rules[],2,0)</f>
        <v>УПК</v>
      </c>
      <c r="M1422" s="55" t="str">
        <f>VLOOKUP(_stats[[#This Row],[tournament]],tournaments_n_rules[],3,0)</f>
        <v>Лето 2026</v>
      </c>
      <c r="N1422" s="56">
        <f>VLOOKUP(_stats[[#This Row],[tournament]],tournaments_n_rules[],4,0)</f>
        <v>46194</v>
      </c>
      <c r="O1422" s="56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5" t="str">
        <f>VLOOKUP(_stats[[#This Row],[tournament]],tournaments_n_rules[],2,0)</f>
        <v>УПК</v>
      </c>
      <c r="M1423" s="55" t="str">
        <f>VLOOKUP(_stats[[#This Row],[tournament]],tournaments_n_rules[],3,0)</f>
        <v>Лето 2026</v>
      </c>
      <c r="N1423" s="56">
        <f>VLOOKUP(_stats[[#This Row],[tournament]],tournaments_n_rules[],4,0)</f>
        <v>46194</v>
      </c>
      <c r="O1423" s="56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5" t="str">
        <f>VLOOKUP(_stats[[#This Row],[tournament]],tournaments_n_rules[],2,0)</f>
        <v>УПК</v>
      </c>
      <c r="M1424" s="55" t="str">
        <f>VLOOKUP(_stats[[#This Row],[tournament]],tournaments_n_rules[],3,0)</f>
        <v>Лето 2026</v>
      </c>
      <c r="N1424" s="56">
        <f>VLOOKUP(_stats[[#This Row],[tournament]],tournaments_n_rules[],4,0)</f>
        <v>46194</v>
      </c>
      <c r="O1424" s="56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5" t="str">
        <f>VLOOKUP(_stats[[#This Row],[tournament]],tournaments_n_rules[],2,0)</f>
        <v>УПК</v>
      </c>
      <c r="M1425" s="55" t="str">
        <f>VLOOKUP(_stats[[#This Row],[tournament]],tournaments_n_rules[],3,0)</f>
        <v>Лето 2026</v>
      </c>
      <c r="N1425" s="56">
        <f>VLOOKUP(_stats[[#This Row],[tournament]],tournaments_n_rules[],4,0)</f>
        <v>46194</v>
      </c>
      <c r="O1425" s="56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5" t="str">
        <f>VLOOKUP(_stats[[#This Row],[tournament]],tournaments_n_rules[],2,0)</f>
        <v>УПК</v>
      </c>
      <c r="M1426" s="55" t="str">
        <f>VLOOKUP(_stats[[#This Row],[tournament]],tournaments_n_rules[],3,0)</f>
        <v>Лето 2026</v>
      </c>
      <c r="N1426" s="56">
        <f>VLOOKUP(_stats[[#This Row],[tournament]],tournaments_n_rules[],4,0)</f>
        <v>46194</v>
      </c>
      <c r="O1426" s="56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5" t="str">
        <f>VLOOKUP(_stats[[#This Row],[tournament]],tournaments_n_rules[],2,0)</f>
        <v>УПК</v>
      </c>
      <c r="M1427" s="55" t="str">
        <f>VLOOKUP(_stats[[#This Row],[tournament]],tournaments_n_rules[],3,0)</f>
        <v>Лето 2026</v>
      </c>
      <c r="N1427" s="56">
        <f>VLOOKUP(_stats[[#This Row],[tournament]],tournaments_n_rules[],4,0)</f>
        <v>46194</v>
      </c>
      <c r="O1427" s="56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5" t="str">
        <f>VLOOKUP(_stats[[#This Row],[tournament]],tournaments_n_rules[],2,0)</f>
        <v>УПК</v>
      </c>
      <c r="M1428" s="55" t="str">
        <f>VLOOKUP(_stats[[#This Row],[tournament]],tournaments_n_rules[],3,0)</f>
        <v>Лето 2026</v>
      </c>
      <c r="N1428" s="56">
        <f>VLOOKUP(_stats[[#This Row],[tournament]],tournaments_n_rules[],4,0)</f>
        <v>46194</v>
      </c>
      <c r="O1428" s="56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5" t="str">
        <f>VLOOKUP(_stats[[#This Row],[tournament]],tournaments_n_rules[],2,0)</f>
        <v>УПК</v>
      </c>
      <c r="M1429" s="55" t="str">
        <f>VLOOKUP(_stats[[#This Row],[tournament]],tournaments_n_rules[],3,0)</f>
        <v>Лето 2026</v>
      </c>
      <c r="N1429" s="56">
        <f>VLOOKUP(_stats[[#This Row],[tournament]],tournaments_n_rules[],4,0)</f>
        <v>46194</v>
      </c>
      <c r="O1429" s="56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5" t="str">
        <f>VLOOKUP(_stats[[#This Row],[tournament]],tournaments_n_rules[],2,0)</f>
        <v>УПК</v>
      </c>
      <c r="M1430" s="55" t="str">
        <f>VLOOKUP(_stats[[#This Row],[tournament]],tournaments_n_rules[],3,0)</f>
        <v>Лето 2026</v>
      </c>
      <c r="N1430" s="56">
        <f>VLOOKUP(_stats[[#This Row],[tournament]],tournaments_n_rules[],4,0)</f>
        <v>46194</v>
      </c>
      <c r="O1430" s="56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5" t="str">
        <f>VLOOKUP(_stats[[#This Row],[tournament]],tournaments_n_rules[],2,0)</f>
        <v>УПК</v>
      </c>
      <c r="M1431" s="55" t="str">
        <f>VLOOKUP(_stats[[#This Row],[tournament]],tournaments_n_rules[],3,0)</f>
        <v>Лето 2026</v>
      </c>
      <c r="N1431" s="56">
        <f>VLOOKUP(_stats[[#This Row],[tournament]],tournaments_n_rules[],4,0)</f>
        <v>46194</v>
      </c>
      <c r="O1431" s="56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5" t="str">
        <f>VLOOKUP(_stats[[#This Row],[tournament]],tournaments_n_rules[],2,0)</f>
        <v>УПК</v>
      </c>
      <c r="M1432" s="55" t="str">
        <f>VLOOKUP(_stats[[#This Row],[tournament]],tournaments_n_rules[],3,0)</f>
        <v>Лето 2026</v>
      </c>
      <c r="N1432" s="56">
        <f>VLOOKUP(_stats[[#This Row],[tournament]],tournaments_n_rules[],4,0)</f>
        <v>46194</v>
      </c>
      <c r="O1432" s="56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5" t="str">
        <f>VLOOKUP(_stats[[#This Row],[tournament]],tournaments_n_rules[],2,0)</f>
        <v>УПК</v>
      </c>
      <c r="M1433" s="55" t="str">
        <f>VLOOKUP(_stats[[#This Row],[tournament]],tournaments_n_rules[],3,0)</f>
        <v>Лето 2026</v>
      </c>
      <c r="N1433" s="56">
        <f>VLOOKUP(_stats[[#This Row],[tournament]],tournaments_n_rules[],4,0)</f>
        <v>46194</v>
      </c>
      <c r="O1433" s="56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5" t="str">
        <f>VLOOKUP(_stats[[#This Row],[tournament]],tournaments_n_rules[],2,0)</f>
        <v>УПК</v>
      </c>
      <c r="M1434" s="55" t="str">
        <f>VLOOKUP(_stats[[#This Row],[tournament]],tournaments_n_rules[],3,0)</f>
        <v>Лето 2026</v>
      </c>
      <c r="N1434" s="56">
        <f>VLOOKUP(_stats[[#This Row],[tournament]],tournaments_n_rules[],4,0)</f>
        <v>46194</v>
      </c>
      <c r="O1434" s="56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5" t="str">
        <f>VLOOKUP(_stats[[#This Row],[tournament]],tournaments_n_rules[],2,0)</f>
        <v>УПК</v>
      </c>
      <c r="M1435" s="55" t="str">
        <f>VLOOKUP(_stats[[#This Row],[tournament]],tournaments_n_rules[],3,0)</f>
        <v>Лето 2026</v>
      </c>
      <c r="N1435" s="56">
        <f>VLOOKUP(_stats[[#This Row],[tournament]],tournaments_n_rules[],4,0)</f>
        <v>46194</v>
      </c>
      <c r="O1435" s="56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5" t="str">
        <f>VLOOKUP(_stats[[#This Row],[tournament]],tournaments_n_rules[],2,0)</f>
        <v>УПК</v>
      </c>
      <c r="M1436" s="55" t="str">
        <f>VLOOKUP(_stats[[#This Row],[tournament]],tournaments_n_rules[],3,0)</f>
        <v>Лето 2026</v>
      </c>
      <c r="N1436" s="56">
        <f>VLOOKUP(_stats[[#This Row],[tournament]],tournaments_n_rules[],4,0)</f>
        <v>46194</v>
      </c>
      <c r="O1436" s="56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5" t="str">
        <f>VLOOKUP(_stats[[#This Row],[tournament]],tournaments_n_rules[],2,0)</f>
        <v>УПК</v>
      </c>
      <c r="M1437" s="55" t="str">
        <f>VLOOKUP(_stats[[#This Row],[tournament]],tournaments_n_rules[],3,0)</f>
        <v>Лето 2026</v>
      </c>
      <c r="N1437" s="56">
        <f>VLOOKUP(_stats[[#This Row],[tournament]],tournaments_n_rules[],4,0)</f>
        <v>46194</v>
      </c>
      <c r="O1437" s="56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5" t="str">
        <f>VLOOKUP(_stats[[#This Row],[tournament]],tournaments_n_rules[],2,0)</f>
        <v>УПК</v>
      </c>
      <c r="M1438" s="55" t="str">
        <f>VLOOKUP(_stats[[#This Row],[tournament]],tournaments_n_rules[],3,0)</f>
        <v>Лето 2026</v>
      </c>
      <c r="N1438" s="56">
        <f>VLOOKUP(_stats[[#This Row],[tournament]],tournaments_n_rules[],4,0)</f>
        <v>46194</v>
      </c>
      <c r="O1438" s="56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5" t="str">
        <f>VLOOKUP(_stats[[#This Row],[tournament]],tournaments_n_rules[],2,0)</f>
        <v>УПК</v>
      </c>
      <c r="M1439" s="55" t="str">
        <f>VLOOKUP(_stats[[#This Row],[tournament]],tournaments_n_rules[],3,0)</f>
        <v>Лето 2026</v>
      </c>
      <c r="N1439" s="56">
        <f>VLOOKUP(_stats[[#This Row],[tournament]],tournaments_n_rules[],4,0)</f>
        <v>46194</v>
      </c>
      <c r="O1439" s="56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5" t="str">
        <f>VLOOKUP(_stats[[#This Row],[tournament]],tournaments_n_rules[],2,0)</f>
        <v>УПК</v>
      </c>
      <c r="M1440" s="55" t="str">
        <f>VLOOKUP(_stats[[#This Row],[tournament]],tournaments_n_rules[],3,0)</f>
        <v>Лето 2026</v>
      </c>
      <c r="N1440" s="56">
        <f>VLOOKUP(_stats[[#This Row],[tournament]],tournaments_n_rules[],4,0)</f>
        <v>46194</v>
      </c>
      <c r="O1440" s="56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5" t="str">
        <f>VLOOKUP(_stats[[#This Row],[tournament]],tournaments_n_rules[],2,0)</f>
        <v>УПК</v>
      </c>
      <c r="M1441" s="55" t="str">
        <f>VLOOKUP(_stats[[#This Row],[tournament]],tournaments_n_rules[],3,0)</f>
        <v>Лето 2026</v>
      </c>
      <c r="N1441" s="56">
        <f>VLOOKUP(_stats[[#This Row],[tournament]],tournaments_n_rules[],4,0)</f>
        <v>46194</v>
      </c>
      <c r="O1441" s="56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5" t="str">
        <f>VLOOKUP(_stats[[#This Row],[tournament]],tournaments_n_rules[],2,0)</f>
        <v>УПК</v>
      </c>
      <c r="M1442" s="55" t="str">
        <f>VLOOKUP(_stats[[#This Row],[tournament]],tournaments_n_rules[],3,0)</f>
        <v>Лето 2026</v>
      </c>
      <c r="N1442" s="56">
        <f>VLOOKUP(_stats[[#This Row],[tournament]],tournaments_n_rules[],4,0)</f>
        <v>46194</v>
      </c>
      <c r="O1442" s="56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5" t="str">
        <f>VLOOKUP(_stats[[#This Row],[tournament]],tournaments_n_rules[],2,0)</f>
        <v>УПК</v>
      </c>
      <c r="M1443" s="55" t="str">
        <f>VLOOKUP(_stats[[#This Row],[tournament]],tournaments_n_rules[],3,0)</f>
        <v>Лето 2026</v>
      </c>
      <c r="N1443" s="56">
        <f>VLOOKUP(_stats[[#This Row],[tournament]],tournaments_n_rules[],4,0)</f>
        <v>46194</v>
      </c>
      <c r="O1443" s="56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5" t="str">
        <f>VLOOKUP(_stats[[#This Row],[tournament]],tournaments_n_rules[],2,0)</f>
        <v>УПК</v>
      </c>
      <c r="M1444" s="55" t="str">
        <f>VLOOKUP(_stats[[#This Row],[tournament]],tournaments_n_rules[],3,0)</f>
        <v>Лето 2026</v>
      </c>
      <c r="N1444" s="56">
        <f>VLOOKUP(_stats[[#This Row],[tournament]],tournaments_n_rules[],4,0)</f>
        <v>46194</v>
      </c>
      <c r="O1444" s="56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5" t="str">
        <f>VLOOKUP(_stats[[#This Row],[tournament]],tournaments_n_rules[],2,0)</f>
        <v>УПК</v>
      </c>
      <c r="M1445" s="55" t="str">
        <f>VLOOKUP(_stats[[#This Row],[tournament]],tournaments_n_rules[],3,0)</f>
        <v>Лето 2026</v>
      </c>
      <c r="N1445" s="56">
        <f>VLOOKUP(_stats[[#This Row],[tournament]],tournaments_n_rules[],4,0)</f>
        <v>46194</v>
      </c>
      <c r="O1445" s="56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5" t="str">
        <f>VLOOKUP(_stats[[#This Row],[tournament]],tournaments_n_rules[],2,0)</f>
        <v>УПК</v>
      </c>
      <c r="M1446" s="55" t="str">
        <f>VLOOKUP(_stats[[#This Row],[tournament]],tournaments_n_rules[],3,0)</f>
        <v>Лето 2026</v>
      </c>
      <c r="N1446" s="56">
        <f>VLOOKUP(_stats[[#This Row],[tournament]],tournaments_n_rules[],4,0)</f>
        <v>46194</v>
      </c>
      <c r="O1446" s="56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5" t="str">
        <f>VLOOKUP(_stats[[#This Row],[tournament]],tournaments_n_rules[],2,0)</f>
        <v>УПК</v>
      </c>
      <c r="M1447" s="55" t="str">
        <f>VLOOKUP(_stats[[#This Row],[tournament]],tournaments_n_rules[],3,0)</f>
        <v>Лето 2026</v>
      </c>
      <c r="N1447" s="56">
        <f>VLOOKUP(_stats[[#This Row],[tournament]],tournaments_n_rules[],4,0)</f>
        <v>46194</v>
      </c>
      <c r="O1447" s="56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5" t="str">
        <f>VLOOKUP(_stats[[#This Row],[tournament]],tournaments_n_rules[],2,0)</f>
        <v>УПК</v>
      </c>
      <c r="M1448" s="55" t="str">
        <f>VLOOKUP(_stats[[#This Row],[tournament]],tournaments_n_rules[],3,0)</f>
        <v>Лето 2026</v>
      </c>
      <c r="N1448" s="56">
        <f>VLOOKUP(_stats[[#This Row],[tournament]],tournaments_n_rules[],4,0)</f>
        <v>46194</v>
      </c>
      <c r="O1448" s="56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5" t="str">
        <f>VLOOKUP(_stats[[#This Row],[tournament]],tournaments_n_rules[],2,0)</f>
        <v>УПК</v>
      </c>
      <c r="M1449" s="55" t="str">
        <f>VLOOKUP(_stats[[#This Row],[tournament]],tournaments_n_rules[],3,0)</f>
        <v>Лето 2026</v>
      </c>
      <c r="N1449" s="56">
        <f>VLOOKUP(_stats[[#This Row],[tournament]],tournaments_n_rules[],4,0)</f>
        <v>46194</v>
      </c>
      <c r="O1449" s="56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5" t="str">
        <f>VLOOKUP(_stats[[#This Row],[tournament]],tournaments_n_rules[],2,0)</f>
        <v>УПК</v>
      </c>
      <c r="M1450" s="55" t="str">
        <f>VLOOKUP(_stats[[#This Row],[tournament]],tournaments_n_rules[],3,0)</f>
        <v>Лето 2026</v>
      </c>
      <c r="N1450" s="56">
        <f>VLOOKUP(_stats[[#This Row],[tournament]],tournaments_n_rules[],4,0)</f>
        <v>46194</v>
      </c>
      <c r="O1450" s="56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5" t="str">
        <f>VLOOKUP(_stats[[#This Row],[tournament]],tournaments_n_rules[],2,0)</f>
        <v>УПК</v>
      </c>
      <c r="M1451" s="55" t="str">
        <f>VLOOKUP(_stats[[#This Row],[tournament]],tournaments_n_rules[],3,0)</f>
        <v>Лето 2026</v>
      </c>
      <c r="N1451" s="56">
        <f>VLOOKUP(_stats[[#This Row],[tournament]],tournaments_n_rules[],4,0)</f>
        <v>46194</v>
      </c>
      <c r="O1451" s="56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5" t="str">
        <f>VLOOKUP(_stats[[#This Row],[tournament]],tournaments_n_rules[],2,0)</f>
        <v>УПК</v>
      </c>
      <c r="M1452" s="55" t="str">
        <f>VLOOKUP(_stats[[#This Row],[tournament]],tournaments_n_rules[],3,0)</f>
        <v>Лето 2026</v>
      </c>
      <c r="N1452" s="56">
        <f>VLOOKUP(_stats[[#This Row],[tournament]],tournaments_n_rules[],4,0)</f>
        <v>46194</v>
      </c>
      <c r="O1452" s="56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5" t="str">
        <f>VLOOKUP(_stats[[#This Row],[tournament]],tournaments_n_rules[],2,0)</f>
        <v>УПК</v>
      </c>
      <c r="M1453" s="55" t="str">
        <f>VLOOKUP(_stats[[#This Row],[tournament]],tournaments_n_rules[],3,0)</f>
        <v>Лето 2026</v>
      </c>
      <c r="N1453" s="56">
        <f>VLOOKUP(_stats[[#This Row],[tournament]],tournaments_n_rules[],4,0)</f>
        <v>46194</v>
      </c>
      <c r="O1453" s="56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5" t="str">
        <f>VLOOKUP(_stats[[#This Row],[tournament]],tournaments_n_rules[],2,0)</f>
        <v>УПК</v>
      </c>
      <c r="M1454" s="55" t="str">
        <f>VLOOKUP(_stats[[#This Row],[tournament]],tournaments_n_rules[],3,0)</f>
        <v>Лето 2026</v>
      </c>
      <c r="N1454" s="56">
        <f>VLOOKUP(_stats[[#This Row],[tournament]],tournaments_n_rules[],4,0)</f>
        <v>46194</v>
      </c>
      <c r="O1454" s="56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5" t="str">
        <f>VLOOKUP(_stats[[#This Row],[tournament]],tournaments_n_rules[],2,0)</f>
        <v>УПК</v>
      </c>
      <c r="M1455" s="55" t="str">
        <f>VLOOKUP(_stats[[#This Row],[tournament]],tournaments_n_rules[],3,0)</f>
        <v>Лето 2026</v>
      </c>
      <c r="N1455" s="56">
        <f>VLOOKUP(_stats[[#This Row],[tournament]],tournaments_n_rules[],4,0)</f>
        <v>46194</v>
      </c>
      <c r="O1455" s="56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5" t="str">
        <f>VLOOKUP(_stats[[#This Row],[tournament]],tournaments_n_rules[],2,0)</f>
        <v>УПК</v>
      </c>
      <c r="M1456" s="55" t="str">
        <f>VLOOKUP(_stats[[#This Row],[tournament]],tournaments_n_rules[],3,0)</f>
        <v>Лето 2026</v>
      </c>
      <c r="N1456" s="56">
        <f>VLOOKUP(_stats[[#This Row],[tournament]],tournaments_n_rules[],4,0)</f>
        <v>46194</v>
      </c>
      <c r="O1456" s="56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5" t="str">
        <f>VLOOKUP(_stats[[#This Row],[tournament]],tournaments_n_rules[],2,0)</f>
        <v>УПК</v>
      </c>
      <c r="M1457" s="55" t="str">
        <f>VLOOKUP(_stats[[#This Row],[tournament]],tournaments_n_rules[],3,0)</f>
        <v>Лето 2026</v>
      </c>
      <c r="N1457" s="56">
        <f>VLOOKUP(_stats[[#This Row],[tournament]],tournaments_n_rules[],4,0)</f>
        <v>46194</v>
      </c>
      <c r="O1457" s="56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5" t="str">
        <f>VLOOKUP(_stats[[#This Row],[tournament]],tournaments_n_rules[],2,0)</f>
        <v>УПК</v>
      </c>
      <c r="M1458" s="55" t="str">
        <f>VLOOKUP(_stats[[#This Row],[tournament]],tournaments_n_rules[],3,0)</f>
        <v>Лето 2026</v>
      </c>
      <c r="N1458" s="56">
        <f>VLOOKUP(_stats[[#This Row],[tournament]],tournaments_n_rules[],4,0)</f>
        <v>46194</v>
      </c>
      <c r="O1458" s="56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5" t="str">
        <f>VLOOKUP(_stats[[#This Row],[tournament]],tournaments_n_rules[],2,0)</f>
        <v>УПК</v>
      </c>
      <c r="M1459" s="55" t="str">
        <f>VLOOKUP(_stats[[#This Row],[tournament]],tournaments_n_rules[],3,0)</f>
        <v>Лето 2026</v>
      </c>
      <c r="N1459" s="56">
        <f>VLOOKUP(_stats[[#This Row],[tournament]],tournaments_n_rules[],4,0)</f>
        <v>46194</v>
      </c>
      <c r="O1459" s="56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5" t="str">
        <f>VLOOKUP(_stats[[#This Row],[tournament]],tournaments_n_rules[],2,0)</f>
        <v>УПК</v>
      </c>
      <c r="M1460" s="55" t="str">
        <f>VLOOKUP(_stats[[#This Row],[tournament]],tournaments_n_rules[],3,0)</f>
        <v>Лето 2026</v>
      </c>
      <c r="N1460" s="56">
        <f>VLOOKUP(_stats[[#This Row],[tournament]],tournaments_n_rules[],4,0)</f>
        <v>46194</v>
      </c>
      <c r="O1460" s="56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5" t="str">
        <f>VLOOKUP(_stats[[#This Row],[tournament]],tournaments_n_rules[],2,0)</f>
        <v>УПК</v>
      </c>
      <c r="M1461" s="55" t="str">
        <f>VLOOKUP(_stats[[#This Row],[tournament]],tournaments_n_rules[],3,0)</f>
        <v>Лето 2026</v>
      </c>
      <c r="N1461" s="56">
        <f>VLOOKUP(_stats[[#This Row],[tournament]],tournaments_n_rules[],4,0)</f>
        <v>46194</v>
      </c>
      <c r="O1461" s="56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5" t="str">
        <f>VLOOKUP(_stats[[#This Row],[tournament]],tournaments_n_rules[],2,0)</f>
        <v>УПК</v>
      </c>
      <c r="M1462" s="55" t="str">
        <f>VLOOKUP(_stats[[#This Row],[tournament]],tournaments_n_rules[],3,0)</f>
        <v>Лето 2026</v>
      </c>
      <c r="N1462" s="56">
        <f>VLOOKUP(_stats[[#This Row],[tournament]],tournaments_n_rules[],4,0)</f>
        <v>46194</v>
      </c>
      <c r="O1462" s="56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5" t="str">
        <f>VLOOKUP(_stats[[#This Row],[tournament]],tournaments_n_rules[],2,0)</f>
        <v>УПК</v>
      </c>
      <c r="M1463" s="55" t="str">
        <f>VLOOKUP(_stats[[#This Row],[tournament]],tournaments_n_rules[],3,0)</f>
        <v>Лето 2026</v>
      </c>
      <c r="N1463" s="56">
        <f>VLOOKUP(_stats[[#This Row],[tournament]],tournaments_n_rules[],4,0)</f>
        <v>46194</v>
      </c>
      <c r="O1463" s="56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5" t="str">
        <f>VLOOKUP(_stats[[#This Row],[tournament]],tournaments_n_rules[],2,0)</f>
        <v>УПК</v>
      </c>
      <c r="M1464" s="55" t="str">
        <f>VLOOKUP(_stats[[#This Row],[tournament]],tournaments_n_rules[],3,0)</f>
        <v>Лето 2026</v>
      </c>
      <c r="N1464" s="56">
        <f>VLOOKUP(_stats[[#This Row],[tournament]],tournaments_n_rules[],4,0)</f>
        <v>46194</v>
      </c>
      <c r="O1464" s="56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5" t="str">
        <f>VLOOKUP(_stats[[#This Row],[tournament]],tournaments_n_rules[],2,0)</f>
        <v>УПК</v>
      </c>
      <c r="M1465" s="55" t="str">
        <f>VLOOKUP(_stats[[#This Row],[tournament]],tournaments_n_rules[],3,0)</f>
        <v>Лето 2026</v>
      </c>
      <c r="N1465" s="56">
        <f>VLOOKUP(_stats[[#This Row],[tournament]],tournaments_n_rules[],4,0)</f>
        <v>46194</v>
      </c>
      <c r="O1465" s="56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5" t="str">
        <f>VLOOKUP(_stats[[#This Row],[tournament]],tournaments_n_rules[],2,0)</f>
        <v>УПК</v>
      </c>
      <c r="M1466" s="55" t="str">
        <f>VLOOKUP(_stats[[#This Row],[tournament]],tournaments_n_rules[],3,0)</f>
        <v>Лето 2026</v>
      </c>
      <c r="N1466" s="56">
        <f>VLOOKUP(_stats[[#This Row],[tournament]],tournaments_n_rules[],4,0)</f>
        <v>46194</v>
      </c>
      <c r="O1466" s="56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5" t="str">
        <f>VLOOKUP(_stats[[#This Row],[tournament]],tournaments_n_rules[],2,0)</f>
        <v>УПК</v>
      </c>
      <c r="M1467" s="55" t="str">
        <f>VLOOKUP(_stats[[#This Row],[tournament]],tournaments_n_rules[],3,0)</f>
        <v>Лето 2026</v>
      </c>
      <c r="N1467" s="56">
        <f>VLOOKUP(_stats[[#This Row],[tournament]],tournaments_n_rules[],4,0)</f>
        <v>46194</v>
      </c>
      <c r="O1467" s="56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5" t="str">
        <f>VLOOKUP(_stats[[#This Row],[tournament]],tournaments_n_rules[],2,0)</f>
        <v>УПК</v>
      </c>
      <c r="M1468" s="55" t="str">
        <f>VLOOKUP(_stats[[#This Row],[tournament]],tournaments_n_rules[],3,0)</f>
        <v>Лето 2026</v>
      </c>
      <c r="N1468" s="56">
        <f>VLOOKUP(_stats[[#This Row],[tournament]],tournaments_n_rules[],4,0)</f>
        <v>46194</v>
      </c>
      <c r="O1468" s="56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5" t="str">
        <f>VLOOKUP(_stats[[#This Row],[tournament]],tournaments_n_rules[],2,0)</f>
        <v>УПК</v>
      </c>
      <c r="M1469" s="55" t="str">
        <f>VLOOKUP(_stats[[#This Row],[tournament]],tournaments_n_rules[],3,0)</f>
        <v>Лето 2026</v>
      </c>
      <c r="N1469" s="56">
        <f>VLOOKUP(_stats[[#This Row],[tournament]],tournaments_n_rules[],4,0)</f>
        <v>46194</v>
      </c>
      <c r="O1469" s="56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5" t="str">
        <f>VLOOKUP(_stats[[#This Row],[tournament]],tournaments_n_rules[],2,0)</f>
        <v>УПК</v>
      </c>
      <c r="M1470" s="55" t="str">
        <f>VLOOKUP(_stats[[#This Row],[tournament]],tournaments_n_rules[],3,0)</f>
        <v>Лето 2026</v>
      </c>
      <c r="N1470" s="56">
        <f>VLOOKUP(_stats[[#This Row],[tournament]],tournaments_n_rules[],4,0)</f>
        <v>46194</v>
      </c>
      <c r="O1470" s="56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5" t="str">
        <f>VLOOKUP(_stats[[#This Row],[tournament]],tournaments_n_rules[],2,0)</f>
        <v>УПК</v>
      </c>
      <c r="M1471" s="55" t="str">
        <f>VLOOKUP(_stats[[#This Row],[tournament]],tournaments_n_rules[],3,0)</f>
        <v>Лето 2026</v>
      </c>
      <c r="N1471" s="56">
        <f>VLOOKUP(_stats[[#This Row],[tournament]],tournaments_n_rules[],4,0)</f>
        <v>46194</v>
      </c>
      <c r="O1471" s="56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5" t="str">
        <f>VLOOKUP(_stats[[#This Row],[tournament]],tournaments_n_rules[],2,0)</f>
        <v>УПК</v>
      </c>
      <c r="M1472" s="55" t="str">
        <f>VLOOKUP(_stats[[#This Row],[tournament]],tournaments_n_rules[],3,0)</f>
        <v>Лето 2026</v>
      </c>
      <c r="N1472" s="56">
        <f>VLOOKUP(_stats[[#This Row],[tournament]],tournaments_n_rules[],4,0)</f>
        <v>46194</v>
      </c>
      <c r="O1472" s="56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5" t="str">
        <f>VLOOKUP(_stats[[#This Row],[tournament]],tournaments_n_rules[],2,0)</f>
        <v>УПК</v>
      </c>
      <c r="M1473" s="55" t="str">
        <f>VLOOKUP(_stats[[#This Row],[tournament]],tournaments_n_rules[],3,0)</f>
        <v>Лето 2026</v>
      </c>
      <c r="N1473" s="56">
        <f>VLOOKUP(_stats[[#This Row],[tournament]],tournaments_n_rules[],4,0)</f>
        <v>46194</v>
      </c>
      <c r="O1473" s="56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5" t="str">
        <f>VLOOKUP(_stats[[#This Row],[tournament]],tournaments_n_rules[],2,0)</f>
        <v>УПК</v>
      </c>
      <c r="M1474" s="55" t="str">
        <f>VLOOKUP(_stats[[#This Row],[tournament]],tournaments_n_rules[],3,0)</f>
        <v>Лето 2026</v>
      </c>
      <c r="N1474" s="56">
        <f>VLOOKUP(_stats[[#This Row],[tournament]],tournaments_n_rules[],4,0)</f>
        <v>46194</v>
      </c>
      <c r="O1474" s="56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5" t="str">
        <f>VLOOKUP(_stats[[#This Row],[tournament]],tournaments_n_rules[],2,0)</f>
        <v>УПК</v>
      </c>
      <c r="M1475" s="55" t="str">
        <f>VLOOKUP(_stats[[#This Row],[tournament]],tournaments_n_rules[],3,0)</f>
        <v>Лето 2026</v>
      </c>
      <c r="N1475" s="56">
        <f>VLOOKUP(_stats[[#This Row],[tournament]],tournaments_n_rules[],4,0)</f>
        <v>46194</v>
      </c>
      <c r="O1475" s="56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5" t="str">
        <f>VLOOKUP(_stats[[#This Row],[tournament]],tournaments_n_rules[],2,0)</f>
        <v>УПК</v>
      </c>
      <c r="M1476" s="55" t="str">
        <f>VLOOKUP(_stats[[#This Row],[tournament]],tournaments_n_rules[],3,0)</f>
        <v>Лето 2026</v>
      </c>
      <c r="N1476" s="56">
        <f>VLOOKUP(_stats[[#This Row],[tournament]],tournaments_n_rules[],4,0)</f>
        <v>46194</v>
      </c>
      <c r="O1476" s="56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5" t="str">
        <f>VLOOKUP(_stats[[#This Row],[tournament]],tournaments_n_rules[],2,0)</f>
        <v>УПК</v>
      </c>
      <c r="M1477" s="55" t="str">
        <f>VLOOKUP(_stats[[#This Row],[tournament]],tournaments_n_rules[],3,0)</f>
        <v>Лето 2026</v>
      </c>
      <c r="N1477" s="56">
        <f>VLOOKUP(_stats[[#This Row],[tournament]],tournaments_n_rules[],4,0)</f>
        <v>46194</v>
      </c>
      <c r="O1477" s="56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5" t="str">
        <f>VLOOKUP(_stats[[#This Row],[tournament]],tournaments_n_rules[],2,0)</f>
        <v>УПК</v>
      </c>
      <c r="M1478" s="55" t="str">
        <f>VLOOKUP(_stats[[#This Row],[tournament]],tournaments_n_rules[],3,0)</f>
        <v>Лето 2026</v>
      </c>
      <c r="N1478" s="56">
        <f>VLOOKUP(_stats[[#This Row],[tournament]],tournaments_n_rules[],4,0)</f>
        <v>46194</v>
      </c>
      <c r="O1478" s="56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5" t="str">
        <f>VLOOKUP(_stats[[#This Row],[tournament]],tournaments_n_rules[],2,0)</f>
        <v>УПК</v>
      </c>
      <c r="M1479" s="55" t="str">
        <f>VLOOKUP(_stats[[#This Row],[tournament]],tournaments_n_rules[],3,0)</f>
        <v>Лето 2026</v>
      </c>
      <c r="N1479" s="56">
        <f>VLOOKUP(_stats[[#This Row],[tournament]],tournaments_n_rules[],4,0)</f>
        <v>46194</v>
      </c>
      <c r="O1479" s="56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5" t="str">
        <f>VLOOKUP(_stats[[#This Row],[tournament]],tournaments_n_rules[],2,0)</f>
        <v>УПК</v>
      </c>
      <c r="M1480" s="55" t="str">
        <f>VLOOKUP(_stats[[#This Row],[tournament]],tournaments_n_rules[],3,0)</f>
        <v>Лето 2026</v>
      </c>
      <c r="N1480" s="56">
        <f>VLOOKUP(_stats[[#This Row],[tournament]],tournaments_n_rules[],4,0)</f>
        <v>46194</v>
      </c>
      <c r="O1480" s="56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5" t="str">
        <f>VLOOKUP(_stats[[#This Row],[tournament]],tournaments_n_rules[],2,0)</f>
        <v>УПК</v>
      </c>
      <c r="M1481" s="55" t="str">
        <f>VLOOKUP(_stats[[#This Row],[tournament]],tournaments_n_rules[],3,0)</f>
        <v>Лето 2026</v>
      </c>
      <c r="N1481" s="56">
        <f>VLOOKUP(_stats[[#This Row],[tournament]],tournaments_n_rules[],4,0)</f>
        <v>46194</v>
      </c>
      <c r="O1481" s="56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5" t="str">
        <f>VLOOKUP(_stats[[#This Row],[tournament]],tournaments_n_rules[],2,0)</f>
        <v>УПК</v>
      </c>
      <c r="M1482" s="55" t="str">
        <f>VLOOKUP(_stats[[#This Row],[tournament]],tournaments_n_rules[],3,0)</f>
        <v>Лето 2026</v>
      </c>
      <c r="N1482" s="56">
        <f>VLOOKUP(_stats[[#This Row],[tournament]],tournaments_n_rules[],4,0)</f>
        <v>46194</v>
      </c>
      <c r="O1482" s="56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5" t="str">
        <f>VLOOKUP(_stats[[#This Row],[tournament]],tournaments_n_rules[],2,0)</f>
        <v>УПК</v>
      </c>
      <c r="M1483" s="55" t="str">
        <f>VLOOKUP(_stats[[#This Row],[tournament]],tournaments_n_rules[],3,0)</f>
        <v>Лето 2026</v>
      </c>
      <c r="N1483" s="56">
        <f>VLOOKUP(_stats[[#This Row],[tournament]],tournaments_n_rules[],4,0)</f>
        <v>46194</v>
      </c>
      <c r="O1483" s="56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5" t="str">
        <f>VLOOKUP(_stats[[#This Row],[tournament]],tournaments_n_rules[],2,0)</f>
        <v>УПК</v>
      </c>
      <c r="M1484" s="55" t="str">
        <f>VLOOKUP(_stats[[#This Row],[tournament]],tournaments_n_rules[],3,0)</f>
        <v>Лето 2026</v>
      </c>
      <c r="N1484" s="56">
        <f>VLOOKUP(_stats[[#This Row],[tournament]],tournaments_n_rules[],4,0)</f>
        <v>46194</v>
      </c>
      <c r="O1484" s="56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5" t="str">
        <f>VLOOKUP(_stats[[#This Row],[tournament]],tournaments_n_rules[],2,0)</f>
        <v>УПК</v>
      </c>
      <c r="M1485" s="55" t="str">
        <f>VLOOKUP(_stats[[#This Row],[tournament]],tournaments_n_rules[],3,0)</f>
        <v>Лето 2026</v>
      </c>
      <c r="N1485" s="56">
        <f>VLOOKUP(_stats[[#This Row],[tournament]],tournaments_n_rules[],4,0)</f>
        <v>46194</v>
      </c>
      <c r="O1485" s="56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5" t="str">
        <f>VLOOKUP(_stats[[#This Row],[tournament]],tournaments_n_rules[],2,0)</f>
        <v>УПК</v>
      </c>
      <c r="M1486" s="55" t="str">
        <f>VLOOKUP(_stats[[#This Row],[tournament]],tournaments_n_rules[],3,0)</f>
        <v>Лето 2026</v>
      </c>
      <c r="N1486" s="56">
        <f>VLOOKUP(_stats[[#This Row],[tournament]],tournaments_n_rules[],4,0)</f>
        <v>46194</v>
      </c>
      <c r="O1486" s="56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5" t="str">
        <f>VLOOKUP(_stats[[#This Row],[tournament]],tournaments_n_rules[],2,0)</f>
        <v>УПК</v>
      </c>
      <c r="M1487" s="55" t="str">
        <f>VLOOKUP(_stats[[#This Row],[tournament]],tournaments_n_rules[],3,0)</f>
        <v>Лето 2026</v>
      </c>
      <c r="N1487" s="56">
        <f>VLOOKUP(_stats[[#This Row],[tournament]],tournaments_n_rules[],4,0)</f>
        <v>46194</v>
      </c>
      <c r="O1487" s="56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5" t="str">
        <f>VLOOKUP(_stats[[#This Row],[tournament]],tournaments_n_rules[],2,0)</f>
        <v>УПК</v>
      </c>
      <c r="M1488" s="55" t="str">
        <f>VLOOKUP(_stats[[#This Row],[tournament]],tournaments_n_rules[],3,0)</f>
        <v>Лето 2026</v>
      </c>
      <c r="N1488" s="56">
        <f>VLOOKUP(_stats[[#This Row],[tournament]],tournaments_n_rules[],4,0)</f>
        <v>46194</v>
      </c>
      <c r="O1488" s="56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5" t="str">
        <f>VLOOKUP(_stats[[#This Row],[tournament]],tournaments_n_rules[],2,0)</f>
        <v>УПК</v>
      </c>
      <c r="M1489" s="55" t="str">
        <f>VLOOKUP(_stats[[#This Row],[tournament]],tournaments_n_rules[],3,0)</f>
        <v>Лето 2026</v>
      </c>
      <c r="N1489" s="56">
        <f>VLOOKUP(_stats[[#This Row],[tournament]],tournaments_n_rules[],4,0)</f>
        <v>46194</v>
      </c>
      <c r="O1489" s="56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5" t="str">
        <f>VLOOKUP(_stats[[#This Row],[tournament]],tournaments_n_rules[],2,0)</f>
        <v>УПК</v>
      </c>
      <c r="M1490" s="55" t="str">
        <f>VLOOKUP(_stats[[#This Row],[tournament]],tournaments_n_rules[],3,0)</f>
        <v>Лето 2026</v>
      </c>
      <c r="N1490" s="56">
        <f>VLOOKUP(_stats[[#This Row],[tournament]],tournaments_n_rules[],4,0)</f>
        <v>46194</v>
      </c>
      <c r="O1490" s="56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5" t="str">
        <f>VLOOKUP(_stats[[#This Row],[tournament]],tournaments_n_rules[],2,0)</f>
        <v>УПК</v>
      </c>
      <c r="M1491" s="55" t="str">
        <f>VLOOKUP(_stats[[#This Row],[tournament]],tournaments_n_rules[],3,0)</f>
        <v>Лето 2026</v>
      </c>
      <c r="N1491" s="56">
        <f>VLOOKUP(_stats[[#This Row],[tournament]],tournaments_n_rules[],4,0)</f>
        <v>46194</v>
      </c>
      <c r="O1491" s="56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5" t="str">
        <f>VLOOKUP(_stats[[#This Row],[tournament]],tournaments_n_rules[],2,0)</f>
        <v>УПК</v>
      </c>
      <c r="M1492" s="55" t="str">
        <f>VLOOKUP(_stats[[#This Row],[tournament]],tournaments_n_rules[],3,0)</f>
        <v>Лето 2026</v>
      </c>
      <c r="N1492" s="56">
        <f>VLOOKUP(_stats[[#This Row],[tournament]],tournaments_n_rules[],4,0)</f>
        <v>46194</v>
      </c>
      <c r="O1492" s="56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5" t="str">
        <f>VLOOKUP(_stats[[#This Row],[tournament]],tournaments_n_rules[],2,0)</f>
        <v>УПК</v>
      </c>
      <c r="M1493" s="55" t="str">
        <f>VLOOKUP(_stats[[#This Row],[tournament]],tournaments_n_rules[],3,0)</f>
        <v>Лето 2026</v>
      </c>
      <c r="N1493" s="56">
        <f>VLOOKUP(_stats[[#This Row],[tournament]],tournaments_n_rules[],4,0)</f>
        <v>46194</v>
      </c>
      <c r="O1493" s="56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5" t="str">
        <f>VLOOKUP(_stats[[#This Row],[tournament]],tournaments_n_rules[],2,0)</f>
        <v>УПК</v>
      </c>
      <c r="M1494" s="55" t="str">
        <f>VLOOKUP(_stats[[#This Row],[tournament]],tournaments_n_rules[],3,0)</f>
        <v>Лето 2026</v>
      </c>
      <c r="N1494" s="56">
        <f>VLOOKUP(_stats[[#This Row],[tournament]],tournaments_n_rules[],4,0)</f>
        <v>46194</v>
      </c>
      <c r="O1494" s="56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5" t="str">
        <f>VLOOKUP(_stats[[#This Row],[tournament]],tournaments_n_rules[],2,0)</f>
        <v>УПК</v>
      </c>
      <c r="M1495" s="55" t="str">
        <f>VLOOKUP(_stats[[#This Row],[tournament]],tournaments_n_rules[],3,0)</f>
        <v>Лето 2026</v>
      </c>
      <c r="N1495" s="56">
        <f>VLOOKUP(_stats[[#This Row],[tournament]],tournaments_n_rules[],4,0)</f>
        <v>46194</v>
      </c>
      <c r="O1495" s="56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5" t="str">
        <f>VLOOKUP(_stats[[#This Row],[tournament]],tournaments_n_rules[],2,0)</f>
        <v>УПК</v>
      </c>
      <c r="M1496" s="55" t="str">
        <f>VLOOKUP(_stats[[#This Row],[tournament]],tournaments_n_rules[],3,0)</f>
        <v>Лето 2026</v>
      </c>
      <c r="N1496" s="56">
        <f>VLOOKUP(_stats[[#This Row],[tournament]],tournaments_n_rules[],4,0)</f>
        <v>46194</v>
      </c>
      <c r="O1496" s="56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5" t="str">
        <f>VLOOKUP(_stats[[#This Row],[tournament]],tournaments_n_rules[],2,0)</f>
        <v>УПК</v>
      </c>
      <c r="M1497" s="55" t="str">
        <f>VLOOKUP(_stats[[#This Row],[tournament]],tournaments_n_rules[],3,0)</f>
        <v>Лето 2026</v>
      </c>
      <c r="N1497" s="56">
        <f>VLOOKUP(_stats[[#This Row],[tournament]],tournaments_n_rules[],4,0)</f>
        <v>46194</v>
      </c>
      <c r="O1497" s="56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5" t="str">
        <f>VLOOKUP(_stats[[#This Row],[tournament]],tournaments_n_rules[],2,0)</f>
        <v>УПК</v>
      </c>
      <c r="M1498" s="55" t="str">
        <f>VLOOKUP(_stats[[#This Row],[tournament]],tournaments_n_rules[],3,0)</f>
        <v>Лето 2026</v>
      </c>
      <c r="N1498" s="56">
        <f>VLOOKUP(_stats[[#This Row],[tournament]],tournaments_n_rules[],4,0)</f>
        <v>46194</v>
      </c>
      <c r="O1498" s="56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5" t="str">
        <f>VLOOKUP(_stats[[#This Row],[tournament]],tournaments_n_rules[],2,0)</f>
        <v>УПК</v>
      </c>
      <c r="M1499" s="55" t="str">
        <f>VLOOKUP(_stats[[#This Row],[tournament]],tournaments_n_rules[],3,0)</f>
        <v>Лето 2026</v>
      </c>
      <c r="N1499" s="56">
        <f>VLOOKUP(_stats[[#This Row],[tournament]],tournaments_n_rules[],4,0)</f>
        <v>46194</v>
      </c>
      <c r="O1499" s="56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5" t="str">
        <f>VLOOKUP(_stats[[#This Row],[tournament]],tournaments_n_rules[],2,0)</f>
        <v>УПК</v>
      </c>
      <c r="M1500" s="55" t="str">
        <f>VLOOKUP(_stats[[#This Row],[tournament]],tournaments_n_rules[],3,0)</f>
        <v>Лето 2026</v>
      </c>
      <c r="N1500" s="56">
        <f>VLOOKUP(_stats[[#This Row],[tournament]],tournaments_n_rules[],4,0)</f>
        <v>46194</v>
      </c>
      <c r="O1500" s="56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5" t="str">
        <f>VLOOKUP(_stats[[#This Row],[tournament]],tournaments_n_rules[],2,0)</f>
        <v>УПК</v>
      </c>
      <c r="M1501" s="55" t="str">
        <f>VLOOKUP(_stats[[#This Row],[tournament]],tournaments_n_rules[],3,0)</f>
        <v>Лето 2026</v>
      </c>
      <c r="N1501" s="56">
        <f>VLOOKUP(_stats[[#This Row],[tournament]],tournaments_n_rules[],4,0)</f>
        <v>46194</v>
      </c>
      <c r="O1501" s="56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5" t="str">
        <f>VLOOKUP(_stats[[#This Row],[tournament]],tournaments_n_rules[],2,0)</f>
        <v>УПК</v>
      </c>
      <c r="M1502" s="55" t="str">
        <f>VLOOKUP(_stats[[#This Row],[tournament]],tournaments_n_rules[],3,0)</f>
        <v>Лето 2026</v>
      </c>
      <c r="N1502" s="56">
        <f>VLOOKUP(_stats[[#This Row],[tournament]],tournaments_n_rules[],4,0)</f>
        <v>46194</v>
      </c>
      <c r="O1502" s="56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5" t="str">
        <f>VLOOKUP(_stats[[#This Row],[tournament]],tournaments_n_rules[],2,0)</f>
        <v>УПК</v>
      </c>
      <c r="M1503" s="55" t="str">
        <f>VLOOKUP(_stats[[#This Row],[tournament]],tournaments_n_rules[],3,0)</f>
        <v>Лето 2026</v>
      </c>
      <c r="N1503" s="56">
        <f>VLOOKUP(_stats[[#This Row],[tournament]],tournaments_n_rules[],4,0)</f>
        <v>46194</v>
      </c>
      <c r="O1503" s="56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5" t="str">
        <f>VLOOKUP(_stats[[#This Row],[tournament]],tournaments_n_rules[],2,0)</f>
        <v>УПК</v>
      </c>
      <c r="M1504" s="55" t="str">
        <f>VLOOKUP(_stats[[#This Row],[tournament]],tournaments_n_rules[],3,0)</f>
        <v>Лето 2026</v>
      </c>
      <c r="N1504" s="56">
        <f>VLOOKUP(_stats[[#This Row],[tournament]],tournaments_n_rules[],4,0)</f>
        <v>46194</v>
      </c>
      <c r="O1504" s="56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5" t="str">
        <f>VLOOKUP(_stats[[#This Row],[tournament]],tournaments_n_rules[],2,0)</f>
        <v>УПК</v>
      </c>
      <c r="M1505" s="55" t="str">
        <f>VLOOKUP(_stats[[#This Row],[tournament]],tournaments_n_rules[],3,0)</f>
        <v>Лето 2026</v>
      </c>
      <c r="N1505" s="56">
        <f>VLOOKUP(_stats[[#This Row],[tournament]],tournaments_n_rules[],4,0)</f>
        <v>46194</v>
      </c>
      <c r="O1505" s="56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5" t="str">
        <f>VLOOKUP(_stats[[#This Row],[tournament]],tournaments_n_rules[],2,0)</f>
        <v>УПК</v>
      </c>
      <c r="M1506" s="55" t="str">
        <f>VLOOKUP(_stats[[#This Row],[tournament]],tournaments_n_rules[],3,0)</f>
        <v>Лето 2026</v>
      </c>
      <c r="N1506" s="56">
        <f>VLOOKUP(_stats[[#This Row],[tournament]],tournaments_n_rules[],4,0)</f>
        <v>46194</v>
      </c>
      <c r="O1506" s="56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5" t="str">
        <f>VLOOKUP(_stats[[#This Row],[tournament]],tournaments_n_rules[],2,0)</f>
        <v>УПК</v>
      </c>
      <c r="M1507" s="55" t="str">
        <f>VLOOKUP(_stats[[#This Row],[tournament]],tournaments_n_rules[],3,0)</f>
        <v>Лето 2026</v>
      </c>
      <c r="N1507" s="56">
        <f>VLOOKUP(_stats[[#This Row],[tournament]],tournaments_n_rules[],4,0)</f>
        <v>46194</v>
      </c>
      <c r="O1507" s="56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0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5" t="str">
        <f>VLOOKUP(_stats[[#This Row],[tournament]],tournaments_n_rules[],2,0)</f>
        <v>УПК</v>
      </c>
      <c r="M1508" s="55" t="str">
        <f>VLOOKUP(_stats[[#This Row],[tournament]],tournaments_n_rules[],3,0)</f>
        <v>Лето 2026</v>
      </c>
      <c r="N1508" s="56">
        <f>VLOOKUP(_stats[[#This Row],[tournament]],tournaments_n_rules[],4,0)</f>
        <v>46194</v>
      </c>
      <c r="O1508" s="56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5" t="str">
        <f>VLOOKUP(_stats[[#This Row],[tournament]],tournaments_n_rules[],2,0)</f>
        <v>УПК</v>
      </c>
      <c r="M1509" s="55" t="str">
        <f>VLOOKUP(_stats[[#This Row],[tournament]],tournaments_n_rules[],3,0)</f>
        <v>Лето 2026</v>
      </c>
      <c r="N1509" s="56">
        <f>VLOOKUP(_stats[[#This Row],[tournament]],tournaments_n_rules[],4,0)</f>
        <v>46194</v>
      </c>
      <c r="O1509" s="56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5" t="str">
        <f>VLOOKUP(_stats[[#This Row],[tournament]],tournaments_n_rules[],2,0)</f>
        <v>УПК</v>
      </c>
      <c r="M1510" s="55" t="str">
        <f>VLOOKUP(_stats[[#This Row],[tournament]],tournaments_n_rules[],3,0)</f>
        <v>Лето 2026</v>
      </c>
      <c r="N1510" s="56">
        <f>VLOOKUP(_stats[[#This Row],[tournament]],tournaments_n_rules[],4,0)</f>
        <v>46194</v>
      </c>
      <c r="O1510" s="56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5" t="str">
        <f>VLOOKUP(_stats[[#This Row],[tournament]],tournaments_n_rules[],2,0)</f>
        <v>УПК</v>
      </c>
      <c r="M1511" s="55" t="str">
        <f>VLOOKUP(_stats[[#This Row],[tournament]],tournaments_n_rules[],3,0)</f>
        <v>Лето 2026</v>
      </c>
      <c r="N1511" s="56">
        <f>VLOOKUP(_stats[[#This Row],[tournament]],tournaments_n_rules[],4,0)</f>
        <v>46194</v>
      </c>
      <c r="O1511" s="56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5" t="str">
        <f>VLOOKUP(_stats[[#This Row],[tournament]],tournaments_n_rules[],2,0)</f>
        <v>УПК</v>
      </c>
      <c r="M1512" s="55" t="str">
        <f>VLOOKUP(_stats[[#This Row],[tournament]],tournaments_n_rules[],3,0)</f>
        <v>Лето 2026</v>
      </c>
      <c r="N1512" s="56">
        <f>VLOOKUP(_stats[[#This Row],[tournament]],tournaments_n_rules[],4,0)</f>
        <v>46194</v>
      </c>
      <c r="O1512" s="56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5" t="str">
        <f>VLOOKUP(_stats[[#This Row],[tournament]],tournaments_n_rules[],2,0)</f>
        <v>УПК</v>
      </c>
      <c r="M1513" s="55" t="str">
        <f>VLOOKUP(_stats[[#This Row],[tournament]],tournaments_n_rules[],3,0)</f>
        <v>Лето 2026</v>
      </c>
      <c r="N1513" s="56">
        <f>VLOOKUP(_stats[[#This Row],[tournament]],tournaments_n_rules[],4,0)</f>
        <v>46194</v>
      </c>
      <c r="O1513" s="56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5" t="str">
        <f>VLOOKUP(_stats[[#This Row],[tournament]],tournaments_n_rules[],2,0)</f>
        <v>УПК</v>
      </c>
      <c r="M1514" s="55" t="str">
        <f>VLOOKUP(_stats[[#This Row],[tournament]],tournaments_n_rules[],3,0)</f>
        <v>Лето 2026</v>
      </c>
      <c r="N1514" s="56">
        <f>VLOOKUP(_stats[[#This Row],[tournament]],tournaments_n_rules[],4,0)</f>
        <v>46194</v>
      </c>
      <c r="O1514" s="56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5" t="str">
        <f>VLOOKUP(_stats[[#This Row],[tournament]],tournaments_n_rules[],2,0)</f>
        <v>УПК</v>
      </c>
      <c r="M1515" s="55" t="str">
        <f>VLOOKUP(_stats[[#This Row],[tournament]],tournaments_n_rules[],3,0)</f>
        <v>Лето 2026</v>
      </c>
      <c r="N1515" s="56">
        <f>VLOOKUP(_stats[[#This Row],[tournament]],tournaments_n_rules[],4,0)</f>
        <v>46194</v>
      </c>
      <c r="O1515" s="56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5" t="str">
        <f>VLOOKUP(_stats[[#This Row],[tournament]],tournaments_n_rules[],2,0)</f>
        <v>УПК</v>
      </c>
      <c r="M1516" s="55" t="str">
        <f>VLOOKUP(_stats[[#This Row],[tournament]],tournaments_n_rules[],3,0)</f>
        <v>Лето 2026</v>
      </c>
      <c r="N1516" s="56">
        <f>VLOOKUP(_stats[[#This Row],[tournament]],tournaments_n_rules[],4,0)</f>
        <v>46194</v>
      </c>
      <c r="O1516" s="56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5" t="str">
        <f>VLOOKUP(_stats[[#This Row],[tournament]],tournaments_n_rules[],2,0)</f>
        <v>УПК</v>
      </c>
      <c r="M1517" s="55" t="str">
        <f>VLOOKUP(_stats[[#This Row],[tournament]],tournaments_n_rules[],3,0)</f>
        <v>Лето 2026</v>
      </c>
      <c r="N1517" s="56">
        <f>VLOOKUP(_stats[[#This Row],[tournament]],tournaments_n_rules[],4,0)</f>
        <v>46194</v>
      </c>
      <c r="O1517" s="56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5" t="str">
        <f>VLOOKUP(_stats[[#This Row],[tournament]],tournaments_n_rules[],2,0)</f>
        <v>УПК</v>
      </c>
      <c r="M1518" s="55" t="str">
        <f>VLOOKUP(_stats[[#This Row],[tournament]],tournaments_n_rules[],3,0)</f>
        <v>Лето 2026</v>
      </c>
      <c r="N1518" s="56">
        <f>VLOOKUP(_stats[[#This Row],[tournament]],tournaments_n_rules[],4,0)</f>
        <v>46194</v>
      </c>
      <c r="O1518" s="56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5" t="str">
        <f>VLOOKUP(_stats[[#This Row],[tournament]],tournaments_n_rules[],2,0)</f>
        <v>УПК</v>
      </c>
      <c r="M1519" s="55" t="str">
        <f>VLOOKUP(_stats[[#This Row],[tournament]],tournaments_n_rules[],3,0)</f>
        <v>Лето 2026</v>
      </c>
      <c r="N1519" s="56">
        <f>VLOOKUP(_stats[[#This Row],[tournament]],tournaments_n_rules[],4,0)</f>
        <v>46194</v>
      </c>
      <c r="O1519" s="56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5" t="str">
        <f>VLOOKUP(_stats[[#This Row],[tournament]],tournaments_n_rules[],2,0)</f>
        <v>УПК</v>
      </c>
      <c r="M1520" s="55" t="str">
        <f>VLOOKUP(_stats[[#This Row],[tournament]],tournaments_n_rules[],3,0)</f>
        <v>Лето 2026</v>
      </c>
      <c r="N1520" s="56">
        <f>VLOOKUP(_stats[[#This Row],[tournament]],tournaments_n_rules[],4,0)</f>
        <v>46194</v>
      </c>
      <c r="O1520" s="56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5" t="str">
        <f>VLOOKUP(_stats[[#This Row],[tournament]],tournaments_n_rules[],2,0)</f>
        <v>УПК</v>
      </c>
      <c r="M1521" s="55" t="str">
        <f>VLOOKUP(_stats[[#This Row],[tournament]],tournaments_n_rules[],3,0)</f>
        <v>Лето 2026</v>
      </c>
      <c r="N1521" s="56">
        <f>VLOOKUP(_stats[[#This Row],[tournament]],tournaments_n_rules[],4,0)</f>
        <v>46194</v>
      </c>
      <c r="O1521" s="56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5" t="str">
        <f>VLOOKUP(_stats[[#This Row],[tournament]],tournaments_n_rules[],2,0)</f>
        <v>УПК</v>
      </c>
      <c r="M1522" s="55" t="str">
        <f>VLOOKUP(_stats[[#This Row],[tournament]],tournaments_n_rules[],3,0)</f>
        <v>Лето 2026</v>
      </c>
      <c r="N1522" s="56">
        <f>VLOOKUP(_stats[[#This Row],[tournament]],tournaments_n_rules[],4,0)</f>
        <v>46194</v>
      </c>
      <c r="O1522" s="56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5" t="str">
        <f>VLOOKUP(_stats[[#This Row],[tournament]],tournaments_n_rules[],2,0)</f>
        <v>УПК</v>
      </c>
      <c r="M1523" s="55" t="str">
        <f>VLOOKUP(_stats[[#This Row],[tournament]],tournaments_n_rules[],3,0)</f>
        <v>Лето 2026</v>
      </c>
      <c r="N1523" s="56">
        <f>VLOOKUP(_stats[[#This Row],[tournament]],tournaments_n_rules[],4,0)</f>
        <v>46194</v>
      </c>
      <c r="O1523" s="56">
        <f>VLOOKUP(_stats[[#This Row],[tournament]],tournaments_n_rules[],5,0)</f>
        <v>46265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12"/>
  <sheetViews>
    <sheetView workbookViewId="0"/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8" customWidth="1"/>
    <col min="9" max="9" width="27.42578125" style="48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9" t="s">
        <v>197</v>
      </c>
      <c r="G1" s="49" t="s">
        <v>198</v>
      </c>
      <c r="H1" s="50" t="s">
        <v>199</v>
      </c>
      <c r="I1" s="50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51" t="str">
        <f>VLOOKUP(_teams[[#This Row],[tournament]],tournaments_n_rules[],2,0)</f>
        <v>Барышиха</v>
      </c>
      <c r="G2" s="51" t="str">
        <f>VLOOKUP(_teams[[#This Row],[tournament]],tournaments_n_rules[],3,0)</f>
        <v>Весна 2025</v>
      </c>
      <c r="H2" s="52">
        <f>VLOOKUP(_teams[[#This Row],[tournament]],tournaments_n_rules[],4,0)</f>
        <v>45717</v>
      </c>
      <c r="I2" s="52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51" t="str">
        <f>VLOOKUP(_teams[[#This Row],[tournament]],tournaments_n_rules[],2,0)</f>
        <v>Барышиха</v>
      </c>
      <c r="G3" s="51" t="str">
        <f>VLOOKUP(_teams[[#This Row],[tournament]],tournaments_n_rules[],3,0)</f>
        <v>Весна 2025</v>
      </c>
      <c r="H3" s="52">
        <f>VLOOKUP(_teams[[#This Row],[tournament]],tournaments_n_rules[],4,0)</f>
        <v>45717</v>
      </c>
      <c r="I3" s="52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51" t="str">
        <f>VLOOKUP(_teams[[#This Row],[tournament]],tournaments_n_rules[],2,0)</f>
        <v>Барышиха</v>
      </c>
      <c r="G4" s="51" t="str">
        <f>VLOOKUP(_teams[[#This Row],[tournament]],tournaments_n_rules[],3,0)</f>
        <v>Весна 2025</v>
      </c>
      <c r="H4" s="52">
        <f>VLOOKUP(_teams[[#This Row],[tournament]],tournaments_n_rules[],4,0)</f>
        <v>45717</v>
      </c>
      <c r="I4" s="52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51" t="str">
        <f>VLOOKUP(_teams[[#This Row],[tournament]],tournaments_n_rules[],2,0)</f>
        <v>Барышиха</v>
      </c>
      <c r="G5" s="51" t="str">
        <f>VLOOKUP(_teams[[#This Row],[tournament]],tournaments_n_rules[],3,0)</f>
        <v>Лето 2025</v>
      </c>
      <c r="H5" s="52">
        <f>VLOOKUP(_teams[[#This Row],[tournament]],tournaments_n_rules[],4,0)</f>
        <v>45809</v>
      </c>
      <c r="I5" s="52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51" t="str">
        <f>VLOOKUP(_teams[[#This Row],[tournament]],tournaments_n_rules[],2,0)</f>
        <v>Барышиха</v>
      </c>
      <c r="G6" s="51" t="str">
        <f>VLOOKUP(_teams[[#This Row],[tournament]],tournaments_n_rules[],3,0)</f>
        <v>Лето 2025</v>
      </c>
      <c r="H6" s="52">
        <f>VLOOKUP(_teams[[#This Row],[tournament]],tournaments_n_rules[],4,0)</f>
        <v>45809</v>
      </c>
      <c r="I6" s="52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51" t="str">
        <f>VLOOKUP(_teams[[#This Row],[tournament]],tournaments_n_rules[],2,0)</f>
        <v>Барышиха</v>
      </c>
      <c r="G7" s="51" t="str">
        <f>VLOOKUP(_teams[[#This Row],[tournament]],tournaments_n_rules[],3,0)</f>
        <v>Лето 2025</v>
      </c>
      <c r="H7" s="52">
        <f>VLOOKUP(_teams[[#This Row],[tournament]],tournaments_n_rules[],4,0)</f>
        <v>45809</v>
      </c>
      <c r="I7" s="52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51" t="str">
        <f>VLOOKUP(_teams[[#This Row],[tournament]],tournaments_n_rules[],2,0)</f>
        <v>Барышиха</v>
      </c>
      <c r="G8" s="51" t="str">
        <f>VLOOKUP(_teams[[#This Row],[tournament]],tournaments_n_rules[],3,0)</f>
        <v>Лето 2025</v>
      </c>
      <c r="H8" s="52">
        <f>VLOOKUP(_teams[[#This Row],[tournament]],tournaments_n_rules[],4,0)</f>
        <v>45809</v>
      </c>
      <c r="I8" s="52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51" t="str">
        <f>VLOOKUP(_teams[[#This Row],[tournament]],tournaments_n_rules[],2,0)</f>
        <v>Барышиха</v>
      </c>
      <c r="G9" s="51" t="str">
        <f>VLOOKUP(_teams[[#This Row],[tournament]],tournaments_n_rules[],3,0)</f>
        <v>Лето 2025</v>
      </c>
      <c r="H9" s="52">
        <f>VLOOKUP(_teams[[#This Row],[tournament]],tournaments_n_rules[],4,0)</f>
        <v>45809</v>
      </c>
      <c r="I9" s="52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51" t="str">
        <f>VLOOKUP(_teams[[#This Row],[tournament]],tournaments_n_rules[],2,0)</f>
        <v>Барышиха</v>
      </c>
      <c r="G10" s="51" t="str">
        <f>VLOOKUP(_teams[[#This Row],[tournament]],tournaments_n_rules[],3,0)</f>
        <v>Лето 2025</v>
      </c>
      <c r="H10" s="52">
        <f>VLOOKUP(_teams[[#This Row],[tournament]],tournaments_n_rules[],4,0)</f>
        <v>45809</v>
      </c>
      <c r="I10" s="52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51" t="str">
        <f>VLOOKUP(_teams[[#This Row],[tournament]],tournaments_n_rules[],2,0)</f>
        <v>Барышиха</v>
      </c>
      <c r="G11" s="51" t="str">
        <f>VLOOKUP(_teams[[#This Row],[tournament]],tournaments_n_rules[],3,0)</f>
        <v>Лето 2025</v>
      </c>
      <c r="H11" s="52">
        <f>VLOOKUP(_teams[[#This Row],[tournament]],tournaments_n_rules[],4,0)</f>
        <v>45809</v>
      </c>
      <c r="I11" s="52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51" t="str">
        <f>VLOOKUP(_teams[[#This Row],[tournament]],tournaments_n_rules[],2,0)</f>
        <v>Барышиха</v>
      </c>
      <c r="G12" s="51" t="str">
        <f>VLOOKUP(_teams[[#This Row],[tournament]],tournaments_n_rules[],3,0)</f>
        <v>Лето 2025</v>
      </c>
      <c r="H12" s="52">
        <f>VLOOKUP(_teams[[#This Row],[tournament]],tournaments_n_rules[],4,0)</f>
        <v>45809</v>
      </c>
      <c r="I12" s="52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51" t="str">
        <f>VLOOKUP(_teams[[#This Row],[tournament]],tournaments_n_rules[],2,0)</f>
        <v>Барышиха</v>
      </c>
      <c r="G13" s="51" t="str">
        <f>VLOOKUP(_teams[[#This Row],[tournament]],tournaments_n_rules[],3,0)</f>
        <v>Лето 2025</v>
      </c>
      <c r="H13" s="52">
        <f>VLOOKUP(_teams[[#This Row],[tournament]],tournaments_n_rules[],4,0)</f>
        <v>45809</v>
      </c>
      <c r="I13" s="52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51" t="str">
        <f>VLOOKUP(_teams[[#This Row],[tournament]],tournaments_n_rules[],2,0)</f>
        <v>Барышиха</v>
      </c>
      <c r="G14" s="51" t="str">
        <f>VLOOKUP(_teams[[#This Row],[tournament]],tournaments_n_rules[],3,0)</f>
        <v>Лето 2025</v>
      </c>
      <c r="H14" s="52">
        <f>VLOOKUP(_teams[[#This Row],[tournament]],tournaments_n_rules[],4,0)</f>
        <v>45809</v>
      </c>
      <c r="I14" s="52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51" t="str">
        <f>VLOOKUP(_teams[[#This Row],[tournament]],tournaments_n_rules[],2,0)</f>
        <v>Барышиха</v>
      </c>
      <c r="G15" s="51" t="str">
        <f>VLOOKUP(_teams[[#This Row],[tournament]],tournaments_n_rules[],3,0)</f>
        <v>Лето 2025</v>
      </c>
      <c r="H15" s="52">
        <f>VLOOKUP(_teams[[#This Row],[tournament]],tournaments_n_rules[],4,0)</f>
        <v>45809</v>
      </c>
      <c r="I15" s="52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51" t="str">
        <f>VLOOKUP(_teams[[#This Row],[tournament]],tournaments_n_rules[],2,0)</f>
        <v>Барышиха</v>
      </c>
      <c r="G16" s="51" t="str">
        <f>VLOOKUP(_teams[[#This Row],[tournament]],tournaments_n_rules[],3,0)</f>
        <v>Лето 2025</v>
      </c>
      <c r="H16" s="52">
        <f>VLOOKUP(_teams[[#This Row],[tournament]],tournaments_n_rules[],4,0)</f>
        <v>45809</v>
      </c>
      <c r="I16" s="52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51" t="str">
        <f>VLOOKUP(_teams[[#This Row],[tournament]],tournaments_n_rules[],2,0)</f>
        <v>Барышиха</v>
      </c>
      <c r="G17" s="51" t="str">
        <f>VLOOKUP(_teams[[#This Row],[tournament]],tournaments_n_rules[],3,0)</f>
        <v>Лето 2025</v>
      </c>
      <c r="H17" s="52">
        <f>VLOOKUP(_teams[[#This Row],[tournament]],tournaments_n_rules[],4,0)</f>
        <v>45809</v>
      </c>
      <c r="I17" s="52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51" t="str">
        <f>VLOOKUP(_teams[[#This Row],[tournament]],tournaments_n_rules[],2,0)</f>
        <v>Барышиха</v>
      </c>
      <c r="G18" s="51" t="str">
        <f>VLOOKUP(_teams[[#This Row],[tournament]],tournaments_n_rules[],3,0)</f>
        <v>Лето 2025</v>
      </c>
      <c r="H18" s="52">
        <f>VLOOKUP(_teams[[#This Row],[tournament]],tournaments_n_rules[],4,0)</f>
        <v>45809</v>
      </c>
      <c r="I18" s="52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51" t="str">
        <f>VLOOKUP(_teams[[#This Row],[tournament]],tournaments_n_rules[],2,0)</f>
        <v>Барышиха</v>
      </c>
      <c r="G19" s="51" t="str">
        <f>VLOOKUP(_teams[[#This Row],[tournament]],tournaments_n_rules[],3,0)</f>
        <v>Лето 2025</v>
      </c>
      <c r="H19" s="52">
        <f>VLOOKUP(_teams[[#This Row],[tournament]],tournaments_n_rules[],4,0)</f>
        <v>45809</v>
      </c>
      <c r="I19" s="52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51" t="str">
        <f>VLOOKUP(_teams[[#This Row],[tournament]],tournaments_n_rules[],2,0)</f>
        <v>Барышиха</v>
      </c>
      <c r="G20" s="51" t="str">
        <f>VLOOKUP(_teams[[#This Row],[tournament]],tournaments_n_rules[],3,0)</f>
        <v>Лето 2025</v>
      </c>
      <c r="H20" s="52">
        <f>VLOOKUP(_teams[[#This Row],[tournament]],tournaments_n_rules[],4,0)</f>
        <v>45809</v>
      </c>
      <c r="I20" s="52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51" t="str">
        <f>VLOOKUP(_teams[[#This Row],[tournament]],tournaments_n_rules[],2,0)</f>
        <v>Барышиха</v>
      </c>
      <c r="G21" s="51" t="str">
        <f>VLOOKUP(_teams[[#This Row],[tournament]],tournaments_n_rules[],3,0)</f>
        <v>Лето 2025</v>
      </c>
      <c r="H21" s="52">
        <f>VLOOKUP(_teams[[#This Row],[tournament]],tournaments_n_rules[],4,0)</f>
        <v>45809</v>
      </c>
      <c r="I21" s="52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51" t="str">
        <f>VLOOKUP(_teams[[#This Row],[tournament]],tournaments_n_rules[],2,0)</f>
        <v>Барышиха</v>
      </c>
      <c r="G22" s="51" t="str">
        <f>VLOOKUP(_teams[[#This Row],[tournament]],tournaments_n_rules[],3,0)</f>
        <v>Лето 2025</v>
      </c>
      <c r="H22" s="52">
        <f>VLOOKUP(_teams[[#This Row],[tournament]],tournaments_n_rules[],4,0)</f>
        <v>45809</v>
      </c>
      <c r="I22" s="52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51" t="str">
        <f>VLOOKUP(_teams[[#This Row],[tournament]],tournaments_n_rules[],2,0)</f>
        <v>Барышиха</v>
      </c>
      <c r="G23" s="51" t="str">
        <f>VLOOKUP(_teams[[#This Row],[tournament]],tournaments_n_rules[],3,0)</f>
        <v>Лето 2025</v>
      </c>
      <c r="H23" s="52">
        <f>VLOOKUP(_teams[[#This Row],[tournament]],tournaments_n_rules[],4,0)</f>
        <v>45809</v>
      </c>
      <c r="I23" s="52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51" t="str">
        <f>VLOOKUP(_teams[[#This Row],[tournament]],tournaments_n_rules[],2,0)</f>
        <v>Барышиха</v>
      </c>
      <c r="G24" s="51" t="str">
        <f>VLOOKUP(_teams[[#This Row],[tournament]],tournaments_n_rules[],3,0)</f>
        <v>Лето 2025</v>
      </c>
      <c r="H24" s="52">
        <f>VLOOKUP(_teams[[#This Row],[tournament]],tournaments_n_rules[],4,0)</f>
        <v>45809</v>
      </c>
      <c r="I24" s="52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51" t="str">
        <f>VLOOKUP(_teams[[#This Row],[tournament]],tournaments_n_rules[],2,0)</f>
        <v>Барышиха</v>
      </c>
      <c r="G25" s="51" t="str">
        <f>VLOOKUP(_teams[[#This Row],[tournament]],tournaments_n_rules[],3,0)</f>
        <v>Лето 2025</v>
      </c>
      <c r="H25" s="52">
        <f>VLOOKUP(_teams[[#This Row],[tournament]],tournaments_n_rules[],4,0)</f>
        <v>45809</v>
      </c>
      <c r="I25" s="52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51" t="str">
        <f>VLOOKUP(_teams[[#This Row],[tournament]],tournaments_n_rules[],2,0)</f>
        <v>Барышиха</v>
      </c>
      <c r="G26" s="51" t="str">
        <f>VLOOKUP(_teams[[#This Row],[tournament]],tournaments_n_rules[],3,0)</f>
        <v>Лето 2025</v>
      </c>
      <c r="H26" s="52">
        <f>VLOOKUP(_teams[[#This Row],[tournament]],tournaments_n_rules[],4,0)</f>
        <v>45809</v>
      </c>
      <c r="I26" s="52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51" t="str">
        <f>VLOOKUP(_teams[[#This Row],[tournament]],tournaments_n_rules[],2,0)</f>
        <v>Барышиха</v>
      </c>
      <c r="G27" s="51" t="str">
        <f>VLOOKUP(_teams[[#This Row],[tournament]],tournaments_n_rules[],3,0)</f>
        <v>Лето 2025</v>
      </c>
      <c r="H27" s="52">
        <f>VLOOKUP(_teams[[#This Row],[tournament]],tournaments_n_rules[],4,0)</f>
        <v>45809</v>
      </c>
      <c r="I27" s="52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51" t="str">
        <f>VLOOKUP(_teams[[#This Row],[tournament]],tournaments_n_rules[],2,0)</f>
        <v>Барышиха</v>
      </c>
      <c r="G28" s="51" t="str">
        <f>VLOOKUP(_teams[[#This Row],[tournament]],tournaments_n_rules[],3,0)</f>
        <v>Лето 2025</v>
      </c>
      <c r="H28" s="52">
        <f>VLOOKUP(_teams[[#This Row],[tournament]],tournaments_n_rules[],4,0)</f>
        <v>45809</v>
      </c>
      <c r="I28" s="52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51" t="str">
        <f>VLOOKUP(_teams[[#This Row],[tournament]],tournaments_n_rules[],2,0)</f>
        <v>Барышиха</v>
      </c>
      <c r="G29" s="51" t="str">
        <f>VLOOKUP(_teams[[#This Row],[tournament]],tournaments_n_rules[],3,0)</f>
        <v>Лето 2025</v>
      </c>
      <c r="H29" s="52">
        <f>VLOOKUP(_teams[[#This Row],[tournament]],tournaments_n_rules[],4,0)</f>
        <v>45809</v>
      </c>
      <c r="I29" s="52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51" t="str">
        <f>VLOOKUP(_teams[[#This Row],[tournament]],tournaments_n_rules[],2,0)</f>
        <v>Барышиха</v>
      </c>
      <c r="G30" s="51" t="str">
        <f>VLOOKUP(_teams[[#This Row],[tournament]],tournaments_n_rules[],3,0)</f>
        <v>Лето 2025</v>
      </c>
      <c r="H30" s="52">
        <f>VLOOKUP(_teams[[#This Row],[tournament]],tournaments_n_rules[],4,0)</f>
        <v>45809</v>
      </c>
      <c r="I30" s="52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51" t="str">
        <f>VLOOKUP(_teams[[#This Row],[tournament]],tournaments_n_rules[],2,0)</f>
        <v>Барышиха</v>
      </c>
      <c r="G31" s="51" t="str">
        <f>VLOOKUP(_teams[[#This Row],[tournament]],tournaments_n_rules[],3,0)</f>
        <v>Лето 2025</v>
      </c>
      <c r="H31" s="52">
        <f>VLOOKUP(_teams[[#This Row],[tournament]],tournaments_n_rules[],4,0)</f>
        <v>45809</v>
      </c>
      <c r="I31" s="52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51" t="str">
        <f>VLOOKUP(_teams[[#This Row],[tournament]],tournaments_n_rules[],2,0)</f>
        <v>Барышиха</v>
      </c>
      <c r="G32" s="51" t="str">
        <f>VLOOKUP(_teams[[#This Row],[tournament]],tournaments_n_rules[],3,0)</f>
        <v>Лето 2025</v>
      </c>
      <c r="H32" s="52">
        <f>VLOOKUP(_teams[[#This Row],[tournament]],tournaments_n_rules[],4,0)</f>
        <v>45809</v>
      </c>
      <c r="I32" s="52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51" t="str">
        <f>VLOOKUP(_teams[[#This Row],[tournament]],tournaments_n_rules[],2,0)</f>
        <v>Барышиха</v>
      </c>
      <c r="G33" s="51" t="str">
        <f>VLOOKUP(_teams[[#This Row],[tournament]],tournaments_n_rules[],3,0)</f>
        <v>Лето 2025</v>
      </c>
      <c r="H33" s="52">
        <f>VLOOKUP(_teams[[#This Row],[tournament]],tournaments_n_rules[],4,0)</f>
        <v>45809</v>
      </c>
      <c r="I33" s="52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51" t="str">
        <f>VLOOKUP(_teams[[#This Row],[tournament]],tournaments_n_rules[],2,0)</f>
        <v>Барышиха</v>
      </c>
      <c r="G34" s="51" t="str">
        <f>VLOOKUP(_teams[[#This Row],[tournament]],tournaments_n_rules[],3,0)</f>
        <v>Лето 2025</v>
      </c>
      <c r="H34" s="52">
        <f>VLOOKUP(_teams[[#This Row],[tournament]],tournaments_n_rules[],4,0)</f>
        <v>45809</v>
      </c>
      <c r="I34" s="52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51" t="str">
        <f>VLOOKUP(_teams[[#This Row],[tournament]],tournaments_n_rules[],2,0)</f>
        <v>Барышиха</v>
      </c>
      <c r="G35" s="51" t="str">
        <f>VLOOKUP(_teams[[#This Row],[tournament]],tournaments_n_rules[],3,0)</f>
        <v>Лето 2025</v>
      </c>
      <c r="H35" s="52">
        <f>VLOOKUP(_teams[[#This Row],[tournament]],tournaments_n_rules[],4,0)</f>
        <v>45809</v>
      </c>
      <c r="I35" s="52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51" t="str">
        <f>VLOOKUP(_teams[[#This Row],[tournament]],tournaments_n_rules[],2,0)</f>
        <v>Барышиха</v>
      </c>
      <c r="G36" s="51" t="str">
        <f>VLOOKUP(_teams[[#This Row],[tournament]],tournaments_n_rules[],3,0)</f>
        <v>Лето 2025</v>
      </c>
      <c r="H36" s="52">
        <f>VLOOKUP(_teams[[#This Row],[tournament]],tournaments_n_rules[],4,0)</f>
        <v>45809</v>
      </c>
      <c r="I36" s="52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51" t="str">
        <f>VLOOKUP(_teams[[#This Row],[tournament]],tournaments_n_rules[],2,0)</f>
        <v>Барышиха</v>
      </c>
      <c r="G37" s="51" t="str">
        <f>VLOOKUP(_teams[[#This Row],[tournament]],tournaments_n_rules[],3,0)</f>
        <v>Лето 2025</v>
      </c>
      <c r="H37" s="52">
        <f>VLOOKUP(_teams[[#This Row],[tournament]],tournaments_n_rules[],4,0)</f>
        <v>45809</v>
      </c>
      <c r="I37" s="52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51" t="str">
        <f>VLOOKUP(_teams[[#This Row],[tournament]],tournaments_n_rules[],2,0)</f>
        <v>Барышиха</v>
      </c>
      <c r="G38" s="51" t="str">
        <f>VLOOKUP(_teams[[#This Row],[tournament]],tournaments_n_rules[],3,0)</f>
        <v>Лето 2025</v>
      </c>
      <c r="H38" s="52">
        <f>VLOOKUP(_teams[[#This Row],[tournament]],tournaments_n_rules[],4,0)</f>
        <v>45809</v>
      </c>
      <c r="I38" s="52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51" t="str">
        <f>VLOOKUP(_teams[[#This Row],[tournament]],tournaments_n_rules[],2,0)</f>
        <v>Барышиха</v>
      </c>
      <c r="G39" s="51" t="str">
        <f>VLOOKUP(_teams[[#This Row],[tournament]],tournaments_n_rules[],3,0)</f>
        <v>Лето 2025</v>
      </c>
      <c r="H39" s="52">
        <f>VLOOKUP(_teams[[#This Row],[tournament]],tournaments_n_rules[],4,0)</f>
        <v>45809</v>
      </c>
      <c r="I39" s="52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51" t="str">
        <f>VLOOKUP(_teams[[#This Row],[tournament]],tournaments_n_rules[],2,0)</f>
        <v>Барышиха</v>
      </c>
      <c r="G40" s="51" t="str">
        <f>VLOOKUP(_teams[[#This Row],[tournament]],tournaments_n_rules[],3,0)</f>
        <v>Лето 2025</v>
      </c>
      <c r="H40" s="52">
        <f>VLOOKUP(_teams[[#This Row],[tournament]],tournaments_n_rules[],4,0)</f>
        <v>45809</v>
      </c>
      <c r="I40" s="52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51" t="str">
        <f>VLOOKUP(_teams[[#This Row],[tournament]],tournaments_n_rules[],2,0)</f>
        <v>Барышиха</v>
      </c>
      <c r="G41" s="51" t="str">
        <f>VLOOKUP(_teams[[#This Row],[tournament]],tournaments_n_rules[],3,0)</f>
        <v>Лето 2025</v>
      </c>
      <c r="H41" s="52">
        <f>VLOOKUP(_teams[[#This Row],[tournament]],tournaments_n_rules[],4,0)</f>
        <v>45809</v>
      </c>
      <c r="I41" s="52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51" t="str">
        <f>VLOOKUP(_teams[[#This Row],[tournament]],tournaments_n_rules[],2,0)</f>
        <v>Барышиха</v>
      </c>
      <c r="G42" s="51" t="str">
        <f>VLOOKUP(_teams[[#This Row],[tournament]],tournaments_n_rules[],3,0)</f>
        <v>Лето 2025</v>
      </c>
      <c r="H42" s="52">
        <f>VLOOKUP(_teams[[#This Row],[tournament]],tournaments_n_rules[],4,0)</f>
        <v>45809</v>
      </c>
      <c r="I42" s="52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51" t="str">
        <f>VLOOKUP(_teams[[#This Row],[tournament]],tournaments_n_rules[],2,0)</f>
        <v>Барышиха</v>
      </c>
      <c r="G43" s="51" t="str">
        <f>VLOOKUP(_teams[[#This Row],[tournament]],tournaments_n_rules[],3,0)</f>
        <v>Лето 2025</v>
      </c>
      <c r="H43" s="52">
        <f>VLOOKUP(_teams[[#This Row],[tournament]],tournaments_n_rules[],4,0)</f>
        <v>45809</v>
      </c>
      <c r="I43" s="52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51" t="str">
        <f>VLOOKUP(_teams[[#This Row],[tournament]],tournaments_n_rules[],2,0)</f>
        <v>Барышиха</v>
      </c>
      <c r="G44" s="51" t="str">
        <f>VLOOKUP(_teams[[#This Row],[tournament]],tournaments_n_rules[],3,0)</f>
        <v>Лето 2025</v>
      </c>
      <c r="H44" s="52">
        <f>VLOOKUP(_teams[[#This Row],[tournament]],tournaments_n_rules[],4,0)</f>
        <v>45809</v>
      </c>
      <c r="I44" s="52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51" t="str">
        <f>VLOOKUP(_teams[[#This Row],[tournament]],tournaments_n_rules[],2,0)</f>
        <v>Барышиха</v>
      </c>
      <c r="G45" s="51" t="str">
        <f>VLOOKUP(_teams[[#This Row],[tournament]],tournaments_n_rules[],3,0)</f>
        <v>Лето 2025</v>
      </c>
      <c r="H45" s="52">
        <f>VLOOKUP(_teams[[#This Row],[tournament]],tournaments_n_rules[],4,0)</f>
        <v>45809</v>
      </c>
      <c r="I45" s="52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51" t="str">
        <f>VLOOKUP(_teams[[#This Row],[tournament]],tournaments_n_rules[],2,0)</f>
        <v>Барышиха</v>
      </c>
      <c r="G46" s="51" t="str">
        <f>VLOOKUP(_teams[[#This Row],[tournament]],tournaments_n_rules[],3,0)</f>
        <v>Лето 2025</v>
      </c>
      <c r="H46" s="52">
        <f>VLOOKUP(_teams[[#This Row],[tournament]],tournaments_n_rules[],4,0)</f>
        <v>45809</v>
      </c>
      <c r="I46" s="52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51" t="str">
        <f>VLOOKUP(_teams[[#This Row],[tournament]],tournaments_n_rules[],2,0)</f>
        <v>Барышиха</v>
      </c>
      <c r="G47" s="51" t="str">
        <f>VLOOKUP(_teams[[#This Row],[tournament]],tournaments_n_rules[],3,0)</f>
        <v>Лето 2025</v>
      </c>
      <c r="H47" s="52">
        <f>VLOOKUP(_teams[[#This Row],[tournament]],tournaments_n_rules[],4,0)</f>
        <v>45809</v>
      </c>
      <c r="I47" s="52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51" t="str">
        <f>VLOOKUP(_teams[[#This Row],[tournament]],tournaments_n_rules[],2,0)</f>
        <v>Барышиха</v>
      </c>
      <c r="G48" s="51" t="str">
        <f>VLOOKUP(_teams[[#This Row],[tournament]],tournaments_n_rules[],3,0)</f>
        <v>Лето 2025</v>
      </c>
      <c r="H48" s="52">
        <f>VLOOKUP(_teams[[#This Row],[tournament]],tournaments_n_rules[],4,0)</f>
        <v>45809</v>
      </c>
      <c r="I48" s="52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51" t="str">
        <f>VLOOKUP(_teams[[#This Row],[tournament]],tournaments_n_rules[],2,0)</f>
        <v>Барышиха</v>
      </c>
      <c r="G49" s="51" t="str">
        <f>VLOOKUP(_teams[[#This Row],[tournament]],tournaments_n_rules[],3,0)</f>
        <v>Лето 2025</v>
      </c>
      <c r="H49" s="52">
        <f>VLOOKUP(_teams[[#This Row],[tournament]],tournaments_n_rules[],4,0)</f>
        <v>45809</v>
      </c>
      <c r="I49" s="52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51" t="str">
        <f>VLOOKUP(_teams[[#This Row],[tournament]],tournaments_n_rules[],2,0)</f>
        <v>Барышиха</v>
      </c>
      <c r="G50" s="51" t="str">
        <f>VLOOKUP(_teams[[#This Row],[tournament]],tournaments_n_rules[],3,0)</f>
        <v>Лето 2025</v>
      </c>
      <c r="H50" s="52">
        <f>VLOOKUP(_teams[[#This Row],[tournament]],tournaments_n_rules[],4,0)</f>
        <v>45809</v>
      </c>
      <c r="I50" s="52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51" t="str">
        <f>VLOOKUP(_teams[[#This Row],[tournament]],tournaments_n_rules[],2,0)</f>
        <v>Барышиха</v>
      </c>
      <c r="G51" s="51" t="str">
        <f>VLOOKUP(_teams[[#This Row],[tournament]],tournaments_n_rules[],3,0)</f>
        <v>Лето 2025</v>
      </c>
      <c r="H51" s="52">
        <f>VLOOKUP(_teams[[#This Row],[tournament]],tournaments_n_rules[],4,0)</f>
        <v>45809</v>
      </c>
      <c r="I51" s="52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51" t="str">
        <f>VLOOKUP(_teams[[#This Row],[tournament]],tournaments_n_rules[],2,0)</f>
        <v>Барышиха</v>
      </c>
      <c r="G52" s="51" t="str">
        <f>VLOOKUP(_teams[[#This Row],[tournament]],tournaments_n_rules[],3,0)</f>
        <v>Лето 2025</v>
      </c>
      <c r="H52" s="52">
        <f>VLOOKUP(_teams[[#This Row],[tournament]],tournaments_n_rules[],4,0)</f>
        <v>45809</v>
      </c>
      <c r="I52" s="52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51" t="str">
        <f>VLOOKUP(_teams[[#This Row],[tournament]],tournaments_n_rules[],2,0)</f>
        <v>Барышиха</v>
      </c>
      <c r="G53" s="51" t="str">
        <f>VLOOKUP(_teams[[#This Row],[tournament]],tournaments_n_rules[],3,0)</f>
        <v>Лето 2025</v>
      </c>
      <c r="H53" s="52">
        <f>VLOOKUP(_teams[[#This Row],[tournament]],tournaments_n_rules[],4,0)</f>
        <v>45809</v>
      </c>
      <c r="I53" s="52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51" t="str">
        <f>VLOOKUP(_teams[[#This Row],[tournament]],tournaments_n_rules[],2,0)</f>
        <v>Барышиха</v>
      </c>
      <c r="G54" s="51" t="str">
        <f>VLOOKUP(_teams[[#This Row],[tournament]],tournaments_n_rules[],3,0)</f>
        <v>Лето 2025</v>
      </c>
      <c r="H54" s="52">
        <f>VLOOKUP(_teams[[#This Row],[tournament]],tournaments_n_rules[],4,0)</f>
        <v>45809</v>
      </c>
      <c r="I54" s="52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51" t="str">
        <f>VLOOKUP(_teams[[#This Row],[tournament]],tournaments_n_rules[],2,0)</f>
        <v>Барышиха</v>
      </c>
      <c r="G55" s="51" t="str">
        <f>VLOOKUP(_teams[[#This Row],[tournament]],tournaments_n_rules[],3,0)</f>
        <v>Лето 2025</v>
      </c>
      <c r="H55" s="52">
        <f>VLOOKUP(_teams[[#This Row],[tournament]],tournaments_n_rules[],4,0)</f>
        <v>45809</v>
      </c>
      <c r="I55" s="52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51" t="str">
        <f>VLOOKUP(_teams[[#This Row],[tournament]],tournaments_n_rules[],2,0)</f>
        <v>Барышиха</v>
      </c>
      <c r="G56" s="51" t="str">
        <f>VLOOKUP(_teams[[#This Row],[tournament]],tournaments_n_rules[],3,0)</f>
        <v>Лето 2025</v>
      </c>
      <c r="H56" s="52">
        <f>VLOOKUP(_teams[[#This Row],[tournament]],tournaments_n_rules[],4,0)</f>
        <v>45809</v>
      </c>
      <c r="I56" s="52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51" t="str">
        <f>VLOOKUP(_teams[[#This Row],[tournament]],tournaments_n_rules[],2,0)</f>
        <v>Барышиха</v>
      </c>
      <c r="G57" s="51" t="str">
        <f>VLOOKUP(_teams[[#This Row],[tournament]],tournaments_n_rules[],3,0)</f>
        <v>Лето 2025</v>
      </c>
      <c r="H57" s="52">
        <f>VLOOKUP(_teams[[#This Row],[tournament]],tournaments_n_rules[],4,0)</f>
        <v>45809</v>
      </c>
      <c r="I57" s="52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51" t="str">
        <f>VLOOKUP(_teams[[#This Row],[tournament]],tournaments_n_rules[],2,0)</f>
        <v>Барышиха</v>
      </c>
      <c r="G58" s="51" t="str">
        <f>VLOOKUP(_teams[[#This Row],[tournament]],tournaments_n_rules[],3,0)</f>
        <v>Лето 2025</v>
      </c>
      <c r="H58" s="52">
        <f>VLOOKUP(_teams[[#This Row],[tournament]],tournaments_n_rules[],4,0)</f>
        <v>45809</v>
      </c>
      <c r="I58" s="52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51" t="str">
        <f>VLOOKUP(_teams[[#This Row],[tournament]],tournaments_n_rules[],2,0)</f>
        <v>Барышиха</v>
      </c>
      <c r="G59" s="51" t="str">
        <f>VLOOKUP(_teams[[#This Row],[tournament]],tournaments_n_rules[],3,0)</f>
        <v>Лето 2025</v>
      </c>
      <c r="H59" s="52">
        <f>VLOOKUP(_teams[[#This Row],[tournament]],tournaments_n_rules[],4,0)</f>
        <v>45809</v>
      </c>
      <c r="I59" s="52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51" t="str">
        <f>VLOOKUP(_teams[[#This Row],[tournament]],tournaments_n_rules[],2,0)</f>
        <v>Барышиха</v>
      </c>
      <c r="G60" s="51" t="str">
        <f>VLOOKUP(_teams[[#This Row],[tournament]],tournaments_n_rules[],3,0)</f>
        <v>Лето 2025</v>
      </c>
      <c r="H60" s="52">
        <f>VLOOKUP(_teams[[#This Row],[tournament]],tournaments_n_rules[],4,0)</f>
        <v>45809</v>
      </c>
      <c r="I60" s="52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51" t="str">
        <f>VLOOKUP(_teams[[#This Row],[tournament]],tournaments_n_rules[],2,0)</f>
        <v>Барышиха</v>
      </c>
      <c r="G61" s="51" t="str">
        <f>VLOOKUP(_teams[[#This Row],[tournament]],tournaments_n_rules[],3,0)</f>
        <v>Лето 2025</v>
      </c>
      <c r="H61" s="52">
        <f>VLOOKUP(_teams[[#This Row],[tournament]],tournaments_n_rules[],4,0)</f>
        <v>45809</v>
      </c>
      <c r="I61" s="52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51" t="str">
        <f>VLOOKUP(_teams[[#This Row],[tournament]],tournaments_n_rules[],2,0)</f>
        <v>Барышиха</v>
      </c>
      <c r="G62" s="51" t="str">
        <f>VLOOKUP(_teams[[#This Row],[tournament]],tournaments_n_rules[],3,0)</f>
        <v>Лето 2025</v>
      </c>
      <c r="H62" s="52">
        <f>VLOOKUP(_teams[[#This Row],[tournament]],tournaments_n_rules[],4,0)</f>
        <v>45809</v>
      </c>
      <c r="I62" s="52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51" t="str">
        <f>VLOOKUP(_teams[[#This Row],[tournament]],tournaments_n_rules[],2,0)</f>
        <v>Барышиха</v>
      </c>
      <c r="G63" s="51" t="str">
        <f>VLOOKUP(_teams[[#This Row],[tournament]],tournaments_n_rules[],3,0)</f>
        <v>Лето 2025</v>
      </c>
      <c r="H63" s="52">
        <f>VLOOKUP(_teams[[#This Row],[tournament]],tournaments_n_rules[],4,0)</f>
        <v>45809</v>
      </c>
      <c r="I63" s="52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51" t="str">
        <f>VLOOKUP(_teams[[#This Row],[tournament]],tournaments_n_rules[],2,0)</f>
        <v>Барышиха</v>
      </c>
      <c r="G64" s="51" t="str">
        <f>VLOOKUP(_teams[[#This Row],[tournament]],tournaments_n_rules[],3,0)</f>
        <v>Лето 2025</v>
      </c>
      <c r="H64" s="52">
        <f>VLOOKUP(_teams[[#This Row],[tournament]],tournaments_n_rules[],4,0)</f>
        <v>45809</v>
      </c>
      <c r="I64" s="52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51" t="str">
        <f>VLOOKUP(_teams[[#This Row],[tournament]],tournaments_n_rules[],2,0)</f>
        <v>Барышиха</v>
      </c>
      <c r="G65" s="51" t="str">
        <f>VLOOKUP(_teams[[#This Row],[tournament]],tournaments_n_rules[],3,0)</f>
        <v>Лето 2025</v>
      </c>
      <c r="H65" s="52">
        <f>VLOOKUP(_teams[[#This Row],[tournament]],tournaments_n_rules[],4,0)</f>
        <v>45809</v>
      </c>
      <c r="I65" s="52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51" t="str">
        <f>VLOOKUP(_teams[[#This Row],[tournament]],tournaments_n_rules[],2,0)</f>
        <v>Барышиха</v>
      </c>
      <c r="G66" s="51" t="str">
        <f>VLOOKUP(_teams[[#This Row],[tournament]],tournaments_n_rules[],3,0)</f>
        <v>Лето 2025</v>
      </c>
      <c r="H66" s="52">
        <f>VLOOKUP(_teams[[#This Row],[tournament]],tournaments_n_rules[],4,0)</f>
        <v>45809</v>
      </c>
      <c r="I66" s="52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51" t="str">
        <f>VLOOKUP(_teams[[#This Row],[tournament]],tournaments_n_rules[],2,0)</f>
        <v>Барышиха</v>
      </c>
      <c r="G67" s="51" t="str">
        <f>VLOOKUP(_teams[[#This Row],[tournament]],tournaments_n_rules[],3,0)</f>
        <v>Лето 2025</v>
      </c>
      <c r="H67" s="52">
        <f>VLOOKUP(_teams[[#This Row],[tournament]],tournaments_n_rules[],4,0)</f>
        <v>45809</v>
      </c>
      <c r="I67" s="52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51" t="str">
        <f>VLOOKUP(_teams[[#This Row],[tournament]],tournaments_n_rules[],2,0)</f>
        <v>Барышиха</v>
      </c>
      <c r="G68" s="51" t="str">
        <f>VLOOKUP(_teams[[#This Row],[tournament]],tournaments_n_rules[],3,0)</f>
        <v>Лето 2025</v>
      </c>
      <c r="H68" s="52">
        <f>VLOOKUP(_teams[[#This Row],[tournament]],tournaments_n_rules[],4,0)</f>
        <v>45809</v>
      </c>
      <c r="I68" s="52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51" t="str">
        <f>VLOOKUP(_teams[[#This Row],[tournament]],tournaments_n_rules[],2,0)</f>
        <v>Барышиха</v>
      </c>
      <c r="G69" s="51" t="str">
        <f>VLOOKUP(_teams[[#This Row],[tournament]],tournaments_n_rules[],3,0)</f>
        <v>Лето 2025</v>
      </c>
      <c r="H69" s="52">
        <f>VLOOKUP(_teams[[#This Row],[tournament]],tournaments_n_rules[],4,0)</f>
        <v>45809</v>
      </c>
      <c r="I69" s="52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51" t="str">
        <f>VLOOKUP(_teams[[#This Row],[tournament]],tournaments_n_rules[],2,0)</f>
        <v>Барышиха</v>
      </c>
      <c r="G70" s="51" t="str">
        <f>VLOOKUP(_teams[[#This Row],[tournament]],tournaments_n_rules[],3,0)</f>
        <v>Лето 2025</v>
      </c>
      <c r="H70" s="52">
        <f>VLOOKUP(_teams[[#This Row],[tournament]],tournaments_n_rules[],4,0)</f>
        <v>45809</v>
      </c>
      <c r="I70" s="52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51" t="str">
        <f>VLOOKUP(_teams[[#This Row],[tournament]],tournaments_n_rules[],2,0)</f>
        <v>Барышиха</v>
      </c>
      <c r="G71" s="51" t="str">
        <f>VLOOKUP(_teams[[#This Row],[tournament]],tournaments_n_rules[],3,0)</f>
        <v>Лето 2025</v>
      </c>
      <c r="H71" s="52">
        <f>VLOOKUP(_teams[[#This Row],[tournament]],tournaments_n_rules[],4,0)</f>
        <v>45809</v>
      </c>
      <c r="I71" s="52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51" t="str">
        <f>VLOOKUP(_teams[[#This Row],[tournament]],tournaments_n_rules[],2,0)</f>
        <v>Барышиха</v>
      </c>
      <c r="G72" s="51" t="str">
        <f>VLOOKUP(_teams[[#This Row],[tournament]],tournaments_n_rules[],3,0)</f>
        <v>Лето 2025</v>
      </c>
      <c r="H72" s="52">
        <f>VLOOKUP(_teams[[#This Row],[tournament]],tournaments_n_rules[],4,0)</f>
        <v>45809</v>
      </c>
      <c r="I72" s="52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51" t="str">
        <f>VLOOKUP(_teams[[#This Row],[tournament]],tournaments_n_rules[],2,0)</f>
        <v>Барышиха</v>
      </c>
      <c r="G73" s="51" t="str">
        <f>VLOOKUP(_teams[[#This Row],[tournament]],tournaments_n_rules[],3,0)</f>
        <v>Лето 2025</v>
      </c>
      <c r="H73" s="52">
        <f>VLOOKUP(_teams[[#This Row],[tournament]],tournaments_n_rules[],4,0)</f>
        <v>45809</v>
      </c>
      <c r="I73" s="52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51" t="str">
        <f>VLOOKUP(_teams[[#This Row],[tournament]],tournaments_n_rules[],2,0)</f>
        <v>Барышиха</v>
      </c>
      <c r="G74" s="51" t="str">
        <f>VLOOKUP(_teams[[#This Row],[tournament]],tournaments_n_rules[],3,0)</f>
        <v>Осень 2025</v>
      </c>
      <c r="H74" s="52">
        <f>VLOOKUP(_teams[[#This Row],[tournament]],tournaments_n_rules[],4,0)</f>
        <v>45901</v>
      </c>
      <c r="I74" s="52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51" t="str">
        <f>VLOOKUP(_teams[[#This Row],[tournament]],tournaments_n_rules[],2,0)</f>
        <v>Барышиха</v>
      </c>
      <c r="G75" s="51" t="str">
        <f>VLOOKUP(_teams[[#This Row],[tournament]],tournaments_n_rules[],3,0)</f>
        <v>Осень 2025</v>
      </c>
      <c r="H75" s="52">
        <f>VLOOKUP(_teams[[#This Row],[tournament]],tournaments_n_rules[],4,0)</f>
        <v>45901</v>
      </c>
      <c r="I75" s="52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51" t="str">
        <f>VLOOKUP(_teams[[#This Row],[tournament]],tournaments_n_rules[],2,0)</f>
        <v>Барышиха</v>
      </c>
      <c r="G76" s="51" t="str">
        <f>VLOOKUP(_teams[[#This Row],[tournament]],tournaments_n_rules[],3,0)</f>
        <v>Осень 2025</v>
      </c>
      <c r="H76" s="52">
        <f>VLOOKUP(_teams[[#This Row],[tournament]],tournaments_n_rules[],4,0)</f>
        <v>45901</v>
      </c>
      <c r="I76" s="52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51" t="str">
        <f>VLOOKUP(_teams[[#This Row],[tournament]],tournaments_n_rules[],2,0)</f>
        <v>УПК</v>
      </c>
      <c r="G77" s="51" t="str">
        <f>VLOOKUP(_teams[[#This Row],[tournament]],tournaments_n_rules[],3,0)</f>
        <v>Осень 2025</v>
      </c>
      <c r="H77" s="52">
        <f>VLOOKUP(_teams[[#This Row],[tournament]],tournaments_n_rules[],4,0)</f>
        <v>45901</v>
      </c>
      <c r="I77" s="52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51" t="str">
        <f>VLOOKUP(_teams[[#This Row],[tournament]],tournaments_n_rules[],2,0)</f>
        <v>УПК</v>
      </c>
      <c r="G78" s="51" t="str">
        <f>VLOOKUP(_teams[[#This Row],[tournament]],tournaments_n_rules[],3,0)</f>
        <v>Осень 2025</v>
      </c>
      <c r="H78" s="52">
        <f>VLOOKUP(_teams[[#This Row],[tournament]],tournaments_n_rules[],4,0)</f>
        <v>45901</v>
      </c>
      <c r="I78" s="52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51" t="str">
        <f>VLOOKUP(_teams[[#This Row],[tournament]],tournaments_n_rules[],2,0)</f>
        <v>УПК</v>
      </c>
      <c r="G79" s="51" t="str">
        <f>VLOOKUP(_teams[[#This Row],[tournament]],tournaments_n_rules[],3,0)</f>
        <v>Осень 2025</v>
      </c>
      <c r="H79" s="52">
        <f>VLOOKUP(_teams[[#This Row],[tournament]],tournaments_n_rules[],4,0)</f>
        <v>45901</v>
      </c>
      <c r="I79" s="52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51" t="str">
        <f>VLOOKUP(_teams[[#This Row],[tournament]],tournaments_n_rules[],2,0)</f>
        <v>Барышиха</v>
      </c>
      <c r="G80" s="51" t="str">
        <f>VLOOKUP(_teams[[#This Row],[tournament]],tournaments_n_rules[],3,0)</f>
        <v>Осень 2025</v>
      </c>
      <c r="H80" s="52">
        <f>VLOOKUP(_teams[[#This Row],[tournament]],tournaments_n_rules[],4,0)</f>
        <v>45901</v>
      </c>
      <c r="I80" s="52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51" t="str">
        <f>VLOOKUP(_teams[[#This Row],[tournament]],tournaments_n_rules[],2,0)</f>
        <v>Барышиха</v>
      </c>
      <c r="G81" s="51" t="str">
        <f>VLOOKUP(_teams[[#This Row],[tournament]],tournaments_n_rules[],3,0)</f>
        <v>Осень 2025</v>
      </c>
      <c r="H81" s="52">
        <f>VLOOKUP(_teams[[#This Row],[tournament]],tournaments_n_rules[],4,0)</f>
        <v>45901</v>
      </c>
      <c r="I81" s="52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51" t="str">
        <f>VLOOKUP(_teams[[#This Row],[tournament]],tournaments_n_rules[],2,0)</f>
        <v>Барышиха</v>
      </c>
      <c r="G82" s="51" t="str">
        <f>VLOOKUP(_teams[[#This Row],[tournament]],tournaments_n_rules[],3,0)</f>
        <v>Осень 2025</v>
      </c>
      <c r="H82" s="52">
        <f>VLOOKUP(_teams[[#This Row],[tournament]],tournaments_n_rules[],4,0)</f>
        <v>45901</v>
      </c>
      <c r="I82" s="52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51" t="str">
        <f>VLOOKUP(_teams[[#This Row],[tournament]],tournaments_n_rules[],2,0)</f>
        <v>УПК</v>
      </c>
      <c r="G83" s="51" t="str">
        <f>VLOOKUP(_teams[[#This Row],[tournament]],tournaments_n_rules[],3,0)</f>
        <v>Осень 2025</v>
      </c>
      <c r="H83" s="52">
        <f>VLOOKUP(_teams[[#This Row],[tournament]],tournaments_n_rules[],4,0)</f>
        <v>45901</v>
      </c>
      <c r="I83" s="52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51" t="str">
        <f>VLOOKUP(_teams[[#This Row],[tournament]],tournaments_n_rules[],2,0)</f>
        <v>УПК</v>
      </c>
      <c r="G84" s="51" t="str">
        <f>VLOOKUP(_teams[[#This Row],[tournament]],tournaments_n_rules[],3,0)</f>
        <v>Осень 2025</v>
      </c>
      <c r="H84" s="52">
        <f>VLOOKUP(_teams[[#This Row],[tournament]],tournaments_n_rules[],4,0)</f>
        <v>45901</v>
      </c>
      <c r="I84" s="52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51" t="str">
        <f>VLOOKUP(_teams[[#This Row],[tournament]],tournaments_n_rules[],2,0)</f>
        <v>УПК</v>
      </c>
      <c r="G85" s="51" t="str">
        <f>VLOOKUP(_teams[[#This Row],[tournament]],tournaments_n_rules[],3,0)</f>
        <v>Осень 2025</v>
      </c>
      <c r="H85" s="52">
        <f>VLOOKUP(_teams[[#This Row],[tournament]],tournaments_n_rules[],4,0)</f>
        <v>45901</v>
      </c>
      <c r="I85" s="52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51" t="str">
        <f>VLOOKUP(_teams[[#This Row],[tournament]],tournaments_n_rules[],2,0)</f>
        <v>Барышиха</v>
      </c>
      <c r="G86" s="51" t="str">
        <f>VLOOKUP(_teams[[#This Row],[tournament]],tournaments_n_rules[],3,0)</f>
        <v>Осень 2025</v>
      </c>
      <c r="H86" s="52">
        <f>VLOOKUP(_teams[[#This Row],[tournament]],tournaments_n_rules[],4,0)</f>
        <v>45901</v>
      </c>
      <c r="I86" s="52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51" t="str">
        <f>VLOOKUP(_teams[[#This Row],[tournament]],tournaments_n_rules[],2,0)</f>
        <v>Барышиха</v>
      </c>
      <c r="G87" s="51" t="str">
        <f>VLOOKUP(_teams[[#This Row],[tournament]],tournaments_n_rules[],3,0)</f>
        <v>Осень 2025</v>
      </c>
      <c r="H87" s="52">
        <f>VLOOKUP(_teams[[#This Row],[tournament]],tournaments_n_rules[],4,0)</f>
        <v>45901</v>
      </c>
      <c r="I87" s="52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51" t="str">
        <f>VLOOKUP(_teams[[#This Row],[tournament]],tournaments_n_rules[],2,0)</f>
        <v>Барышиха</v>
      </c>
      <c r="G88" s="51" t="str">
        <f>VLOOKUP(_teams[[#This Row],[tournament]],tournaments_n_rules[],3,0)</f>
        <v>Осень 2025</v>
      </c>
      <c r="H88" s="52">
        <f>VLOOKUP(_teams[[#This Row],[tournament]],tournaments_n_rules[],4,0)</f>
        <v>45901</v>
      </c>
      <c r="I88" s="52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51" t="str">
        <f>VLOOKUP(_teams[[#This Row],[tournament]],tournaments_n_rules[],2,0)</f>
        <v>УПК</v>
      </c>
      <c r="G89" s="51" t="str">
        <f>VLOOKUP(_teams[[#This Row],[tournament]],tournaments_n_rules[],3,0)</f>
        <v>Осень 2025</v>
      </c>
      <c r="H89" s="52">
        <f>VLOOKUP(_teams[[#This Row],[tournament]],tournaments_n_rules[],4,0)</f>
        <v>45901</v>
      </c>
      <c r="I89" s="52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51" t="str">
        <f>VLOOKUP(_teams[[#This Row],[tournament]],tournaments_n_rules[],2,0)</f>
        <v>УПК</v>
      </c>
      <c r="G90" s="51" t="str">
        <f>VLOOKUP(_teams[[#This Row],[tournament]],tournaments_n_rules[],3,0)</f>
        <v>Осень 2025</v>
      </c>
      <c r="H90" s="52">
        <f>VLOOKUP(_teams[[#This Row],[tournament]],tournaments_n_rules[],4,0)</f>
        <v>45901</v>
      </c>
      <c r="I90" s="52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51" t="str">
        <f>VLOOKUP(_teams[[#This Row],[tournament]],tournaments_n_rules[],2,0)</f>
        <v>УПК</v>
      </c>
      <c r="G91" s="51" t="str">
        <f>VLOOKUP(_teams[[#This Row],[tournament]],tournaments_n_rules[],3,0)</f>
        <v>Осень 2025</v>
      </c>
      <c r="H91" s="52">
        <f>VLOOKUP(_teams[[#This Row],[tournament]],tournaments_n_rules[],4,0)</f>
        <v>45901</v>
      </c>
      <c r="I91" s="52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51" t="str">
        <f>VLOOKUP(_teams[[#This Row],[tournament]],tournaments_n_rules[],2,0)</f>
        <v>Барышиха</v>
      </c>
      <c r="G92" s="51" t="str">
        <f>VLOOKUP(_teams[[#This Row],[tournament]],tournaments_n_rules[],3,0)</f>
        <v>Осень 2025</v>
      </c>
      <c r="H92" s="52">
        <f>VLOOKUP(_teams[[#This Row],[tournament]],tournaments_n_rules[],4,0)</f>
        <v>45901</v>
      </c>
      <c r="I92" s="52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51" t="str">
        <f>VLOOKUP(_teams[[#This Row],[tournament]],tournaments_n_rules[],2,0)</f>
        <v>Барышиха</v>
      </c>
      <c r="G93" s="51" t="str">
        <f>VLOOKUP(_teams[[#This Row],[tournament]],tournaments_n_rules[],3,0)</f>
        <v>Осень 2025</v>
      </c>
      <c r="H93" s="52">
        <f>VLOOKUP(_teams[[#This Row],[tournament]],tournaments_n_rules[],4,0)</f>
        <v>45901</v>
      </c>
      <c r="I93" s="52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51" t="str">
        <f>VLOOKUP(_teams[[#This Row],[tournament]],tournaments_n_rules[],2,0)</f>
        <v>Барышиха</v>
      </c>
      <c r="G94" s="51" t="str">
        <f>VLOOKUP(_teams[[#This Row],[tournament]],tournaments_n_rules[],3,0)</f>
        <v>Осень 2025</v>
      </c>
      <c r="H94" s="52">
        <f>VLOOKUP(_teams[[#This Row],[tournament]],tournaments_n_rules[],4,0)</f>
        <v>45901</v>
      </c>
      <c r="I94" s="52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51" t="str">
        <f>VLOOKUP(_teams[[#This Row],[tournament]],tournaments_n_rules[],2,0)</f>
        <v>УПК</v>
      </c>
      <c r="G95" s="51" t="str">
        <f>VLOOKUP(_teams[[#This Row],[tournament]],tournaments_n_rules[],3,0)</f>
        <v>Осень 2025</v>
      </c>
      <c r="H95" s="52">
        <f>VLOOKUP(_teams[[#This Row],[tournament]],tournaments_n_rules[],4,0)</f>
        <v>45901</v>
      </c>
      <c r="I95" s="52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51" t="str">
        <f>VLOOKUP(_teams[[#This Row],[tournament]],tournaments_n_rules[],2,0)</f>
        <v>УПК</v>
      </c>
      <c r="G96" s="51" t="str">
        <f>VLOOKUP(_teams[[#This Row],[tournament]],tournaments_n_rules[],3,0)</f>
        <v>Осень 2025</v>
      </c>
      <c r="H96" s="52">
        <f>VLOOKUP(_teams[[#This Row],[tournament]],tournaments_n_rules[],4,0)</f>
        <v>45901</v>
      </c>
      <c r="I96" s="52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51" t="str">
        <f>VLOOKUP(_teams[[#This Row],[tournament]],tournaments_n_rules[],2,0)</f>
        <v>УПК</v>
      </c>
      <c r="G97" s="51" t="str">
        <f>VLOOKUP(_teams[[#This Row],[tournament]],tournaments_n_rules[],3,0)</f>
        <v>Осень 2025</v>
      </c>
      <c r="H97" s="52">
        <f>VLOOKUP(_teams[[#This Row],[tournament]],tournaments_n_rules[],4,0)</f>
        <v>45901</v>
      </c>
      <c r="I97" s="52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51" t="str">
        <f>VLOOKUP(_teams[[#This Row],[tournament]],tournaments_n_rules[],2,0)</f>
        <v>УПК</v>
      </c>
      <c r="G98" s="51" t="str">
        <f>VLOOKUP(_teams[[#This Row],[tournament]],tournaments_n_rules[],3,0)</f>
        <v>Осень 2025</v>
      </c>
      <c r="H98" s="52">
        <f>VLOOKUP(_teams[[#This Row],[tournament]],tournaments_n_rules[],4,0)</f>
        <v>45901</v>
      </c>
      <c r="I98" s="52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51" t="str">
        <f>VLOOKUP(_teams[[#This Row],[tournament]],tournaments_n_rules[],2,0)</f>
        <v>УПК</v>
      </c>
      <c r="G99" s="51" t="str">
        <f>VLOOKUP(_teams[[#This Row],[tournament]],tournaments_n_rules[],3,0)</f>
        <v>Осень 2025</v>
      </c>
      <c r="H99" s="52">
        <f>VLOOKUP(_teams[[#This Row],[tournament]],tournaments_n_rules[],4,0)</f>
        <v>45901</v>
      </c>
      <c r="I99" s="52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51" t="str">
        <f>VLOOKUP(_teams[[#This Row],[tournament]],tournaments_n_rules[],2,0)</f>
        <v>УПК</v>
      </c>
      <c r="G100" s="51" t="str">
        <f>VLOOKUP(_teams[[#This Row],[tournament]],tournaments_n_rules[],3,0)</f>
        <v>Осень 2025</v>
      </c>
      <c r="H100" s="52">
        <f>VLOOKUP(_teams[[#This Row],[tournament]],tournaments_n_rules[],4,0)</f>
        <v>45901</v>
      </c>
      <c r="I100" s="52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51" t="str">
        <f>VLOOKUP(_teams[[#This Row],[tournament]],tournaments_n_rules[],2,0)</f>
        <v>УПК</v>
      </c>
      <c r="G101" s="51" t="str">
        <f>VLOOKUP(_teams[[#This Row],[tournament]],tournaments_n_rules[],3,0)</f>
        <v>Осень 2025</v>
      </c>
      <c r="H101" s="52">
        <f>VLOOKUP(_teams[[#This Row],[tournament]],tournaments_n_rules[],4,0)</f>
        <v>45901</v>
      </c>
      <c r="I101" s="52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51" t="str">
        <f>VLOOKUP(_teams[[#This Row],[tournament]],tournaments_n_rules[],2,0)</f>
        <v>УПК</v>
      </c>
      <c r="G102" s="51" t="str">
        <f>VLOOKUP(_teams[[#This Row],[tournament]],tournaments_n_rules[],3,0)</f>
        <v>Осень 2025</v>
      </c>
      <c r="H102" s="52">
        <f>VLOOKUP(_teams[[#This Row],[tournament]],tournaments_n_rules[],4,0)</f>
        <v>45901</v>
      </c>
      <c r="I102" s="52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51" t="str">
        <f>VLOOKUP(_teams[[#This Row],[tournament]],tournaments_n_rules[],2,0)</f>
        <v>УПК</v>
      </c>
      <c r="G103" s="51" t="str">
        <f>VLOOKUP(_teams[[#This Row],[tournament]],tournaments_n_rules[],3,0)</f>
        <v>Осень 2025</v>
      </c>
      <c r="H103" s="52">
        <f>VLOOKUP(_teams[[#This Row],[tournament]],tournaments_n_rules[],4,0)</f>
        <v>45901</v>
      </c>
      <c r="I103" s="52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51" t="str">
        <f>VLOOKUP(_teams[[#This Row],[tournament]],tournaments_n_rules[],2,0)</f>
        <v>УПК</v>
      </c>
      <c r="G104" s="51" t="str">
        <f>VLOOKUP(_teams[[#This Row],[tournament]],tournaments_n_rules[],3,0)</f>
        <v>Осень 2025</v>
      </c>
      <c r="H104" s="52">
        <f>VLOOKUP(_teams[[#This Row],[tournament]],tournaments_n_rules[],4,0)</f>
        <v>45901</v>
      </c>
      <c r="I104" s="52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51" t="str">
        <f>VLOOKUP(_teams[[#This Row],[tournament]],tournaments_n_rules[],2,0)</f>
        <v>УПК</v>
      </c>
      <c r="G105" s="51" t="str">
        <f>VLOOKUP(_teams[[#This Row],[tournament]],tournaments_n_rules[],3,0)</f>
        <v>Осень 2025</v>
      </c>
      <c r="H105" s="52">
        <f>VLOOKUP(_teams[[#This Row],[tournament]],tournaments_n_rules[],4,0)</f>
        <v>45901</v>
      </c>
      <c r="I105" s="52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51" t="str">
        <f>VLOOKUP(_teams[[#This Row],[tournament]],tournaments_n_rules[],2,0)</f>
        <v>УПК</v>
      </c>
      <c r="G106" s="51" t="str">
        <f>VLOOKUP(_teams[[#This Row],[tournament]],tournaments_n_rules[],3,0)</f>
        <v>Осень 2025</v>
      </c>
      <c r="H106" s="52">
        <f>VLOOKUP(_teams[[#This Row],[tournament]],tournaments_n_rules[],4,0)</f>
        <v>45901</v>
      </c>
      <c r="I106" s="52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51" t="str">
        <f>VLOOKUP(_teams[[#This Row],[tournament]],tournaments_n_rules[],2,0)</f>
        <v>УПК</v>
      </c>
      <c r="G107" s="51" t="str">
        <f>VLOOKUP(_teams[[#This Row],[tournament]],tournaments_n_rules[],3,0)</f>
        <v>Осень 2025</v>
      </c>
      <c r="H107" s="52">
        <f>VLOOKUP(_teams[[#This Row],[tournament]],tournaments_n_rules[],4,0)</f>
        <v>45901</v>
      </c>
      <c r="I107" s="52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51" t="str">
        <f>VLOOKUP(_teams[[#This Row],[tournament]],tournaments_n_rules[],2,0)</f>
        <v>УПК</v>
      </c>
      <c r="G108" s="51" t="str">
        <f>VLOOKUP(_teams[[#This Row],[tournament]],tournaments_n_rules[],3,0)</f>
        <v>Осень 2025</v>
      </c>
      <c r="H108" s="52">
        <f>VLOOKUP(_teams[[#This Row],[tournament]],tournaments_n_rules[],4,0)</f>
        <v>45901</v>
      </c>
      <c r="I108" s="52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51" t="str">
        <f>VLOOKUP(_teams[[#This Row],[tournament]],tournaments_n_rules[],2,0)</f>
        <v>УПК</v>
      </c>
      <c r="G109" s="51" t="str">
        <f>VLOOKUP(_teams[[#This Row],[tournament]],tournaments_n_rules[],3,0)</f>
        <v>Осень 2025</v>
      </c>
      <c r="H109" s="52">
        <f>VLOOKUP(_teams[[#This Row],[tournament]],tournaments_n_rules[],4,0)</f>
        <v>45901</v>
      </c>
      <c r="I109" s="52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51" t="str">
        <f>VLOOKUP(_teams[[#This Row],[tournament]],tournaments_n_rules[],2,0)</f>
        <v>УПК</v>
      </c>
      <c r="G110" s="51" t="str">
        <f>VLOOKUP(_teams[[#This Row],[tournament]],tournaments_n_rules[],3,0)</f>
        <v>Осень 2025</v>
      </c>
      <c r="H110" s="52">
        <f>VLOOKUP(_teams[[#This Row],[tournament]],tournaments_n_rules[],4,0)</f>
        <v>45901</v>
      </c>
      <c r="I110" s="52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51" t="str">
        <f>VLOOKUP(_teams[[#This Row],[tournament]],tournaments_n_rules[],2,0)</f>
        <v>УПК</v>
      </c>
      <c r="G111" s="51" t="str">
        <f>VLOOKUP(_teams[[#This Row],[tournament]],tournaments_n_rules[],3,0)</f>
        <v>Осень 2025</v>
      </c>
      <c r="H111" s="52">
        <f>VLOOKUP(_teams[[#This Row],[tournament]],tournaments_n_rules[],4,0)</f>
        <v>45901</v>
      </c>
      <c r="I111" s="52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51" t="str">
        <f>VLOOKUP(_teams[[#This Row],[tournament]],tournaments_n_rules[],2,0)</f>
        <v>УПК</v>
      </c>
      <c r="G112" s="51" t="str">
        <f>VLOOKUP(_teams[[#This Row],[tournament]],tournaments_n_rules[],3,0)</f>
        <v>Осень 2025</v>
      </c>
      <c r="H112" s="52">
        <f>VLOOKUP(_teams[[#This Row],[tournament]],tournaments_n_rules[],4,0)</f>
        <v>45901</v>
      </c>
      <c r="I112" s="52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51" t="str">
        <f>VLOOKUP(_teams[[#This Row],[tournament]],tournaments_n_rules[],2,0)</f>
        <v>УПК</v>
      </c>
      <c r="G113" s="51" t="str">
        <f>VLOOKUP(_teams[[#This Row],[tournament]],tournaments_n_rules[],3,0)</f>
        <v>Осень 2025</v>
      </c>
      <c r="H113" s="52">
        <f>VLOOKUP(_teams[[#This Row],[tournament]],tournaments_n_rules[],4,0)</f>
        <v>45901</v>
      </c>
      <c r="I113" s="52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51" t="str">
        <f>VLOOKUP(_teams[[#This Row],[tournament]],tournaments_n_rules[],2,0)</f>
        <v>УПК</v>
      </c>
      <c r="G114" s="51" t="str">
        <f>VLOOKUP(_teams[[#This Row],[tournament]],tournaments_n_rules[],3,0)</f>
        <v>Осень 2025</v>
      </c>
      <c r="H114" s="52">
        <f>VLOOKUP(_teams[[#This Row],[tournament]],tournaments_n_rules[],4,0)</f>
        <v>45901</v>
      </c>
      <c r="I114" s="52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51" t="str">
        <f>VLOOKUP(_teams[[#This Row],[tournament]],tournaments_n_rules[],2,0)</f>
        <v>УПК</v>
      </c>
      <c r="G115" s="51" t="str">
        <f>VLOOKUP(_teams[[#This Row],[tournament]],tournaments_n_rules[],3,0)</f>
        <v>Осень 2025</v>
      </c>
      <c r="H115" s="52">
        <f>VLOOKUP(_teams[[#This Row],[tournament]],tournaments_n_rules[],4,0)</f>
        <v>45901</v>
      </c>
      <c r="I115" s="52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51" t="str">
        <f>VLOOKUP(_teams[[#This Row],[tournament]],tournaments_n_rules[],2,0)</f>
        <v>УПК</v>
      </c>
      <c r="G116" s="51" t="str">
        <f>VLOOKUP(_teams[[#This Row],[tournament]],tournaments_n_rules[],3,0)</f>
        <v>Осень 2025</v>
      </c>
      <c r="H116" s="52">
        <f>VLOOKUP(_teams[[#This Row],[tournament]],tournaments_n_rules[],4,0)</f>
        <v>45901</v>
      </c>
      <c r="I116" s="52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51" t="str">
        <f>VLOOKUP(_teams[[#This Row],[tournament]],tournaments_n_rules[],2,0)</f>
        <v>УПК</v>
      </c>
      <c r="G117" s="51" t="str">
        <f>VLOOKUP(_teams[[#This Row],[tournament]],tournaments_n_rules[],3,0)</f>
        <v>Осень 2025</v>
      </c>
      <c r="H117" s="52">
        <f>VLOOKUP(_teams[[#This Row],[tournament]],tournaments_n_rules[],4,0)</f>
        <v>45901</v>
      </c>
      <c r="I117" s="52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51" t="str">
        <f>VLOOKUP(_teams[[#This Row],[tournament]],tournaments_n_rules[],2,0)</f>
        <v>УПК</v>
      </c>
      <c r="G118" s="51" t="str">
        <f>VLOOKUP(_teams[[#This Row],[tournament]],tournaments_n_rules[],3,0)</f>
        <v>Осень 2025</v>
      </c>
      <c r="H118" s="52">
        <f>VLOOKUP(_teams[[#This Row],[tournament]],tournaments_n_rules[],4,0)</f>
        <v>45901</v>
      </c>
      <c r="I118" s="52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51" t="str">
        <f>VLOOKUP(_teams[[#This Row],[tournament]],tournaments_n_rules[],2,0)</f>
        <v>УПК</v>
      </c>
      <c r="G119" s="51" t="str">
        <f>VLOOKUP(_teams[[#This Row],[tournament]],tournaments_n_rules[],3,0)</f>
        <v>Осень 2025</v>
      </c>
      <c r="H119" s="52">
        <f>VLOOKUP(_teams[[#This Row],[tournament]],tournaments_n_rules[],4,0)</f>
        <v>45901</v>
      </c>
      <c r="I119" s="52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51" t="str">
        <f>VLOOKUP(_teams[[#This Row],[tournament]],tournaments_n_rules[],2,0)</f>
        <v>УПК</v>
      </c>
      <c r="G120" s="51" t="str">
        <f>VLOOKUP(_teams[[#This Row],[tournament]],tournaments_n_rules[],3,0)</f>
        <v>Осень 2025</v>
      </c>
      <c r="H120" s="52">
        <f>VLOOKUP(_teams[[#This Row],[tournament]],tournaments_n_rules[],4,0)</f>
        <v>45901</v>
      </c>
      <c r="I120" s="52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51" t="str">
        <f>VLOOKUP(_teams[[#This Row],[tournament]],tournaments_n_rules[],2,0)</f>
        <v>УПК</v>
      </c>
      <c r="G121" s="51" t="str">
        <f>VLOOKUP(_teams[[#This Row],[tournament]],tournaments_n_rules[],3,0)</f>
        <v>Осень 2025</v>
      </c>
      <c r="H121" s="52">
        <f>VLOOKUP(_teams[[#This Row],[tournament]],tournaments_n_rules[],4,0)</f>
        <v>45901</v>
      </c>
      <c r="I121" s="52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51" t="str">
        <f>VLOOKUP(_teams[[#This Row],[tournament]],tournaments_n_rules[],2,0)</f>
        <v>УПК</v>
      </c>
      <c r="G122" s="51" t="str">
        <f>VLOOKUP(_teams[[#This Row],[tournament]],tournaments_n_rules[],3,0)</f>
        <v>Осень 2025</v>
      </c>
      <c r="H122" s="52">
        <f>VLOOKUP(_teams[[#This Row],[tournament]],tournaments_n_rules[],4,0)</f>
        <v>45901</v>
      </c>
      <c r="I122" s="52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51" t="str">
        <f>VLOOKUP(_teams[[#This Row],[tournament]],tournaments_n_rules[],2,0)</f>
        <v>УПК</v>
      </c>
      <c r="G123" s="51" t="str">
        <f>VLOOKUP(_teams[[#This Row],[tournament]],tournaments_n_rules[],3,0)</f>
        <v>Осень 2025</v>
      </c>
      <c r="H123" s="52">
        <f>VLOOKUP(_teams[[#This Row],[tournament]],tournaments_n_rules[],4,0)</f>
        <v>45901</v>
      </c>
      <c r="I123" s="52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51" t="str">
        <f>VLOOKUP(_teams[[#This Row],[tournament]],tournaments_n_rules[],2,0)</f>
        <v>УПК</v>
      </c>
      <c r="G124" s="51" t="str">
        <f>VLOOKUP(_teams[[#This Row],[tournament]],tournaments_n_rules[],3,0)</f>
        <v>Осень 2025</v>
      </c>
      <c r="H124" s="52">
        <f>VLOOKUP(_teams[[#This Row],[tournament]],tournaments_n_rules[],4,0)</f>
        <v>45901</v>
      </c>
      <c r="I124" s="52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51" t="str">
        <f>VLOOKUP(_teams[[#This Row],[tournament]],tournaments_n_rules[],2,0)</f>
        <v>УПК</v>
      </c>
      <c r="G125" s="51" t="str">
        <f>VLOOKUP(_teams[[#This Row],[tournament]],tournaments_n_rules[],3,0)</f>
        <v>Осень 2025</v>
      </c>
      <c r="H125" s="52">
        <f>VLOOKUP(_teams[[#This Row],[tournament]],tournaments_n_rules[],4,0)</f>
        <v>45901</v>
      </c>
      <c r="I125" s="52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51" t="str">
        <f>VLOOKUP(_teams[[#This Row],[tournament]],tournaments_n_rules[],2,0)</f>
        <v>УПК</v>
      </c>
      <c r="G126" s="51" t="str">
        <f>VLOOKUP(_teams[[#This Row],[tournament]],tournaments_n_rules[],3,0)</f>
        <v>Осень 2025</v>
      </c>
      <c r="H126" s="52">
        <f>VLOOKUP(_teams[[#This Row],[tournament]],tournaments_n_rules[],4,0)</f>
        <v>45901</v>
      </c>
      <c r="I126" s="52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51" t="str">
        <f>VLOOKUP(_teams[[#This Row],[tournament]],tournaments_n_rules[],2,0)</f>
        <v>УПК</v>
      </c>
      <c r="G127" s="51" t="str">
        <f>VLOOKUP(_teams[[#This Row],[tournament]],tournaments_n_rules[],3,0)</f>
        <v>Осень 2025</v>
      </c>
      <c r="H127" s="52">
        <f>VLOOKUP(_teams[[#This Row],[tournament]],tournaments_n_rules[],4,0)</f>
        <v>45901</v>
      </c>
      <c r="I127" s="52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51" t="str">
        <f>VLOOKUP(_teams[[#This Row],[tournament]],tournaments_n_rules[],2,0)</f>
        <v>УПК</v>
      </c>
      <c r="G128" s="51" t="str">
        <f>VLOOKUP(_teams[[#This Row],[tournament]],tournaments_n_rules[],3,0)</f>
        <v>Зима 2025-26</v>
      </c>
      <c r="H128" s="52">
        <f>VLOOKUP(_teams[[#This Row],[tournament]],tournaments_n_rules[],4,0)</f>
        <v>45992</v>
      </c>
      <c r="I128" s="52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51" t="str">
        <f>VLOOKUP(_teams[[#This Row],[tournament]],tournaments_n_rules[],2,0)</f>
        <v>УПК</v>
      </c>
      <c r="G129" s="51" t="str">
        <f>VLOOKUP(_teams[[#This Row],[tournament]],tournaments_n_rules[],3,0)</f>
        <v>Зима 2025-26</v>
      </c>
      <c r="H129" s="52">
        <f>VLOOKUP(_teams[[#This Row],[tournament]],tournaments_n_rules[],4,0)</f>
        <v>45992</v>
      </c>
      <c r="I129" s="52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51" t="str">
        <f>VLOOKUP(_teams[[#This Row],[tournament]],tournaments_n_rules[],2,0)</f>
        <v>УПК</v>
      </c>
      <c r="G130" s="51" t="str">
        <f>VLOOKUP(_teams[[#This Row],[tournament]],tournaments_n_rules[],3,0)</f>
        <v>Зима 2025-26</v>
      </c>
      <c r="H130" s="52">
        <f>VLOOKUP(_teams[[#This Row],[tournament]],tournaments_n_rules[],4,0)</f>
        <v>45992</v>
      </c>
      <c r="I130" s="52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51" t="str">
        <f>VLOOKUP(_teams[[#This Row],[tournament]],tournaments_n_rules[],2,0)</f>
        <v>УПК</v>
      </c>
      <c r="G131" s="51" t="str">
        <f>VLOOKUP(_teams[[#This Row],[tournament]],tournaments_n_rules[],3,0)</f>
        <v>Зима 2025-26</v>
      </c>
      <c r="H131" s="52">
        <f>VLOOKUP(_teams[[#This Row],[tournament]],tournaments_n_rules[],4,0)</f>
        <v>45992</v>
      </c>
      <c r="I131" s="52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51" t="str">
        <f>VLOOKUP(_teams[[#This Row],[tournament]],tournaments_n_rules[],2,0)</f>
        <v>УПК</v>
      </c>
      <c r="G132" s="51" t="str">
        <f>VLOOKUP(_teams[[#This Row],[tournament]],tournaments_n_rules[],3,0)</f>
        <v>Зима 2025-26</v>
      </c>
      <c r="H132" s="52">
        <f>VLOOKUP(_teams[[#This Row],[tournament]],tournaments_n_rules[],4,0)</f>
        <v>45992</v>
      </c>
      <c r="I132" s="52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51" t="str">
        <f>VLOOKUP(_teams[[#This Row],[tournament]],tournaments_n_rules[],2,0)</f>
        <v>УПК</v>
      </c>
      <c r="G133" s="51" t="str">
        <f>VLOOKUP(_teams[[#This Row],[tournament]],tournaments_n_rules[],3,0)</f>
        <v>Зима 2025-26</v>
      </c>
      <c r="H133" s="52">
        <f>VLOOKUP(_teams[[#This Row],[tournament]],tournaments_n_rules[],4,0)</f>
        <v>45992</v>
      </c>
      <c r="I133" s="52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51" t="str">
        <f>VLOOKUP(_teams[[#This Row],[tournament]],tournaments_n_rules[],2,0)</f>
        <v>УПК</v>
      </c>
      <c r="G134" s="51" t="str">
        <f>VLOOKUP(_teams[[#This Row],[tournament]],tournaments_n_rules[],3,0)</f>
        <v>Весна 2026</v>
      </c>
      <c r="H134" s="52">
        <f>VLOOKUP(_teams[[#This Row],[tournament]],tournaments_n_rules[],4,0)</f>
        <v>46082</v>
      </c>
      <c r="I134" s="52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51" t="str">
        <f>VLOOKUP(_teams[[#This Row],[tournament]],tournaments_n_rules[],2,0)</f>
        <v>УПК</v>
      </c>
      <c r="G135" s="51" t="str">
        <f>VLOOKUP(_teams[[#This Row],[tournament]],tournaments_n_rules[],3,0)</f>
        <v>Весна 2026</v>
      </c>
      <c r="H135" s="52">
        <f>VLOOKUP(_teams[[#This Row],[tournament]],tournaments_n_rules[],4,0)</f>
        <v>46082</v>
      </c>
      <c r="I135" s="52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51" t="str">
        <f>VLOOKUP(_teams[[#This Row],[tournament]],tournaments_n_rules[],2,0)</f>
        <v>УПК</v>
      </c>
      <c r="G136" s="51" t="str">
        <f>VLOOKUP(_teams[[#This Row],[tournament]],tournaments_n_rules[],3,0)</f>
        <v>Весна 2026</v>
      </c>
      <c r="H136" s="52">
        <f>VLOOKUP(_teams[[#This Row],[tournament]],tournaments_n_rules[],4,0)</f>
        <v>46082</v>
      </c>
      <c r="I136" s="52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51" t="str">
        <f>VLOOKUP(_teams[[#This Row],[tournament]],tournaments_n_rules[],2,0)</f>
        <v>УПК</v>
      </c>
      <c r="G137" s="51" t="str">
        <f>VLOOKUP(_teams[[#This Row],[tournament]],tournaments_n_rules[],3,0)</f>
        <v>Весна 2026</v>
      </c>
      <c r="H137" s="52">
        <f>VLOOKUP(_teams[[#This Row],[tournament]],tournaments_n_rules[],4,0)</f>
        <v>46082</v>
      </c>
      <c r="I137" s="52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51" t="str">
        <f>VLOOKUP(_teams[[#This Row],[tournament]],tournaments_n_rules[],2,0)</f>
        <v>УПК</v>
      </c>
      <c r="G138" s="51" t="str">
        <f>VLOOKUP(_teams[[#This Row],[tournament]],tournaments_n_rules[],3,0)</f>
        <v>Весна 2026</v>
      </c>
      <c r="H138" s="52">
        <f>VLOOKUP(_teams[[#This Row],[tournament]],tournaments_n_rules[],4,0)</f>
        <v>46082</v>
      </c>
      <c r="I138" s="52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51" t="str">
        <f>VLOOKUP(_teams[[#This Row],[tournament]],tournaments_n_rules[],2,0)</f>
        <v>УПК</v>
      </c>
      <c r="G139" s="51" t="str">
        <f>VLOOKUP(_teams[[#This Row],[tournament]],tournaments_n_rules[],3,0)</f>
        <v>Весна 2026</v>
      </c>
      <c r="H139" s="52">
        <f>VLOOKUP(_teams[[#This Row],[tournament]],tournaments_n_rules[],4,0)</f>
        <v>46082</v>
      </c>
      <c r="I139" s="52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51" t="str">
        <f>VLOOKUP(_teams[[#This Row],[tournament]],tournaments_n_rules[],2,0)</f>
        <v>УПК</v>
      </c>
      <c r="G140" s="51" t="str">
        <f>VLOOKUP(_teams[[#This Row],[tournament]],tournaments_n_rules[],3,0)</f>
        <v>Весна 2026</v>
      </c>
      <c r="H140" s="52">
        <f>VLOOKUP(_teams[[#This Row],[tournament]],tournaments_n_rules[],4,0)</f>
        <v>46082</v>
      </c>
      <c r="I140" s="52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51" t="str">
        <f>VLOOKUP(_teams[[#This Row],[tournament]],tournaments_n_rules[],2,0)</f>
        <v>УПК</v>
      </c>
      <c r="G141" s="51" t="str">
        <f>VLOOKUP(_teams[[#This Row],[tournament]],tournaments_n_rules[],3,0)</f>
        <v>Весна 2026</v>
      </c>
      <c r="H141" s="52">
        <f>VLOOKUP(_teams[[#This Row],[tournament]],tournaments_n_rules[],4,0)</f>
        <v>46082</v>
      </c>
      <c r="I141" s="52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51" t="str">
        <f>VLOOKUP(_teams[[#This Row],[tournament]],tournaments_n_rules[],2,0)</f>
        <v>УПК</v>
      </c>
      <c r="G142" s="51" t="str">
        <f>VLOOKUP(_teams[[#This Row],[tournament]],tournaments_n_rules[],3,0)</f>
        <v>Весна 2026</v>
      </c>
      <c r="H142" s="52">
        <f>VLOOKUP(_teams[[#This Row],[tournament]],tournaments_n_rules[],4,0)</f>
        <v>46082</v>
      </c>
      <c r="I142" s="52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51" t="str">
        <f>VLOOKUP(_teams[[#This Row],[tournament]],tournaments_n_rules[],2,0)</f>
        <v>УПК</v>
      </c>
      <c r="G143" s="51" t="str">
        <f>VLOOKUP(_teams[[#This Row],[tournament]],tournaments_n_rules[],3,0)</f>
        <v>Весна 2026</v>
      </c>
      <c r="H143" s="52">
        <f>VLOOKUP(_teams[[#This Row],[tournament]],tournaments_n_rules[],4,0)</f>
        <v>46082</v>
      </c>
      <c r="I143" s="52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51" t="str">
        <f>VLOOKUP(_teams[[#This Row],[tournament]],tournaments_n_rules[],2,0)</f>
        <v>УПК</v>
      </c>
      <c r="G144" s="51" t="str">
        <f>VLOOKUP(_teams[[#This Row],[tournament]],tournaments_n_rules[],3,0)</f>
        <v>Весна 2026</v>
      </c>
      <c r="H144" s="52">
        <f>VLOOKUP(_teams[[#This Row],[tournament]],tournaments_n_rules[],4,0)</f>
        <v>46082</v>
      </c>
      <c r="I144" s="52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51" t="str">
        <f>VLOOKUP(_teams[[#This Row],[tournament]],tournaments_n_rules[],2,0)</f>
        <v>УПК</v>
      </c>
      <c r="G145" s="51" t="str">
        <f>VLOOKUP(_teams[[#This Row],[tournament]],tournaments_n_rules[],3,0)</f>
        <v>Весна 2026</v>
      </c>
      <c r="H145" s="52">
        <f>VLOOKUP(_teams[[#This Row],[tournament]],tournaments_n_rules[],4,0)</f>
        <v>46082</v>
      </c>
      <c r="I145" s="52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51" t="str">
        <f>VLOOKUP(_teams[[#This Row],[tournament]],tournaments_n_rules[],2,0)</f>
        <v>УПК</v>
      </c>
      <c r="G146" s="51" t="str">
        <f>VLOOKUP(_teams[[#This Row],[tournament]],tournaments_n_rules[],3,0)</f>
        <v>Весна 2026</v>
      </c>
      <c r="H146" s="52">
        <f>VLOOKUP(_teams[[#This Row],[tournament]],tournaments_n_rules[],4,0)</f>
        <v>46082</v>
      </c>
      <c r="I146" s="52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51" t="str">
        <f>VLOOKUP(_teams[[#This Row],[tournament]],tournaments_n_rules[],2,0)</f>
        <v>УПК</v>
      </c>
      <c r="G147" s="51" t="str">
        <f>VLOOKUP(_teams[[#This Row],[tournament]],tournaments_n_rules[],3,0)</f>
        <v>Весна 2026</v>
      </c>
      <c r="H147" s="52">
        <f>VLOOKUP(_teams[[#This Row],[tournament]],tournaments_n_rules[],4,0)</f>
        <v>46082</v>
      </c>
      <c r="I147" s="52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51" t="str">
        <f>VLOOKUP(_teams[[#This Row],[tournament]],tournaments_n_rules[],2,0)</f>
        <v>УПК</v>
      </c>
      <c r="G148" s="51" t="str">
        <f>VLOOKUP(_teams[[#This Row],[tournament]],tournaments_n_rules[],3,0)</f>
        <v>Весна 2026</v>
      </c>
      <c r="H148" s="52">
        <f>VLOOKUP(_teams[[#This Row],[tournament]],tournaments_n_rules[],4,0)</f>
        <v>46082</v>
      </c>
      <c r="I148" s="52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51" t="str">
        <f>VLOOKUP(_teams[[#This Row],[tournament]],tournaments_n_rules[],2,0)</f>
        <v>УПК</v>
      </c>
      <c r="G149" s="51" t="str">
        <f>VLOOKUP(_teams[[#This Row],[tournament]],tournaments_n_rules[],3,0)</f>
        <v>Весна 2026</v>
      </c>
      <c r="H149" s="52">
        <f>VLOOKUP(_teams[[#This Row],[tournament]],tournaments_n_rules[],4,0)</f>
        <v>46082</v>
      </c>
      <c r="I149" s="52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51" t="str">
        <f>VLOOKUP(_teams[[#This Row],[tournament]],tournaments_n_rules[],2,0)</f>
        <v>УПК</v>
      </c>
      <c r="G150" s="51" t="str">
        <f>VLOOKUP(_teams[[#This Row],[tournament]],tournaments_n_rules[],3,0)</f>
        <v>Весна 2026</v>
      </c>
      <c r="H150" s="52">
        <f>VLOOKUP(_teams[[#This Row],[tournament]],tournaments_n_rules[],4,0)</f>
        <v>46082</v>
      </c>
      <c r="I150" s="52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51" t="str">
        <f>VLOOKUP(_teams[[#This Row],[tournament]],tournaments_n_rules[],2,0)</f>
        <v>УПК</v>
      </c>
      <c r="G151" s="51" t="str">
        <f>VLOOKUP(_teams[[#This Row],[tournament]],tournaments_n_rules[],3,0)</f>
        <v>Весна 2026</v>
      </c>
      <c r="H151" s="52">
        <f>VLOOKUP(_teams[[#This Row],[tournament]],tournaments_n_rules[],4,0)</f>
        <v>46082</v>
      </c>
      <c r="I151" s="52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51" t="str">
        <f>VLOOKUP(_teams[[#This Row],[tournament]],tournaments_n_rules[],2,0)</f>
        <v>УПК</v>
      </c>
      <c r="G152" s="51" t="str">
        <f>VLOOKUP(_teams[[#This Row],[tournament]],tournaments_n_rules[],3,0)</f>
        <v>Весна 2026</v>
      </c>
      <c r="H152" s="52">
        <f>VLOOKUP(_teams[[#This Row],[tournament]],tournaments_n_rules[],4,0)</f>
        <v>46082</v>
      </c>
      <c r="I152" s="52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51" t="str">
        <f>VLOOKUP(_teams[[#This Row],[tournament]],tournaments_n_rules[],2,0)</f>
        <v>УПК</v>
      </c>
      <c r="G153" s="51" t="str">
        <f>VLOOKUP(_teams[[#This Row],[tournament]],tournaments_n_rules[],3,0)</f>
        <v>Весна 2026</v>
      </c>
      <c r="H153" s="52">
        <f>VLOOKUP(_teams[[#This Row],[tournament]],tournaments_n_rules[],4,0)</f>
        <v>46082</v>
      </c>
      <c r="I153" s="52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51" t="str">
        <f>VLOOKUP(_teams[[#This Row],[tournament]],tournaments_n_rules[],2,0)</f>
        <v>УПК</v>
      </c>
      <c r="G154" s="51" t="str">
        <f>VLOOKUP(_teams[[#This Row],[tournament]],tournaments_n_rules[],3,0)</f>
        <v>Весна 2026</v>
      </c>
      <c r="H154" s="52">
        <f>VLOOKUP(_teams[[#This Row],[tournament]],tournaments_n_rules[],4,0)</f>
        <v>46082</v>
      </c>
      <c r="I154" s="52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51" t="str">
        <f>VLOOKUP(_teams[[#This Row],[tournament]],tournaments_n_rules[],2,0)</f>
        <v>УПК</v>
      </c>
      <c r="G155" s="51" t="str">
        <f>VLOOKUP(_teams[[#This Row],[tournament]],tournaments_n_rules[],3,0)</f>
        <v>Весна 2026</v>
      </c>
      <c r="H155" s="52">
        <f>VLOOKUP(_teams[[#This Row],[tournament]],tournaments_n_rules[],4,0)</f>
        <v>46082</v>
      </c>
      <c r="I155" s="52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51" t="str">
        <f>VLOOKUP(_teams[[#This Row],[tournament]],tournaments_n_rules[],2,0)</f>
        <v>УПК</v>
      </c>
      <c r="G156" s="51" t="str">
        <f>VLOOKUP(_teams[[#This Row],[tournament]],tournaments_n_rules[],3,0)</f>
        <v>Весна 2026</v>
      </c>
      <c r="H156" s="52">
        <f>VLOOKUP(_teams[[#This Row],[tournament]],tournaments_n_rules[],4,0)</f>
        <v>46082</v>
      </c>
      <c r="I156" s="52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51" t="str">
        <f>VLOOKUP(_teams[[#This Row],[tournament]],tournaments_n_rules[],2,0)</f>
        <v>УПК</v>
      </c>
      <c r="G157" s="51" t="str">
        <f>VLOOKUP(_teams[[#This Row],[tournament]],tournaments_n_rules[],3,0)</f>
        <v>Весна 2026</v>
      </c>
      <c r="H157" s="52">
        <f>VLOOKUP(_teams[[#This Row],[tournament]],tournaments_n_rules[],4,0)</f>
        <v>46082</v>
      </c>
      <c r="I157" s="52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51" t="str">
        <f>VLOOKUP(_teams[[#This Row],[tournament]],tournaments_n_rules[],2,0)</f>
        <v>УПК</v>
      </c>
      <c r="G158" s="51" t="str">
        <f>VLOOKUP(_teams[[#This Row],[tournament]],tournaments_n_rules[],3,0)</f>
        <v>Весна 2026</v>
      </c>
      <c r="H158" s="52">
        <f>VLOOKUP(_teams[[#This Row],[tournament]],tournaments_n_rules[],4,0)</f>
        <v>46082</v>
      </c>
      <c r="I158" s="52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51" t="str">
        <f>VLOOKUP(_teams[[#This Row],[tournament]],tournaments_n_rules[],2,0)</f>
        <v>УПК</v>
      </c>
      <c r="G159" s="51" t="str">
        <f>VLOOKUP(_teams[[#This Row],[tournament]],tournaments_n_rules[],3,0)</f>
        <v>Весна 2026</v>
      </c>
      <c r="H159" s="52">
        <f>VLOOKUP(_teams[[#This Row],[tournament]],tournaments_n_rules[],4,0)</f>
        <v>46082</v>
      </c>
      <c r="I159" s="52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51" t="str">
        <f>VLOOKUP(_teams[[#This Row],[tournament]],tournaments_n_rules[],2,0)</f>
        <v>УПК</v>
      </c>
      <c r="G160" s="51" t="str">
        <f>VLOOKUP(_teams[[#This Row],[tournament]],tournaments_n_rules[],3,0)</f>
        <v>Весна 2026</v>
      </c>
      <c r="H160" s="52">
        <f>VLOOKUP(_teams[[#This Row],[tournament]],tournaments_n_rules[],4,0)</f>
        <v>46082</v>
      </c>
      <c r="I160" s="52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51" t="str">
        <f>VLOOKUP(_teams[[#This Row],[tournament]],tournaments_n_rules[],2,0)</f>
        <v>УПК</v>
      </c>
      <c r="G161" s="51" t="str">
        <f>VLOOKUP(_teams[[#This Row],[tournament]],tournaments_n_rules[],3,0)</f>
        <v>Весна 2026</v>
      </c>
      <c r="H161" s="52">
        <f>VLOOKUP(_teams[[#This Row],[tournament]],tournaments_n_rules[],4,0)</f>
        <v>46082</v>
      </c>
      <c r="I161" s="52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51" t="str">
        <f>VLOOKUP(_teams[[#This Row],[tournament]],tournaments_n_rules[],2,0)</f>
        <v>УПК</v>
      </c>
      <c r="G162" s="51" t="str">
        <f>VLOOKUP(_teams[[#This Row],[tournament]],tournaments_n_rules[],3,0)</f>
        <v>Весна 2026</v>
      </c>
      <c r="H162" s="52">
        <f>VLOOKUP(_teams[[#This Row],[tournament]],tournaments_n_rules[],4,0)</f>
        <v>46082</v>
      </c>
      <c r="I162" s="52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51" t="str">
        <f>VLOOKUP(_teams[[#This Row],[tournament]],tournaments_n_rules[],2,0)</f>
        <v>УПК</v>
      </c>
      <c r="G163" s="51" t="str">
        <f>VLOOKUP(_teams[[#This Row],[tournament]],tournaments_n_rules[],3,0)</f>
        <v>Весна 2026</v>
      </c>
      <c r="H163" s="52">
        <f>VLOOKUP(_teams[[#This Row],[tournament]],tournaments_n_rules[],4,0)</f>
        <v>46082</v>
      </c>
      <c r="I163" s="52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51" t="str">
        <f>VLOOKUP(_teams[[#This Row],[tournament]],tournaments_n_rules[],2,0)</f>
        <v>УПК</v>
      </c>
      <c r="G164" s="51" t="str">
        <f>VLOOKUP(_teams[[#This Row],[tournament]],tournaments_n_rules[],3,0)</f>
        <v>Весна 2026</v>
      </c>
      <c r="H164" s="52">
        <f>VLOOKUP(_teams[[#This Row],[tournament]],tournaments_n_rules[],4,0)</f>
        <v>46082</v>
      </c>
      <c r="I164" s="52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51" t="str">
        <f>VLOOKUP(_teams[[#This Row],[tournament]],tournaments_n_rules[],2,0)</f>
        <v>УПК</v>
      </c>
      <c r="G165" s="51" t="str">
        <f>VLOOKUP(_teams[[#This Row],[tournament]],tournaments_n_rules[],3,0)</f>
        <v>Весна 2026</v>
      </c>
      <c r="H165" s="52">
        <f>VLOOKUP(_teams[[#This Row],[tournament]],tournaments_n_rules[],4,0)</f>
        <v>46082</v>
      </c>
      <c r="I165" s="52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51" t="str">
        <f>VLOOKUP(_teams[[#This Row],[tournament]],tournaments_n_rules[],2,0)</f>
        <v>УПК</v>
      </c>
      <c r="G166" s="51" t="str">
        <f>VLOOKUP(_teams[[#This Row],[tournament]],tournaments_n_rules[],3,0)</f>
        <v>Весна 2026</v>
      </c>
      <c r="H166" s="52">
        <f>VLOOKUP(_teams[[#This Row],[tournament]],tournaments_n_rules[],4,0)</f>
        <v>46082</v>
      </c>
      <c r="I166" s="52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51" t="str">
        <f>VLOOKUP(_teams[[#This Row],[tournament]],tournaments_n_rules[],2,0)</f>
        <v>УПК</v>
      </c>
      <c r="G167" s="51" t="str">
        <f>VLOOKUP(_teams[[#This Row],[tournament]],tournaments_n_rules[],3,0)</f>
        <v>Весна 2026</v>
      </c>
      <c r="H167" s="52">
        <f>VLOOKUP(_teams[[#This Row],[tournament]],tournaments_n_rules[],4,0)</f>
        <v>46082</v>
      </c>
      <c r="I167" s="52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51" t="str">
        <f>VLOOKUP(_teams[[#This Row],[tournament]],tournaments_n_rules[],2,0)</f>
        <v>УПК</v>
      </c>
      <c r="G168" s="51" t="str">
        <f>VLOOKUP(_teams[[#This Row],[tournament]],tournaments_n_rules[],3,0)</f>
        <v>Весна 2026</v>
      </c>
      <c r="H168" s="52">
        <f>VLOOKUP(_teams[[#This Row],[tournament]],tournaments_n_rules[],4,0)</f>
        <v>46082</v>
      </c>
      <c r="I168" s="52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51" t="str">
        <f>VLOOKUP(_teams[[#This Row],[tournament]],tournaments_n_rules[],2,0)</f>
        <v>УПК</v>
      </c>
      <c r="G169" s="51" t="str">
        <f>VLOOKUP(_teams[[#This Row],[tournament]],tournaments_n_rules[],3,0)</f>
        <v>Весна 2026</v>
      </c>
      <c r="H169" s="52">
        <f>VLOOKUP(_teams[[#This Row],[tournament]],tournaments_n_rules[],4,0)</f>
        <v>46082</v>
      </c>
      <c r="I169" s="52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51" t="str">
        <f>VLOOKUP(_teams[[#This Row],[tournament]],tournaments_n_rules[],2,0)</f>
        <v>УПК</v>
      </c>
      <c r="G170" s="51" t="str">
        <f>VLOOKUP(_teams[[#This Row],[tournament]],tournaments_n_rules[],3,0)</f>
        <v>Весна 2026</v>
      </c>
      <c r="H170" s="52">
        <f>VLOOKUP(_teams[[#This Row],[tournament]],tournaments_n_rules[],4,0)</f>
        <v>46082</v>
      </c>
      <c r="I170" s="52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51" t="str">
        <f>VLOOKUP(_teams[[#This Row],[tournament]],tournaments_n_rules[],2,0)</f>
        <v>УПК</v>
      </c>
      <c r="G171" s="51" t="str">
        <f>VLOOKUP(_teams[[#This Row],[tournament]],tournaments_n_rules[],3,0)</f>
        <v>Весна 2026</v>
      </c>
      <c r="H171" s="52">
        <f>VLOOKUP(_teams[[#This Row],[tournament]],tournaments_n_rules[],4,0)</f>
        <v>46082</v>
      </c>
      <c r="I171" s="52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5" t="str">
        <f>VLOOKUP(_teams[[#This Row],[tournament]],tournaments_n_rules[],2,0)</f>
        <v>УПК</v>
      </c>
      <c r="G172" s="55" t="str">
        <f>VLOOKUP(_teams[[#This Row],[tournament]],tournaments_n_rules[],3,0)</f>
        <v>Весна 2026</v>
      </c>
      <c r="H172" s="56">
        <f>VLOOKUP(_teams[[#This Row],[tournament]],tournaments_n_rules[],4,0)</f>
        <v>46082</v>
      </c>
      <c r="I172" s="56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5" t="str">
        <f>VLOOKUP(_teams[[#This Row],[tournament]],tournaments_n_rules[],2,0)</f>
        <v>УПК</v>
      </c>
      <c r="G173" s="55" t="str">
        <f>VLOOKUP(_teams[[#This Row],[tournament]],tournaments_n_rules[],3,0)</f>
        <v>Весна 2026</v>
      </c>
      <c r="H173" s="56">
        <f>VLOOKUP(_teams[[#This Row],[tournament]],tournaments_n_rules[],4,0)</f>
        <v>46082</v>
      </c>
      <c r="I173" s="56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5" t="str">
        <f>VLOOKUP(_teams[[#This Row],[tournament]],tournaments_n_rules[],2,0)</f>
        <v>УПК</v>
      </c>
      <c r="G174" s="55" t="str">
        <f>VLOOKUP(_teams[[#This Row],[tournament]],tournaments_n_rules[],3,0)</f>
        <v>Весна 2026</v>
      </c>
      <c r="H174" s="56">
        <f>VLOOKUP(_teams[[#This Row],[tournament]],tournaments_n_rules[],4,0)</f>
        <v>46082</v>
      </c>
      <c r="I174" s="56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5" t="str">
        <f>VLOOKUP(_teams[[#This Row],[tournament]],tournaments_n_rules[],2,0)</f>
        <v>УПК</v>
      </c>
      <c r="G175" s="55" t="str">
        <f>VLOOKUP(_teams[[#This Row],[tournament]],tournaments_n_rules[],3,0)</f>
        <v>Весна 2026</v>
      </c>
      <c r="H175" s="56">
        <f>VLOOKUP(_teams[[#This Row],[tournament]],tournaments_n_rules[],4,0)</f>
        <v>46082</v>
      </c>
      <c r="I175" s="56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5" t="str">
        <f>VLOOKUP(_teams[[#This Row],[tournament]],tournaments_n_rules[],2,0)</f>
        <v>УПК</v>
      </c>
      <c r="G176" s="55" t="str">
        <f>VLOOKUP(_teams[[#This Row],[tournament]],tournaments_n_rules[],3,0)</f>
        <v>Весна 2026</v>
      </c>
      <c r="H176" s="56">
        <f>VLOOKUP(_teams[[#This Row],[tournament]],tournaments_n_rules[],4,0)</f>
        <v>46082</v>
      </c>
      <c r="I176" s="56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5" t="str">
        <f>VLOOKUP(_teams[[#This Row],[tournament]],tournaments_n_rules[],2,0)</f>
        <v>УПК</v>
      </c>
      <c r="G177" s="55" t="str">
        <f>VLOOKUP(_teams[[#This Row],[tournament]],tournaments_n_rules[],3,0)</f>
        <v>Весна 2026</v>
      </c>
      <c r="H177" s="56">
        <f>VLOOKUP(_teams[[#This Row],[tournament]],tournaments_n_rules[],4,0)</f>
        <v>46082</v>
      </c>
      <c r="I177" s="56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5" t="str">
        <f>VLOOKUP(_teams[[#This Row],[tournament]],tournaments_n_rules[],2,0)</f>
        <v>УПК</v>
      </c>
      <c r="G178" s="55" t="str">
        <f>VLOOKUP(_teams[[#This Row],[tournament]],tournaments_n_rules[],3,0)</f>
        <v>Весна 2026</v>
      </c>
      <c r="H178" s="56">
        <f>VLOOKUP(_teams[[#This Row],[tournament]],tournaments_n_rules[],4,0)</f>
        <v>46082</v>
      </c>
      <c r="I178" s="56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5" t="str">
        <f>VLOOKUP(_teams[[#This Row],[tournament]],tournaments_n_rules[],2,0)</f>
        <v>УПК</v>
      </c>
      <c r="G179" s="55" t="str">
        <f>VLOOKUP(_teams[[#This Row],[tournament]],tournaments_n_rules[],3,0)</f>
        <v>Весна 2026</v>
      </c>
      <c r="H179" s="56">
        <f>VLOOKUP(_teams[[#This Row],[tournament]],tournaments_n_rules[],4,0)</f>
        <v>46082</v>
      </c>
      <c r="I179" s="56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5" t="str">
        <f>VLOOKUP(_teams[[#This Row],[tournament]],tournaments_n_rules[],2,0)</f>
        <v>УПК</v>
      </c>
      <c r="G180" s="55" t="str">
        <f>VLOOKUP(_teams[[#This Row],[tournament]],tournaments_n_rules[],3,0)</f>
        <v>Весна 2026</v>
      </c>
      <c r="H180" s="56">
        <f>VLOOKUP(_teams[[#This Row],[tournament]],tournaments_n_rules[],4,0)</f>
        <v>46082</v>
      </c>
      <c r="I180" s="56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5" t="str">
        <f>VLOOKUP(_teams[[#This Row],[tournament]],tournaments_n_rules[],2,0)</f>
        <v>УПК</v>
      </c>
      <c r="G181" s="55" t="str">
        <f>VLOOKUP(_teams[[#This Row],[tournament]],tournaments_n_rules[],3,0)</f>
        <v>Весна 2026</v>
      </c>
      <c r="H181" s="56">
        <f>VLOOKUP(_teams[[#This Row],[tournament]],tournaments_n_rules[],4,0)</f>
        <v>46082</v>
      </c>
      <c r="I181" s="56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5" t="str">
        <f>VLOOKUP(_teams[[#This Row],[tournament]],tournaments_n_rules[],2,0)</f>
        <v>УПК</v>
      </c>
      <c r="G182" s="55" t="str">
        <f>VLOOKUP(_teams[[#This Row],[tournament]],tournaments_n_rules[],3,0)</f>
        <v>Весна 2026</v>
      </c>
      <c r="H182" s="56">
        <f>VLOOKUP(_teams[[#This Row],[tournament]],tournaments_n_rules[],4,0)</f>
        <v>46082</v>
      </c>
      <c r="I182" s="56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5" t="str">
        <f>VLOOKUP(_teams[[#This Row],[tournament]],tournaments_n_rules[],2,0)</f>
        <v>УПК</v>
      </c>
      <c r="G183" s="55" t="str">
        <f>VLOOKUP(_teams[[#This Row],[tournament]],tournaments_n_rules[],3,0)</f>
        <v>Весна 2026</v>
      </c>
      <c r="H183" s="56">
        <f>VLOOKUP(_teams[[#This Row],[tournament]],tournaments_n_rules[],4,0)</f>
        <v>46082</v>
      </c>
      <c r="I183" s="56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5" t="str">
        <f>VLOOKUP(_teams[[#This Row],[tournament]],tournaments_n_rules[],2,0)</f>
        <v>УПК</v>
      </c>
      <c r="G184" s="55" t="str">
        <f>VLOOKUP(_teams[[#This Row],[tournament]],tournaments_n_rules[],3,0)</f>
        <v>Весна 2026</v>
      </c>
      <c r="H184" s="56">
        <f>VLOOKUP(_teams[[#This Row],[tournament]],tournaments_n_rules[],4,0)</f>
        <v>46082</v>
      </c>
      <c r="I184" s="56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5" t="str">
        <f>VLOOKUP(_teams[[#This Row],[tournament]],tournaments_n_rules[],2,0)</f>
        <v>УПК</v>
      </c>
      <c r="G185" s="55" t="str">
        <f>VLOOKUP(_teams[[#This Row],[tournament]],tournaments_n_rules[],3,0)</f>
        <v>Весна 2026</v>
      </c>
      <c r="H185" s="56">
        <f>VLOOKUP(_teams[[#This Row],[tournament]],tournaments_n_rules[],4,0)</f>
        <v>46082</v>
      </c>
      <c r="I185" s="56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5" t="str">
        <f>VLOOKUP(_teams[[#This Row],[tournament]],tournaments_n_rules[],2,0)</f>
        <v>УПК</v>
      </c>
      <c r="G186" s="55" t="str">
        <f>VLOOKUP(_teams[[#This Row],[tournament]],tournaments_n_rules[],3,0)</f>
        <v>Весна 2026</v>
      </c>
      <c r="H186" s="56">
        <f>VLOOKUP(_teams[[#This Row],[tournament]],tournaments_n_rules[],4,0)</f>
        <v>46082</v>
      </c>
      <c r="I186" s="56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5" t="str">
        <f>VLOOKUP(_teams[[#This Row],[tournament]],tournaments_n_rules[],2,0)</f>
        <v>УПК</v>
      </c>
      <c r="G187" s="55" t="str">
        <f>VLOOKUP(_teams[[#This Row],[tournament]],tournaments_n_rules[],3,0)</f>
        <v>Весна 2026</v>
      </c>
      <c r="H187" s="56">
        <f>VLOOKUP(_teams[[#This Row],[tournament]],tournaments_n_rules[],4,0)</f>
        <v>46082</v>
      </c>
      <c r="I187" s="56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5" t="str">
        <f>VLOOKUP(_teams[[#This Row],[tournament]],tournaments_n_rules[],2,0)</f>
        <v>УПК</v>
      </c>
      <c r="G188" s="55" t="str">
        <f>VLOOKUP(_teams[[#This Row],[tournament]],tournaments_n_rules[],3,0)</f>
        <v>Лето 2026</v>
      </c>
      <c r="H188" s="56">
        <f>VLOOKUP(_teams[[#This Row],[tournament]],tournaments_n_rules[],4,0)</f>
        <v>46194</v>
      </c>
      <c r="I188" s="56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5" t="str">
        <f>VLOOKUP(_teams[[#This Row],[tournament]],tournaments_n_rules[],2,0)</f>
        <v>УПК</v>
      </c>
      <c r="G189" s="55" t="str">
        <f>VLOOKUP(_teams[[#This Row],[tournament]],tournaments_n_rules[],3,0)</f>
        <v>Лето 2026</v>
      </c>
      <c r="H189" s="56">
        <f>VLOOKUP(_teams[[#This Row],[tournament]],tournaments_n_rules[],4,0)</f>
        <v>46194</v>
      </c>
      <c r="I189" s="56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5" t="str">
        <f>VLOOKUP(_teams[[#This Row],[tournament]],tournaments_n_rules[],2,0)</f>
        <v>УПК</v>
      </c>
      <c r="G190" s="55" t="str">
        <f>VLOOKUP(_teams[[#This Row],[tournament]],tournaments_n_rules[],3,0)</f>
        <v>Лето 2026</v>
      </c>
      <c r="H190" s="56">
        <f>VLOOKUP(_teams[[#This Row],[tournament]],tournaments_n_rules[],4,0)</f>
        <v>46194</v>
      </c>
      <c r="I190" s="56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5" t="str">
        <f>VLOOKUP(_teams[[#This Row],[tournament]],tournaments_n_rules[],2,0)</f>
        <v>УПК</v>
      </c>
      <c r="G191" s="55" t="str">
        <f>VLOOKUP(_teams[[#This Row],[tournament]],tournaments_n_rules[],3,0)</f>
        <v>Лето 2026</v>
      </c>
      <c r="H191" s="56">
        <f>VLOOKUP(_teams[[#This Row],[tournament]],tournaments_n_rules[],4,0)</f>
        <v>46194</v>
      </c>
      <c r="I191" s="56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5" t="str">
        <f>VLOOKUP(_teams[[#This Row],[tournament]],tournaments_n_rules[],2,0)</f>
        <v>УПК</v>
      </c>
      <c r="G192" s="55" t="str">
        <f>VLOOKUP(_teams[[#This Row],[tournament]],tournaments_n_rules[],3,0)</f>
        <v>Лето 2026</v>
      </c>
      <c r="H192" s="56">
        <f>VLOOKUP(_teams[[#This Row],[tournament]],tournaments_n_rules[],4,0)</f>
        <v>46194</v>
      </c>
      <c r="I192" s="56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5" t="str">
        <f>VLOOKUP(_teams[[#This Row],[tournament]],tournaments_n_rules[],2,0)</f>
        <v>УПК</v>
      </c>
      <c r="G193" s="55" t="str">
        <f>VLOOKUP(_teams[[#This Row],[tournament]],tournaments_n_rules[],3,0)</f>
        <v>Лето 2026</v>
      </c>
      <c r="H193" s="56">
        <f>VLOOKUP(_teams[[#This Row],[tournament]],tournaments_n_rules[],4,0)</f>
        <v>46194</v>
      </c>
      <c r="I193" s="56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5" t="str">
        <f>VLOOKUP(_teams[[#This Row],[tournament]],tournaments_n_rules[],2,0)</f>
        <v>УПК</v>
      </c>
      <c r="G194" s="55" t="str">
        <f>VLOOKUP(_teams[[#This Row],[tournament]],tournaments_n_rules[],3,0)</f>
        <v>Лето 2026</v>
      </c>
      <c r="H194" s="56">
        <f>VLOOKUP(_teams[[#This Row],[tournament]],tournaments_n_rules[],4,0)</f>
        <v>46194</v>
      </c>
      <c r="I194" s="56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5" t="str">
        <f>VLOOKUP(_teams[[#This Row],[tournament]],tournaments_n_rules[],2,0)</f>
        <v>УПК</v>
      </c>
      <c r="G195" s="55" t="str">
        <f>VLOOKUP(_teams[[#This Row],[tournament]],tournaments_n_rules[],3,0)</f>
        <v>Лето 2026</v>
      </c>
      <c r="H195" s="56">
        <f>VLOOKUP(_teams[[#This Row],[tournament]],tournaments_n_rules[],4,0)</f>
        <v>46194</v>
      </c>
      <c r="I195" s="56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5" t="str">
        <f>VLOOKUP(_teams[[#This Row],[tournament]],tournaments_n_rules[],2,0)</f>
        <v>УПК</v>
      </c>
      <c r="G196" s="55" t="str">
        <f>VLOOKUP(_teams[[#This Row],[tournament]],tournaments_n_rules[],3,0)</f>
        <v>Лето 2026</v>
      </c>
      <c r="H196" s="56">
        <f>VLOOKUP(_teams[[#This Row],[tournament]],tournaments_n_rules[],4,0)</f>
        <v>46194</v>
      </c>
      <c r="I196" s="56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5" t="str">
        <f>VLOOKUP(_teams[[#This Row],[tournament]],tournaments_n_rules[],2,0)</f>
        <v>УПК</v>
      </c>
      <c r="G197" s="55" t="str">
        <f>VLOOKUP(_teams[[#This Row],[tournament]],tournaments_n_rules[],3,0)</f>
        <v>Лето 2026</v>
      </c>
      <c r="H197" s="56">
        <f>VLOOKUP(_teams[[#This Row],[tournament]],tournaments_n_rules[],4,0)</f>
        <v>46194</v>
      </c>
      <c r="I197" s="56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5" t="str">
        <f>VLOOKUP(_teams[[#This Row],[tournament]],tournaments_n_rules[],2,0)</f>
        <v>УПК</v>
      </c>
      <c r="G198" s="55" t="str">
        <f>VLOOKUP(_teams[[#This Row],[tournament]],tournaments_n_rules[],3,0)</f>
        <v>Лето 2026</v>
      </c>
      <c r="H198" s="56">
        <f>VLOOKUP(_teams[[#This Row],[tournament]],tournaments_n_rules[],4,0)</f>
        <v>46194</v>
      </c>
      <c r="I198" s="56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5" t="str">
        <f>VLOOKUP(_teams[[#This Row],[tournament]],tournaments_n_rules[],2,0)</f>
        <v>УПК</v>
      </c>
      <c r="G199" s="55" t="str">
        <f>VLOOKUP(_teams[[#This Row],[tournament]],tournaments_n_rules[],3,0)</f>
        <v>Лето 2026</v>
      </c>
      <c r="H199" s="56">
        <f>VLOOKUP(_teams[[#This Row],[tournament]],tournaments_n_rules[],4,0)</f>
        <v>46194</v>
      </c>
      <c r="I199" s="56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5" t="str">
        <f>VLOOKUP(_teams[[#This Row],[tournament]],tournaments_n_rules[],2,0)</f>
        <v>УПК</v>
      </c>
      <c r="G200" s="55" t="str">
        <f>VLOOKUP(_teams[[#This Row],[tournament]],tournaments_n_rules[],3,0)</f>
        <v>Лето 2026</v>
      </c>
      <c r="H200" s="56">
        <f>VLOOKUP(_teams[[#This Row],[tournament]],tournaments_n_rules[],4,0)</f>
        <v>46194</v>
      </c>
      <c r="I200" s="56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5" t="str">
        <f>VLOOKUP(_teams[[#This Row],[tournament]],tournaments_n_rules[],2,0)</f>
        <v>УПК</v>
      </c>
      <c r="G201" s="55" t="str">
        <f>VLOOKUP(_teams[[#This Row],[tournament]],tournaments_n_rules[],3,0)</f>
        <v>Лето 2026</v>
      </c>
      <c r="H201" s="56">
        <f>VLOOKUP(_teams[[#This Row],[tournament]],tournaments_n_rules[],4,0)</f>
        <v>46194</v>
      </c>
      <c r="I201" s="56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5" t="str">
        <f>VLOOKUP(_teams[[#This Row],[tournament]],tournaments_n_rules[],2,0)</f>
        <v>УПК</v>
      </c>
      <c r="G202" s="55" t="str">
        <f>VLOOKUP(_teams[[#This Row],[tournament]],tournaments_n_rules[],3,0)</f>
        <v>Лето 2026</v>
      </c>
      <c r="H202" s="56">
        <f>VLOOKUP(_teams[[#This Row],[tournament]],tournaments_n_rules[],4,0)</f>
        <v>46194</v>
      </c>
      <c r="I202" s="56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5" t="str">
        <f>VLOOKUP(_teams[[#This Row],[tournament]],tournaments_n_rules[],2,0)</f>
        <v>УПК</v>
      </c>
      <c r="G203" s="55" t="str">
        <f>VLOOKUP(_teams[[#This Row],[tournament]],tournaments_n_rules[],3,0)</f>
        <v>Лето 2026</v>
      </c>
      <c r="H203" s="56">
        <f>VLOOKUP(_teams[[#This Row],[tournament]],tournaments_n_rules[],4,0)</f>
        <v>46194</v>
      </c>
      <c r="I203" s="56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5" t="str">
        <f>VLOOKUP(_teams[[#This Row],[tournament]],tournaments_n_rules[],2,0)</f>
        <v>УПК</v>
      </c>
      <c r="G204" s="55" t="str">
        <f>VLOOKUP(_teams[[#This Row],[tournament]],tournaments_n_rules[],3,0)</f>
        <v>Лето 2026</v>
      </c>
      <c r="H204" s="56">
        <f>VLOOKUP(_teams[[#This Row],[tournament]],tournaments_n_rules[],4,0)</f>
        <v>46194</v>
      </c>
      <c r="I204" s="56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5" t="str">
        <f>VLOOKUP(_teams[[#This Row],[tournament]],tournaments_n_rules[],2,0)</f>
        <v>УПК</v>
      </c>
      <c r="G205" s="55" t="str">
        <f>VLOOKUP(_teams[[#This Row],[tournament]],tournaments_n_rules[],3,0)</f>
        <v>Лето 2026</v>
      </c>
      <c r="H205" s="56">
        <f>VLOOKUP(_teams[[#This Row],[tournament]],tournaments_n_rules[],4,0)</f>
        <v>46194</v>
      </c>
      <c r="I205" s="56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5" t="str">
        <f>VLOOKUP(_teams[[#This Row],[tournament]],tournaments_n_rules[],2,0)</f>
        <v>УПК</v>
      </c>
      <c r="G206" s="55" t="str">
        <f>VLOOKUP(_teams[[#This Row],[tournament]],tournaments_n_rules[],3,0)</f>
        <v>Лето 2026</v>
      </c>
      <c r="H206" s="56">
        <f>VLOOKUP(_teams[[#This Row],[tournament]],tournaments_n_rules[],4,0)</f>
        <v>46194</v>
      </c>
      <c r="I206" s="56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5" t="str">
        <f>VLOOKUP(_teams[[#This Row],[tournament]],tournaments_n_rules[],2,0)</f>
        <v>УПК</v>
      </c>
      <c r="G207" s="55" t="str">
        <f>VLOOKUP(_teams[[#This Row],[tournament]],tournaments_n_rules[],3,0)</f>
        <v>Лето 2026</v>
      </c>
      <c r="H207" s="56">
        <f>VLOOKUP(_teams[[#This Row],[tournament]],tournaments_n_rules[],4,0)</f>
        <v>46194</v>
      </c>
      <c r="I207" s="56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5" t="str">
        <f>VLOOKUP(_teams[[#This Row],[tournament]],tournaments_n_rules[],2,0)</f>
        <v>УПК</v>
      </c>
      <c r="G208" s="55" t="str">
        <f>VLOOKUP(_teams[[#This Row],[tournament]],tournaments_n_rules[],3,0)</f>
        <v>Лето 2026</v>
      </c>
      <c r="H208" s="56">
        <f>VLOOKUP(_teams[[#This Row],[tournament]],tournaments_n_rules[],4,0)</f>
        <v>46194</v>
      </c>
      <c r="I208" s="56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5" t="str">
        <f>VLOOKUP(_teams[[#This Row],[tournament]],tournaments_n_rules[],2,0)</f>
        <v>УПК</v>
      </c>
      <c r="G209" s="55" t="str">
        <f>VLOOKUP(_teams[[#This Row],[tournament]],tournaments_n_rules[],3,0)</f>
        <v>Лето 2026</v>
      </c>
      <c r="H209" s="56">
        <f>VLOOKUP(_teams[[#This Row],[tournament]],tournaments_n_rules[],4,0)</f>
        <v>46194</v>
      </c>
      <c r="I209" s="56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5" t="str">
        <f>VLOOKUP(_teams[[#This Row],[tournament]],tournaments_n_rules[],2,0)</f>
        <v>УПК</v>
      </c>
      <c r="G210" s="55" t="str">
        <f>VLOOKUP(_teams[[#This Row],[tournament]],tournaments_n_rules[],3,0)</f>
        <v>Лето 2026</v>
      </c>
      <c r="H210" s="56">
        <f>VLOOKUP(_teams[[#This Row],[tournament]],tournaments_n_rules[],4,0)</f>
        <v>46194</v>
      </c>
      <c r="I210" s="56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5" t="str">
        <f>VLOOKUP(_teams[[#This Row],[tournament]],tournaments_n_rules[],2,0)</f>
        <v>УПК</v>
      </c>
      <c r="G211" s="55" t="str">
        <f>VLOOKUP(_teams[[#This Row],[tournament]],tournaments_n_rules[],3,0)</f>
        <v>Лето 2026</v>
      </c>
      <c r="H211" s="56">
        <f>VLOOKUP(_teams[[#This Row],[tournament]],tournaments_n_rules[],4,0)</f>
        <v>46194</v>
      </c>
      <c r="I211" s="56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5" t="str">
        <f>VLOOKUP(_teams[[#This Row],[tournament]],tournaments_n_rules[],2,0)</f>
        <v>УПК</v>
      </c>
      <c r="G212" s="55" t="str">
        <f>VLOOKUP(_teams[[#This Row],[tournament]],tournaments_n_rules[],3,0)</f>
        <v>Лето 2026</v>
      </c>
      <c r="H212" s="56">
        <f>VLOOKUP(_teams[[#This Row],[tournament]],tournaments_n_rules[],4,0)</f>
        <v>46194</v>
      </c>
      <c r="I212" s="56">
        <f>VLOOKUP(_teams[[#This Row],[tournament]],tournaments_n_rules[],5,0)</f>
        <v>46265</v>
      </c>
    </row>
  </sheetData>
  <dataValidations count="1">
    <dataValidation type="list" allowBlank="1" showInputMessage="1" showErrorMessage="1" sqref="B2:B212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D24" sqref="D24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4" t="s">
        <v>207</v>
      </c>
      <c r="G1" s="44" t="s">
        <v>208</v>
      </c>
      <c r="H1" s="44" t="s">
        <v>209</v>
      </c>
      <c r="I1" s="44" t="s">
        <v>210</v>
      </c>
      <c r="J1" s="44" t="s">
        <v>211</v>
      </c>
      <c r="K1" s="43" t="s">
        <v>212</v>
      </c>
    </row>
    <row r="2" spans="1:11" x14ac:dyDescent="0.25">
      <c r="A2" s="46">
        <f t="shared" ref="A2:A7" si="0">ROW()-1</f>
        <v>1</v>
      </c>
      <c r="B2" s="45" t="s">
        <v>213</v>
      </c>
      <c r="C2" s="45" t="s">
        <v>214</v>
      </c>
      <c r="D2" s="47">
        <v>45717</v>
      </c>
      <c r="E2" s="47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6">
        <f t="shared" si="0"/>
        <v>2</v>
      </c>
      <c r="B3" s="45" t="s">
        <v>213</v>
      </c>
      <c r="C3" s="45" t="s">
        <v>215</v>
      </c>
      <c r="D3" s="47">
        <v>45809</v>
      </c>
      <c r="E3" s="47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6">
        <f t="shared" si="0"/>
        <v>3</v>
      </c>
      <c r="B4" s="45" t="s">
        <v>213</v>
      </c>
      <c r="C4" s="45" t="s">
        <v>216</v>
      </c>
      <c r="D4" s="47">
        <v>45901</v>
      </c>
      <c r="E4" s="47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6">
        <f t="shared" si="0"/>
        <v>4</v>
      </c>
      <c r="B5" s="45" t="s">
        <v>217</v>
      </c>
      <c r="C5" s="45" t="s">
        <v>216</v>
      </c>
      <c r="D5" s="47">
        <v>45901</v>
      </c>
      <c r="E5" s="47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6">
        <f t="shared" si="0"/>
        <v>5</v>
      </c>
      <c r="B6" s="45" t="s">
        <v>217</v>
      </c>
      <c r="C6" s="45" t="s">
        <v>218</v>
      </c>
      <c r="D6" s="47">
        <v>45992</v>
      </c>
      <c r="E6" s="47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6">
        <f t="shared" si="0"/>
        <v>6</v>
      </c>
      <c r="B7" s="45" t="s">
        <v>217</v>
      </c>
      <c r="C7" s="45" t="s">
        <v>219</v>
      </c>
      <c r="D7" s="47">
        <v>46082</v>
      </c>
      <c r="E7" s="47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6">
        <f>ROW()-1</f>
        <v>7</v>
      </c>
      <c r="B8" s="45" t="s">
        <v>217</v>
      </c>
      <c r="C8" s="45" t="s">
        <v>220</v>
      </c>
      <c r="D8" s="47">
        <v>46194</v>
      </c>
      <c r="E8" s="47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16" workbookViewId="0">
      <selection activeCell="C29" sqref="C29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61" t="s">
        <v>221</v>
      </c>
      <c r="B1" s="61" t="s">
        <v>222</v>
      </c>
      <c r="C1" s="61" t="s">
        <v>223</v>
      </c>
      <c r="D1" s="61" t="s">
        <v>224</v>
      </c>
    </row>
    <row r="2" spans="1:4" ht="45" x14ac:dyDescent="0.25">
      <c r="A2" s="65">
        <v>1</v>
      </c>
      <c r="B2" s="66" t="s">
        <v>226</v>
      </c>
      <c r="C2" s="67" t="s">
        <v>238</v>
      </c>
      <c r="D2" s="66" t="s">
        <v>227</v>
      </c>
    </row>
    <row r="3" spans="1:4" x14ac:dyDescent="0.25">
      <c r="A3" s="65">
        <v>2</v>
      </c>
      <c r="B3" s="66" t="s">
        <v>242</v>
      </c>
      <c r="C3" s="67" t="s">
        <v>228</v>
      </c>
      <c r="D3" s="66" t="s">
        <v>229</v>
      </c>
    </row>
    <row r="4" spans="1:4" ht="60" x14ac:dyDescent="0.25">
      <c r="A4" s="65">
        <v>3</v>
      </c>
      <c r="B4" s="66" t="s">
        <v>234</v>
      </c>
      <c r="C4" s="67" t="s">
        <v>237</v>
      </c>
      <c r="D4" s="66" t="s">
        <v>230</v>
      </c>
    </row>
    <row r="5" spans="1:4" ht="60" x14ac:dyDescent="0.25">
      <c r="A5" s="65">
        <v>4</v>
      </c>
      <c r="B5" s="66" t="s">
        <v>235</v>
      </c>
      <c r="C5" s="67" t="s">
        <v>236</v>
      </c>
      <c r="D5" s="66" t="s">
        <v>231</v>
      </c>
    </row>
    <row r="6" spans="1:4" ht="90" x14ac:dyDescent="0.25">
      <c r="A6" s="65">
        <v>5</v>
      </c>
      <c r="B6" s="66" t="s">
        <v>239</v>
      </c>
      <c r="C6" s="67" t="s">
        <v>240</v>
      </c>
      <c r="D6" s="66" t="s">
        <v>232</v>
      </c>
    </row>
    <row r="7" spans="1:4" ht="30" x14ac:dyDescent="0.25">
      <c r="A7" s="65">
        <v>6</v>
      </c>
      <c r="B7" s="66" t="s">
        <v>241</v>
      </c>
      <c r="C7" s="67" t="s">
        <v>243</v>
      </c>
      <c r="D7" s="66" t="s">
        <v>233</v>
      </c>
    </row>
    <row r="8" spans="1:4" x14ac:dyDescent="0.25">
      <c r="A8" s="65">
        <v>7</v>
      </c>
      <c r="B8" s="66" t="s">
        <v>245</v>
      </c>
      <c r="C8" s="67" t="s">
        <v>248</v>
      </c>
      <c r="D8" s="66" t="s">
        <v>246</v>
      </c>
    </row>
    <row r="9" spans="1:4" ht="30" x14ac:dyDescent="0.25">
      <c r="A9" s="65">
        <v>8</v>
      </c>
      <c r="B9" s="66" t="s">
        <v>249</v>
      </c>
      <c r="C9" s="67" t="s">
        <v>251</v>
      </c>
      <c r="D9" s="66" t="s">
        <v>250</v>
      </c>
    </row>
    <row r="10" spans="1:4" ht="60" x14ac:dyDescent="0.25">
      <c r="A10" s="65">
        <v>9</v>
      </c>
      <c r="B10" s="66" t="s">
        <v>253</v>
      </c>
      <c r="C10" s="67" t="s">
        <v>254</v>
      </c>
      <c r="D10" s="66" t="s">
        <v>255</v>
      </c>
    </row>
    <row r="11" spans="1:4" ht="30" x14ac:dyDescent="0.25">
      <c r="A11" s="65">
        <v>10</v>
      </c>
      <c r="B11" s="66" t="s">
        <v>257</v>
      </c>
      <c r="C11" s="67" t="s">
        <v>259</v>
      </c>
      <c r="D11" s="66" t="s">
        <v>258</v>
      </c>
    </row>
    <row r="12" spans="1:4" x14ac:dyDescent="0.25">
      <c r="A12" s="65">
        <v>11</v>
      </c>
      <c r="B12" s="66" t="s">
        <v>260</v>
      </c>
      <c r="C12" s="67" t="s">
        <v>261</v>
      </c>
      <c r="D12" s="66" t="s">
        <v>280</v>
      </c>
    </row>
    <row r="13" spans="1:4" ht="45" x14ac:dyDescent="0.25">
      <c r="A13" s="65">
        <v>12</v>
      </c>
      <c r="B13" s="66" t="s">
        <v>263</v>
      </c>
      <c r="C13" s="67" t="s">
        <v>262</v>
      </c>
      <c r="D13" s="66" t="s">
        <v>281</v>
      </c>
    </row>
    <row r="14" spans="1:4" ht="30" x14ac:dyDescent="0.25">
      <c r="A14" s="65">
        <v>13</v>
      </c>
      <c r="B14" s="66" t="s">
        <v>264</v>
      </c>
      <c r="C14" s="67" t="s">
        <v>270</v>
      </c>
      <c r="D14" s="66" t="s">
        <v>282</v>
      </c>
    </row>
    <row r="15" spans="1:4" x14ac:dyDescent="0.25">
      <c r="A15" s="65">
        <v>14</v>
      </c>
      <c r="B15" s="66" t="s">
        <v>265</v>
      </c>
      <c r="C15" s="67" t="s">
        <v>271</v>
      </c>
      <c r="D15" s="66" t="s">
        <v>283</v>
      </c>
    </row>
    <row r="16" spans="1:4" x14ac:dyDescent="0.25">
      <c r="A16" s="65">
        <v>15</v>
      </c>
      <c r="B16" s="66" t="s">
        <v>266</v>
      </c>
      <c r="C16" s="67" t="s">
        <v>272</v>
      </c>
      <c r="D16" s="66" t="s">
        <v>284</v>
      </c>
    </row>
    <row r="17" spans="1:4" x14ac:dyDescent="0.25">
      <c r="A17" s="65">
        <v>16</v>
      </c>
      <c r="B17" s="66" t="s">
        <v>267</v>
      </c>
      <c r="C17" s="67" t="s">
        <v>273</v>
      </c>
      <c r="D17" s="66" t="s">
        <v>285</v>
      </c>
    </row>
    <row r="18" spans="1:4" x14ac:dyDescent="0.25">
      <c r="A18" s="65">
        <v>17</v>
      </c>
      <c r="B18" s="66" t="s">
        <v>268</v>
      </c>
      <c r="C18" s="67" t="s">
        <v>274</v>
      </c>
      <c r="D18" s="66" t="s">
        <v>286</v>
      </c>
    </row>
    <row r="19" spans="1:4" ht="30" x14ac:dyDescent="0.25">
      <c r="A19" s="65">
        <v>18</v>
      </c>
      <c r="B19" s="66" t="s">
        <v>269</v>
      </c>
      <c r="C19" s="67" t="s">
        <v>275</v>
      </c>
      <c r="D19" s="66" t="s">
        <v>287</v>
      </c>
    </row>
    <row r="20" spans="1:4" x14ac:dyDescent="0.25">
      <c r="A20" s="65">
        <v>19</v>
      </c>
      <c r="B20" s="66" t="s">
        <v>277</v>
      </c>
      <c r="C20" s="67" t="s">
        <v>276</v>
      </c>
      <c r="D20" s="66" t="s">
        <v>288</v>
      </c>
    </row>
    <row r="21" spans="1:4" x14ac:dyDescent="0.25">
      <c r="A21" s="65">
        <v>20</v>
      </c>
      <c r="B21" s="66" t="s">
        <v>279</v>
      </c>
      <c r="C21" s="67" t="s">
        <v>278</v>
      </c>
      <c r="D21" s="66" t="s">
        <v>289</v>
      </c>
    </row>
    <row r="22" spans="1:4" x14ac:dyDescent="0.25">
      <c r="A22" s="63"/>
      <c r="B22" s="62"/>
      <c r="C22" s="62"/>
      <c r="D22" s="62"/>
    </row>
    <row r="23" spans="1:4" x14ac:dyDescent="0.25">
      <c r="A23" s="63"/>
      <c r="B23" s="62"/>
      <c r="C23" s="62"/>
      <c r="D23" s="62"/>
    </row>
    <row r="24" spans="1:4" x14ac:dyDescent="0.25">
      <c r="A24" s="63"/>
      <c r="B24" s="62"/>
      <c r="C24" s="62"/>
      <c r="D24" s="62"/>
    </row>
    <row r="25" spans="1:4" x14ac:dyDescent="0.25">
      <c r="A25" s="63"/>
      <c r="B25" s="62"/>
      <c r="C25" s="62"/>
      <c r="D25" s="62"/>
    </row>
    <row r="26" spans="1:4" x14ac:dyDescent="0.25">
      <c r="A26" s="63"/>
      <c r="B26" s="62"/>
      <c r="C26" s="62"/>
      <c r="D26" s="62"/>
    </row>
    <row r="27" spans="1:4" x14ac:dyDescent="0.25">
      <c r="A27" s="63"/>
      <c r="B27" s="62"/>
      <c r="C27" s="62"/>
      <c r="D27" s="62"/>
    </row>
    <row r="28" spans="1:4" x14ac:dyDescent="0.25">
      <c r="A28" s="63"/>
      <c r="B28" s="62"/>
      <c r="C28" s="62"/>
      <c r="D28" s="62"/>
    </row>
    <row r="29" spans="1:4" x14ac:dyDescent="0.25">
      <c r="A29" s="63"/>
      <c r="B29" s="62"/>
      <c r="C29" s="62"/>
      <c r="D29" s="62"/>
    </row>
    <row r="30" spans="1:4" x14ac:dyDescent="0.25">
      <c r="A30" s="63"/>
      <c r="B30" s="62"/>
      <c r="C30" s="62"/>
      <c r="D30" s="62"/>
    </row>
    <row r="31" spans="1:4" x14ac:dyDescent="0.25">
      <c r="A31" s="63"/>
      <c r="B31" s="62"/>
      <c r="C31" s="62"/>
      <c r="D31" s="62"/>
    </row>
    <row r="32" spans="1:4" x14ac:dyDescent="0.25">
      <c r="A32" s="63"/>
      <c r="B32" s="62"/>
      <c r="C32" s="62"/>
      <c r="D32" s="62"/>
    </row>
    <row r="33" spans="1:4" x14ac:dyDescent="0.25">
      <c r="A33" s="63"/>
      <c r="B33" s="62"/>
      <c r="C33" s="62"/>
      <c r="D33" s="62"/>
    </row>
    <row r="34" spans="1:4" x14ac:dyDescent="0.25">
      <c r="A34" s="63"/>
      <c r="B34" s="62"/>
      <c r="C34" s="62"/>
      <c r="D34" s="62"/>
    </row>
    <row r="35" spans="1:4" x14ac:dyDescent="0.25">
      <c r="A35" s="63"/>
      <c r="B35" s="62"/>
      <c r="C35" s="62"/>
      <c r="D35" s="62"/>
    </row>
    <row r="36" spans="1:4" x14ac:dyDescent="0.25">
      <c r="A36" s="63"/>
      <c r="B36" s="62"/>
      <c r="C36" s="62"/>
      <c r="D36" s="62"/>
    </row>
    <row r="37" spans="1:4" x14ac:dyDescent="0.25">
      <c r="A37" s="63"/>
      <c r="B37" s="62"/>
      <c r="C37" s="62"/>
      <c r="D37" s="62"/>
    </row>
    <row r="38" spans="1:4" x14ac:dyDescent="0.25">
      <c r="A38" s="63"/>
      <c r="B38" s="62"/>
      <c r="C38" s="62"/>
      <c r="D38" s="62"/>
    </row>
    <row r="39" spans="1:4" x14ac:dyDescent="0.25">
      <c r="A39" s="63"/>
      <c r="B39" s="62"/>
      <c r="C39" s="62"/>
      <c r="D39" s="62"/>
    </row>
    <row r="40" spans="1:4" x14ac:dyDescent="0.25">
      <c r="A40" s="63"/>
      <c r="B40" s="62"/>
      <c r="C40" s="62"/>
      <c r="D40" s="62"/>
    </row>
    <row r="41" spans="1:4" x14ac:dyDescent="0.25">
      <c r="A41" s="63"/>
      <c r="B41" s="62"/>
      <c r="C41" s="62"/>
      <c r="D41" s="62"/>
    </row>
    <row r="42" spans="1:4" x14ac:dyDescent="0.25">
      <c r="A42" s="63"/>
      <c r="B42" s="62"/>
      <c r="C42" s="62"/>
      <c r="D42" s="62"/>
    </row>
    <row r="43" spans="1:4" x14ac:dyDescent="0.25">
      <c r="A43" s="63"/>
      <c r="B43" s="62"/>
      <c r="C43" s="62"/>
      <c r="D43" s="62"/>
    </row>
    <row r="44" spans="1:4" x14ac:dyDescent="0.25">
      <c r="A44" s="63"/>
      <c r="B44" s="62"/>
      <c r="C44" s="62"/>
      <c r="D44" s="62"/>
    </row>
    <row r="45" spans="1:4" x14ac:dyDescent="0.25">
      <c r="A45" s="63"/>
      <c r="B45" s="62"/>
      <c r="C45" s="62"/>
      <c r="D45" s="62"/>
    </row>
    <row r="46" spans="1:4" x14ac:dyDescent="0.25">
      <c r="A46" s="63"/>
      <c r="B46" s="62"/>
      <c r="C46" s="62"/>
      <c r="D46" s="62"/>
    </row>
    <row r="47" spans="1:4" x14ac:dyDescent="0.25">
      <c r="A47" s="63"/>
      <c r="B47" s="62"/>
      <c r="C47" s="62"/>
      <c r="D47" s="62"/>
    </row>
    <row r="48" spans="1:4" x14ac:dyDescent="0.25">
      <c r="A48" s="63"/>
      <c r="B48" s="62"/>
      <c r="C48" s="62"/>
      <c r="D48" s="62"/>
    </row>
    <row r="49" spans="1:4" x14ac:dyDescent="0.25">
      <c r="A49" s="63"/>
      <c r="B49" s="62"/>
      <c r="C49" s="62"/>
      <c r="D49" s="62"/>
    </row>
    <row r="50" spans="1:4" x14ac:dyDescent="0.25">
      <c r="A50" s="63"/>
      <c r="B50" s="62"/>
      <c r="C50" s="62"/>
      <c r="D50" s="62"/>
    </row>
    <row r="51" spans="1:4" x14ac:dyDescent="0.25">
      <c r="A51" s="63"/>
      <c r="B51" s="62"/>
      <c r="C51" s="62"/>
      <c r="D51" s="62"/>
    </row>
    <row r="52" spans="1:4" x14ac:dyDescent="0.25">
      <c r="A52" s="63"/>
      <c r="B52" s="62"/>
      <c r="C52" s="62"/>
      <c r="D52" s="62"/>
    </row>
    <row r="53" spans="1:4" x14ac:dyDescent="0.25">
      <c r="A53" s="63"/>
      <c r="B53" s="62"/>
      <c r="C53" s="62"/>
      <c r="D53" s="62"/>
    </row>
    <row r="54" spans="1:4" x14ac:dyDescent="0.25">
      <c r="A54" s="63"/>
      <c r="B54" s="62"/>
      <c r="C54" s="62"/>
      <c r="D54" s="62"/>
    </row>
    <row r="55" spans="1:4" x14ac:dyDescent="0.25">
      <c r="A55" s="63"/>
      <c r="B55" s="62"/>
      <c r="C55" s="62"/>
      <c r="D55" s="62"/>
    </row>
    <row r="56" spans="1:4" x14ac:dyDescent="0.25">
      <c r="A56" s="63"/>
      <c r="B56" s="62"/>
      <c r="C56" s="62"/>
      <c r="D56" s="62"/>
    </row>
    <row r="57" spans="1:4" x14ac:dyDescent="0.25">
      <c r="A57" s="63"/>
      <c r="B57" s="62"/>
      <c r="C57" s="62"/>
      <c r="D57" s="62"/>
    </row>
    <row r="58" spans="1:4" x14ac:dyDescent="0.25">
      <c r="A58" s="63"/>
      <c r="B58" s="62"/>
      <c r="C58" s="62"/>
      <c r="D58" s="62"/>
    </row>
    <row r="59" spans="1:4" x14ac:dyDescent="0.25">
      <c r="A59" s="63"/>
      <c r="B59" s="62"/>
      <c r="C59" s="62"/>
      <c r="D59" s="62"/>
    </row>
    <row r="60" spans="1:4" x14ac:dyDescent="0.25">
      <c r="A60" s="63"/>
      <c r="B60" s="62"/>
      <c r="C60" s="62"/>
      <c r="D60" s="62"/>
    </row>
    <row r="61" spans="1:4" x14ac:dyDescent="0.25">
      <c r="A61" s="63"/>
      <c r="B61" s="62"/>
      <c r="C61" s="62"/>
      <c r="D61" s="62"/>
    </row>
    <row r="62" spans="1:4" x14ac:dyDescent="0.25">
      <c r="A62" s="63"/>
      <c r="B62" s="62"/>
      <c r="C62" s="62"/>
      <c r="D62" s="62"/>
    </row>
    <row r="63" spans="1:4" x14ac:dyDescent="0.25">
      <c r="A63" s="63"/>
      <c r="B63" s="62"/>
      <c r="C63" s="62"/>
      <c r="D63" s="62"/>
    </row>
    <row r="64" spans="1:4" x14ac:dyDescent="0.25">
      <c r="A64" s="63"/>
      <c r="B64" s="62"/>
      <c r="C64" s="62"/>
      <c r="D64" s="62"/>
    </row>
    <row r="65" spans="1:4" x14ac:dyDescent="0.25">
      <c r="A65" s="63"/>
      <c r="B65" s="62"/>
      <c r="C65" s="62"/>
      <c r="D65" s="62"/>
    </row>
    <row r="66" spans="1:4" x14ac:dyDescent="0.25">
      <c r="A66" s="63"/>
      <c r="B66" s="62"/>
      <c r="C66" s="62"/>
      <c r="D66" s="62"/>
    </row>
    <row r="67" spans="1:4" x14ac:dyDescent="0.25">
      <c r="A67" s="63"/>
      <c r="B67" s="62"/>
      <c r="C67" s="62"/>
      <c r="D67" s="62"/>
    </row>
    <row r="68" spans="1:4" x14ac:dyDescent="0.25">
      <c r="A68" s="63"/>
      <c r="B68" s="62"/>
      <c r="C68" s="62"/>
      <c r="D68" s="62"/>
    </row>
    <row r="69" spans="1:4" x14ac:dyDescent="0.25">
      <c r="A69" s="63"/>
      <c r="B69" s="62"/>
      <c r="C69" s="62"/>
      <c r="D69" s="62"/>
    </row>
    <row r="70" spans="1:4" x14ac:dyDescent="0.25">
      <c r="A70" s="63"/>
      <c r="B70" s="62"/>
      <c r="C70" s="62"/>
      <c r="D70" s="62"/>
    </row>
    <row r="71" spans="1:4" x14ac:dyDescent="0.25">
      <c r="A71" s="63"/>
      <c r="B71" s="62"/>
      <c r="C71" s="62"/>
      <c r="D71" s="62"/>
    </row>
    <row r="72" spans="1:4" x14ac:dyDescent="0.25">
      <c r="A72" s="63"/>
      <c r="B72" s="62"/>
      <c r="C72" s="62"/>
      <c r="D72" s="62"/>
    </row>
    <row r="73" spans="1:4" x14ac:dyDescent="0.25">
      <c r="A73" s="63"/>
      <c r="B73" s="62"/>
      <c r="C73" s="62"/>
      <c r="D73" s="62"/>
    </row>
    <row r="74" spans="1:4" x14ac:dyDescent="0.25">
      <c r="A74" s="63"/>
      <c r="B74" s="62"/>
      <c r="C74" s="62"/>
      <c r="D74" s="62"/>
    </row>
    <row r="75" spans="1:4" x14ac:dyDescent="0.25">
      <c r="A75" s="63"/>
      <c r="B75" s="62"/>
      <c r="C75" s="62"/>
      <c r="D75" s="62"/>
    </row>
    <row r="76" spans="1:4" x14ac:dyDescent="0.25">
      <c r="A76" s="63"/>
      <c r="B76" s="62"/>
      <c r="C76" s="62"/>
      <c r="D76" s="62"/>
    </row>
    <row r="77" spans="1:4" x14ac:dyDescent="0.25">
      <c r="A77" s="63"/>
      <c r="B77" s="62"/>
      <c r="C77" s="62"/>
      <c r="D77" s="62"/>
    </row>
    <row r="78" spans="1:4" x14ac:dyDescent="0.25">
      <c r="A78" s="63"/>
      <c r="B78" s="62"/>
      <c r="C78" s="62"/>
      <c r="D78" s="62"/>
    </row>
    <row r="79" spans="1:4" x14ac:dyDescent="0.25">
      <c r="A79" s="63"/>
      <c r="B79" s="62"/>
      <c r="C79" s="62"/>
      <c r="D79" s="62"/>
    </row>
    <row r="80" spans="1:4" x14ac:dyDescent="0.25">
      <c r="A80" s="63"/>
      <c r="B80" s="62"/>
      <c r="C80" s="62"/>
      <c r="D80" s="62"/>
    </row>
    <row r="81" spans="1:4" x14ac:dyDescent="0.25">
      <c r="A81" s="63"/>
      <c r="B81" s="62"/>
      <c r="C81" s="62"/>
      <c r="D81" s="62"/>
    </row>
    <row r="82" spans="1:4" x14ac:dyDescent="0.25">
      <c r="A82" s="63"/>
      <c r="B82" s="62"/>
      <c r="C82" s="62"/>
      <c r="D82" s="62"/>
    </row>
    <row r="83" spans="1:4" x14ac:dyDescent="0.25">
      <c r="A83" s="63"/>
      <c r="B83" s="62"/>
      <c r="C83" s="62"/>
      <c r="D83" s="62"/>
    </row>
    <row r="84" spans="1:4" x14ac:dyDescent="0.25">
      <c r="A84" s="63"/>
      <c r="B84" s="62"/>
      <c r="C84" s="62"/>
      <c r="D84" s="62"/>
    </row>
    <row r="85" spans="1:4" x14ac:dyDescent="0.25">
      <c r="A85" s="63"/>
      <c r="B85" s="62"/>
      <c r="C85" s="62"/>
      <c r="D85" s="62"/>
    </row>
    <row r="86" spans="1:4" x14ac:dyDescent="0.25">
      <c r="A86" s="63"/>
      <c r="B86" s="62"/>
      <c r="C86" s="62"/>
      <c r="D86" s="62"/>
    </row>
    <row r="87" spans="1:4" x14ac:dyDescent="0.25">
      <c r="A87" s="63"/>
      <c r="B87" s="62"/>
      <c r="C87" s="62"/>
      <c r="D87" s="62"/>
    </row>
    <row r="88" spans="1:4" x14ac:dyDescent="0.25">
      <c r="A88" s="63"/>
      <c r="B88" s="62"/>
      <c r="C88" s="62"/>
      <c r="D88" s="62"/>
    </row>
    <row r="89" spans="1:4" x14ac:dyDescent="0.25">
      <c r="A89" s="63"/>
      <c r="B89" s="62"/>
      <c r="C89" s="62"/>
      <c r="D89" s="62"/>
    </row>
    <row r="90" spans="1:4" x14ac:dyDescent="0.25">
      <c r="A90" s="63"/>
      <c r="B90" s="62"/>
      <c r="C90" s="62"/>
      <c r="D90" s="62"/>
    </row>
    <row r="91" spans="1:4" x14ac:dyDescent="0.25">
      <c r="A91" s="63"/>
      <c r="B91" s="62"/>
      <c r="C91" s="62"/>
      <c r="D91" s="62"/>
    </row>
    <row r="92" spans="1:4" x14ac:dyDescent="0.25">
      <c r="A92" s="63"/>
      <c r="B92" s="62"/>
      <c r="C92" s="62"/>
      <c r="D92" s="62"/>
    </row>
    <row r="93" spans="1:4" x14ac:dyDescent="0.25">
      <c r="A93" s="63"/>
      <c r="B93" s="62"/>
      <c r="C93" s="62"/>
      <c r="D93" s="62"/>
    </row>
    <row r="94" spans="1:4" x14ac:dyDescent="0.25">
      <c r="A94" s="63"/>
      <c r="B94" s="62"/>
      <c r="C94" s="62"/>
      <c r="D94" s="62"/>
    </row>
    <row r="95" spans="1:4" x14ac:dyDescent="0.25">
      <c r="A95" s="63"/>
      <c r="B95" s="62"/>
      <c r="C95" s="62"/>
      <c r="D95" s="62"/>
    </row>
    <row r="96" spans="1:4" x14ac:dyDescent="0.25">
      <c r="A96" s="63"/>
      <c r="B96" s="62"/>
      <c r="C96" s="62"/>
      <c r="D96" s="62"/>
    </row>
    <row r="97" spans="1:4" x14ac:dyDescent="0.25">
      <c r="A97" s="63"/>
      <c r="B97" s="62"/>
      <c r="C97" s="62"/>
      <c r="D97" s="62"/>
    </row>
    <row r="98" spans="1:4" x14ac:dyDescent="0.25">
      <c r="A98" s="63"/>
      <c r="B98" s="62"/>
      <c r="C98" s="62"/>
      <c r="D98" s="62"/>
    </row>
    <row r="99" spans="1:4" x14ac:dyDescent="0.25">
      <c r="A99" s="63"/>
      <c r="B99" s="62"/>
      <c r="C99" s="62"/>
      <c r="D99" s="62"/>
    </row>
    <row r="100" spans="1:4" x14ac:dyDescent="0.25">
      <c r="A100" s="63"/>
      <c r="B100" s="62"/>
      <c r="C100" s="62"/>
      <c r="D100" s="62"/>
    </row>
    <row r="101" spans="1:4" x14ac:dyDescent="0.25">
      <c r="A101" s="63"/>
      <c r="B101" s="62"/>
      <c r="C101" s="62"/>
      <c r="D101" s="62"/>
    </row>
    <row r="102" spans="1:4" x14ac:dyDescent="0.25">
      <c r="A102" s="63"/>
      <c r="B102" s="62"/>
      <c r="C102" s="62"/>
      <c r="D102" s="62"/>
    </row>
    <row r="103" spans="1:4" x14ac:dyDescent="0.25">
      <c r="A103" s="63"/>
      <c r="B103" s="62"/>
      <c r="C103" s="62"/>
      <c r="D103" s="62"/>
    </row>
    <row r="104" spans="1:4" x14ac:dyDescent="0.25">
      <c r="A104" s="63"/>
      <c r="B104" s="62"/>
      <c r="C104" s="62"/>
      <c r="D104" s="62"/>
    </row>
    <row r="105" spans="1:4" x14ac:dyDescent="0.25">
      <c r="A105" s="63"/>
      <c r="B105" s="62"/>
      <c r="C105" s="62"/>
      <c r="D105" s="62"/>
    </row>
    <row r="106" spans="1:4" x14ac:dyDescent="0.25">
      <c r="A106" s="63"/>
      <c r="B106" s="62"/>
      <c r="C106" s="62"/>
      <c r="D106" s="62"/>
    </row>
    <row r="107" spans="1:4" x14ac:dyDescent="0.25">
      <c r="A107" s="63"/>
      <c r="B107" s="62"/>
      <c r="C107" s="62"/>
      <c r="D107" s="62"/>
    </row>
    <row r="108" spans="1:4" x14ac:dyDescent="0.25">
      <c r="A108" s="63"/>
      <c r="B108" s="62"/>
      <c r="C108" s="62"/>
      <c r="D108" s="62"/>
    </row>
    <row r="109" spans="1:4" x14ac:dyDescent="0.25">
      <c r="A109" s="63"/>
      <c r="B109" s="62"/>
      <c r="C109" s="62"/>
      <c r="D109" s="62"/>
    </row>
    <row r="110" spans="1:4" x14ac:dyDescent="0.25">
      <c r="A110" s="63"/>
      <c r="B110" s="62"/>
      <c r="C110" s="62"/>
      <c r="D110" s="62"/>
    </row>
    <row r="111" spans="1:4" x14ac:dyDescent="0.25">
      <c r="A111" s="63"/>
      <c r="B111" s="62"/>
      <c r="C111" s="62"/>
      <c r="D111" s="62"/>
    </row>
    <row r="112" spans="1:4" x14ac:dyDescent="0.25">
      <c r="A112" s="63"/>
      <c r="B112" s="62"/>
      <c r="C112" s="62"/>
      <c r="D112" s="62"/>
    </row>
    <row r="113" spans="1:4" x14ac:dyDescent="0.25">
      <c r="A113" s="63"/>
      <c r="B113" s="62"/>
      <c r="C113" s="62"/>
      <c r="D113" s="62"/>
    </row>
    <row r="114" spans="1:4" x14ac:dyDescent="0.25">
      <c r="A114" s="63"/>
      <c r="B114" s="62"/>
      <c r="C114" s="62"/>
      <c r="D114" s="62"/>
    </row>
    <row r="115" spans="1:4" x14ac:dyDescent="0.25">
      <c r="A115" s="63"/>
      <c r="B115" s="62"/>
      <c r="C115" s="62"/>
      <c r="D115" s="62"/>
    </row>
    <row r="116" spans="1:4" x14ac:dyDescent="0.25">
      <c r="A116" s="63"/>
      <c r="B116" s="62"/>
      <c r="C116" s="62"/>
      <c r="D116" s="62"/>
    </row>
    <row r="117" spans="1:4" x14ac:dyDescent="0.25">
      <c r="A117" s="63"/>
      <c r="B117" s="62"/>
      <c r="C117" s="62"/>
      <c r="D117" s="62"/>
    </row>
    <row r="118" spans="1:4" x14ac:dyDescent="0.25">
      <c r="A118" s="63"/>
      <c r="B118" s="62"/>
      <c r="C118" s="62"/>
      <c r="D118" s="62"/>
    </row>
    <row r="119" spans="1:4" x14ac:dyDescent="0.25">
      <c r="A119" s="63"/>
      <c r="B119" s="62"/>
      <c r="C119" s="62"/>
      <c r="D119" s="62"/>
    </row>
    <row r="120" spans="1:4" x14ac:dyDescent="0.25">
      <c r="A120" s="63"/>
      <c r="B120" s="62"/>
      <c r="C120" s="62"/>
      <c r="D120" s="62"/>
    </row>
    <row r="121" spans="1:4" x14ac:dyDescent="0.25">
      <c r="A121" s="63"/>
      <c r="B121" s="62"/>
      <c r="C121" s="62"/>
      <c r="D121" s="62"/>
    </row>
    <row r="122" spans="1:4" x14ac:dyDescent="0.25">
      <c r="A122" s="63"/>
      <c r="B122" s="62"/>
      <c r="C122" s="62"/>
      <c r="D122" s="62"/>
    </row>
    <row r="123" spans="1:4" x14ac:dyDescent="0.25">
      <c r="A123" s="63"/>
      <c r="B123" s="62"/>
      <c r="C123" s="62"/>
      <c r="D123" s="62"/>
    </row>
    <row r="124" spans="1:4" x14ac:dyDescent="0.25">
      <c r="A124" s="63"/>
      <c r="B124" s="62"/>
      <c r="C124" s="62"/>
      <c r="D124" s="62"/>
    </row>
    <row r="125" spans="1:4" x14ac:dyDescent="0.25">
      <c r="A125" s="63"/>
      <c r="B125" s="62"/>
      <c r="C125" s="62"/>
      <c r="D125" s="62"/>
    </row>
    <row r="126" spans="1:4" x14ac:dyDescent="0.25">
      <c r="A126" s="63"/>
      <c r="B126" s="62"/>
      <c r="C126" s="62"/>
      <c r="D126" s="62"/>
    </row>
    <row r="127" spans="1:4" x14ac:dyDescent="0.25">
      <c r="A127" s="63"/>
      <c r="B127" s="62"/>
      <c r="C127" s="62"/>
      <c r="D127" s="62"/>
    </row>
    <row r="128" spans="1:4" x14ac:dyDescent="0.25">
      <c r="A128" s="63"/>
      <c r="B128" s="62"/>
      <c r="C128" s="62"/>
      <c r="D128" s="62"/>
    </row>
    <row r="129" spans="1:4" x14ac:dyDescent="0.25">
      <c r="A129" s="63"/>
      <c r="B129" s="62"/>
      <c r="C129" s="62"/>
      <c r="D129" s="62"/>
    </row>
    <row r="130" spans="1:4" x14ac:dyDescent="0.25">
      <c r="A130" s="63"/>
      <c r="B130" s="62"/>
      <c r="C130" s="62"/>
      <c r="D130" s="62"/>
    </row>
    <row r="131" spans="1:4" x14ac:dyDescent="0.25">
      <c r="A131" s="63"/>
      <c r="B131" s="62"/>
      <c r="C131" s="62"/>
      <c r="D131" s="62"/>
    </row>
    <row r="132" spans="1:4" x14ac:dyDescent="0.25">
      <c r="A132" s="63"/>
      <c r="B132" s="62"/>
      <c r="C132" s="62"/>
      <c r="D132" s="62"/>
    </row>
    <row r="133" spans="1:4" x14ac:dyDescent="0.25">
      <c r="A133" s="63"/>
      <c r="B133" s="62"/>
      <c r="C133" s="62"/>
      <c r="D133" s="62"/>
    </row>
    <row r="134" spans="1:4" x14ac:dyDescent="0.25">
      <c r="A134" s="63"/>
      <c r="B134" s="62"/>
      <c r="C134" s="62"/>
      <c r="D134" s="62"/>
    </row>
    <row r="135" spans="1:4" x14ac:dyDescent="0.25">
      <c r="A135" s="63"/>
      <c r="B135" s="62"/>
      <c r="C135" s="62"/>
      <c r="D135" s="62"/>
    </row>
    <row r="136" spans="1:4" x14ac:dyDescent="0.25">
      <c r="A136" s="63"/>
      <c r="B136" s="62"/>
      <c r="C136" s="62"/>
      <c r="D136" s="62"/>
    </row>
    <row r="137" spans="1:4" x14ac:dyDescent="0.25">
      <c r="A137" s="63"/>
      <c r="B137" s="62"/>
      <c r="C137" s="62"/>
      <c r="D137" s="62"/>
    </row>
    <row r="138" spans="1:4" x14ac:dyDescent="0.25">
      <c r="A138" s="63"/>
      <c r="B138" s="62"/>
      <c r="C138" s="62"/>
      <c r="D138" s="62"/>
    </row>
    <row r="139" spans="1:4" x14ac:dyDescent="0.25">
      <c r="A139" s="63"/>
      <c r="B139" s="62"/>
      <c r="C139" s="62"/>
      <c r="D139" s="62"/>
    </row>
    <row r="140" spans="1:4" x14ac:dyDescent="0.25">
      <c r="A140" s="63"/>
      <c r="B140" s="62"/>
      <c r="C140" s="62"/>
      <c r="D140" s="62"/>
    </row>
    <row r="141" spans="1:4" x14ac:dyDescent="0.25">
      <c r="A141" s="63"/>
      <c r="B141" s="62"/>
      <c r="C141" s="62"/>
      <c r="D141" s="62"/>
    </row>
    <row r="142" spans="1:4" x14ac:dyDescent="0.25">
      <c r="A142" s="63"/>
      <c r="B142" s="62"/>
      <c r="C142" s="62"/>
      <c r="D142" s="62"/>
    </row>
    <row r="143" spans="1:4" x14ac:dyDescent="0.25">
      <c r="A143" s="63"/>
      <c r="B143" s="62"/>
      <c r="C143" s="62"/>
      <c r="D143" s="62"/>
    </row>
    <row r="144" spans="1:4" x14ac:dyDescent="0.25">
      <c r="A144" s="63"/>
      <c r="B144" s="62"/>
      <c r="C144" s="62"/>
      <c r="D144" s="62"/>
    </row>
    <row r="145" spans="1:4" x14ac:dyDescent="0.25">
      <c r="A145" s="63"/>
      <c r="B145" s="62"/>
      <c r="C145" s="62"/>
      <c r="D145" s="62"/>
    </row>
    <row r="146" spans="1:4" x14ac:dyDescent="0.25">
      <c r="A146" s="63"/>
      <c r="B146" s="62"/>
      <c r="C146" s="62"/>
      <c r="D146" s="62"/>
    </row>
    <row r="147" spans="1:4" x14ac:dyDescent="0.25">
      <c r="A147" s="63"/>
      <c r="B147" s="62"/>
      <c r="C147" s="62"/>
      <c r="D147" s="62"/>
    </row>
    <row r="148" spans="1:4" x14ac:dyDescent="0.25">
      <c r="A148" s="63"/>
      <c r="B148" s="62"/>
      <c r="C148" s="62"/>
      <c r="D148" s="62"/>
    </row>
    <row r="149" spans="1:4" x14ac:dyDescent="0.25">
      <c r="A149" s="63"/>
      <c r="B149" s="62"/>
      <c r="C149" s="62"/>
      <c r="D149" s="62"/>
    </row>
    <row r="150" spans="1:4" x14ac:dyDescent="0.25">
      <c r="A150" s="63"/>
      <c r="B150" s="62"/>
      <c r="C150" s="62"/>
      <c r="D150" s="62"/>
    </row>
    <row r="151" spans="1:4" x14ac:dyDescent="0.25">
      <c r="A151" s="63"/>
      <c r="B151" s="62"/>
      <c r="C151" s="62"/>
      <c r="D151" s="62"/>
    </row>
    <row r="152" spans="1:4" x14ac:dyDescent="0.25">
      <c r="A152" s="63"/>
      <c r="B152" s="62"/>
      <c r="C152" s="62"/>
      <c r="D152" s="62"/>
    </row>
    <row r="153" spans="1:4" x14ac:dyDescent="0.25">
      <c r="A153" s="63"/>
      <c r="B153" s="62"/>
      <c r="C153" s="62"/>
      <c r="D153" s="62"/>
    </row>
    <row r="154" spans="1:4" x14ac:dyDescent="0.25">
      <c r="A154" s="63"/>
      <c r="B154" s="62"/>
      <c r="C154" s="62"/>
      <c r="D154" s="62"/>
    </row>
    <row r="155" spans="1:4" x14ac:dyDescent="0.25">
      <c r="A155" s="63"/>
      <c r="B155" s="62"/>
      <c r="C155" s="62"/>
      <c r="D155" s="62"/>
    </row>
    <row r="156" spans="1:4" x14ac:dyDescent="0.25">
      <c r="A156" s="63"/>
      <c r="B156" s="62"/>
      <c r="C156" s="62"/>
      <c r="D156" s="62"/>
    </row>
    <row r="157" spans="1:4" x14ac:dyDescent="0.25">
      <c r="A157" s="63"/>
      <c r="B157" s="62"/>
      <c r="C157" s="62"/>
      <c r="D157" s="62"/>
    </row>
    <row r="158" spans="1:4" x14ac:dyDescent="0.25">
      <c r="A158" s="63"/>
      <c r="B158" s="62"/>
      <c r="C158" s="62"/>
      <c r="D158" s="62"/>
    </row>
    <row r="159" spans="1:4" x14ac:dyDescent="0.25">
      <c r="A159" s="63"/>
      <c r="B159" s="62"/>
      <c r="C159" s="62"/>
      <c r="D159" s="62"/>
    </row>
    <row r="160" spans="1:4" x14ac:dyDescent="0.25">
      <c r="A160" s="63"/>
      <c r="B160" s="62"/>
      <c r="C160" s="62"/>
      <c r="D160" s="62"/>
    </row>
    <row r="161" spans="1:4" x14ac:dyDescent="0.25">
      <c r="A161" s="63"/>
      <c r="B161" s="62"/>
      <c r="C161" s="62"/>
      <c r="D161" s="62"/>
    </row>
    <row r="162" spans="1:4" x14ac:dyDescent="0.25">
      <c r="A162" s="63"/>
      <c r="B162" s="62"/>
      <c r="C162" s="62"/>
      <c r="D162" s="62"/>
    </row>
    <row r="163" spans="1:4" x14ac:dyDescent="0.25">
      <c r="A163" s="63"/>
      <c r="B163" s="62"/>
      <c r="C163" s="62"/>
      <c r="D163" s="62"/>
    </row>
    <row r="164" spans="1:4" x14ac:dyDescent="0.25">
      <c r="A164" s="63"/>
      <c r="B164" s="62"/>
      <c r="C164" s="62"/>
      <c r="D164" s="62"/>
    </row>
    <row r="165" spans="1:4" x14ac:dyDescent="0.25">
      <c r="A165" s="63"/>
      <c r="B165" s="62"/>
      <c r="C165" s="62"/>
      <c r="D165" s="62"/>
    </row>
    <row r="166" spans="1:4" x14ac:dyDescent="0.25">
      <c r="A166" s="63"/>
      <c r="B166" s="62"/>
      <c r="C166" s="62"/>
      <c r="D166" s="62"/>
    </row>
    <row r="167" spans="1:4" x14ac:dyDescent="0.25">
      <c r="A167" s="63"/>
      <c r="B167" s="62"/>
      <c r="C167" s="62"/>
      <c r="D167" s="62"/>
    </row>
    <row r="168" spans="1:4" x14ac:dyDescent="0.25">
      <c r="A168" s="63"/>
      <c r="B168" s="62"/>
      <c r="C168" s="62"/>
      <c r="D168" s="62"/>
    </row>
    <row r="169" spans="1:4" x14ac:dyDescent="0.25">
      <c r="A169" s="63"/>
      <c r="B169" s="62"/>
      <c r="C169" s="62"/>
      <c r="D169" s="62"/>
    </row>
    <row r="170" spans="1:4" x14ac:dyDescent="0.25">
      <c r="A170" s="63"/>
      <c r="B170" s="62"/>
      <c r="C170" s="62"/>
      <c r="D170" s="62"/>
    </row>
    <row r="171" spans="1:4" x14ac:dyDescent="0.25">
      <c r="A171" s="63"/>
      <c r="B171" s="62"/>
      <c r="C171" s="62"/>
      <c r="D171" s="62"/>
    </row>
    <row r="172" spans="1:4" x14ac:dyDescent="0.25">
      <c r="A172" s="63"/>
      <c r="B172" s="62"/>
      <c r="C172" s="62"/>
      <c r="D172" s="62"/>
    </row>
    <row r="173" spans="1:4" x14ac:dyDescent="0.25">
      <c r="A173" s="63"/>
      <c r="B173" s="62"/>
      <c r="C173" s="62"/>
      <c r="D173" s="62"/>
    </row>
    <row r="174" spans="1:4" x14ac:dyDescent="0.25">
      <c r="A174" s="63"/>
      <c r="B174" s="62"/>
      <c r="C174" s="62"/>
      <c r="D174" s="62"/>
    </row>
    <row r="175" spans="1:4" x14ac:dyDescent="0.25">
      <c r="A175" s="63"/>
      <c r="B175" s="62"/>
      <c r="C175" s="62"/>
      <c r="D175" s="62"/>
    </row>
    <row r="176" spans="1:4" x14ac:dyDescent="0.25">
      <c r="A176" s="63"/>
      <c r="B176" s="62"/>
      <c r="C176" s="62"/>
      <c r="D176" s="62"/>
    </row>
    <row r="177" spans="1:4" x14ac:dyDescent="0.25">
      <c r="A177" s="63"/>
      <c r="B177" s="62"/>
      <c r="C177" s="62"/>
      <c r="D177" s="62"/>
    </row>
    <row r="178" spans="1:4" x14ac:dyDescent="0.25">
      <c r="A178" s="63"/>
      <c r="B178" s="62"/>
      <c r="C178" s="62"/>
      <c r="D178" s="62"/>
    </row>
    <row r="179" spans="1:4" x14ac:dyDescent="0.25">
      <c r="A179" s="63"/>
      <c r="B179" s="62"/>
      <c r="C179" s="62"/>
      <c r="D179" s="62"/>
    </row>
    <row r="180" spans="1:4" x14ac:dyDescent="0.25">
      <c r="A180" s="63"/>
      <c r="B180" s="62"/>
      <c r="C180" s="62"/>
      <c r="D180" s="62"/>
    </row>
    <row r="181" spans="1:4" x14ac:dyDescent="0.25">
      <c r="A181" s="63"/>
      <c r="B181" s="62"/>
      <c r="C181" s="62"/>
      <c r="D181" s="62"/>
    </row>
    <row r="182" spans="1:4" x14ac:dyDescent="0.25">
      <c r="A182" s="63"/>
      <c r="B182" s="62"/>
      <c r="C182" s="62"/>
      <c r="D182" s="62"/>
    </row>
    <row r="183" spans="1:4" x14ac:dyDescent="0.25">
      <c r="A183" s="63"/>
      <c r="B183" s="62"/>
      <c r="C183" s="62"/>
      <c r="D183" s="62"/>
    </row>
    <row r="184" spans="1:4" x14ac:dyDescent="0.25">
      <c r="A184" s="63"/>
      <c r="B184" s="62"/>
      <c r="C184" s="62"/>
      <c r="D184" s="62"/>
    </row>
    <row r="185" spans="1:4" x14ac:dyDescent="0.25">
      <c r="A185" s="63"/>
      <c r="B185" s="62"/>
      <c r="C185" s="62"/>
      <c r="D185" s="62"/>
    </row>
    <row r="186" spans="1:4" x14ac:dyDescent="0.25">
      <c r="A186" s="63"/>
      <c r="B186" s="62"/>
      <c r="C186" s="62"/>
      <c r="D186" s="62"/>
    </row>
    <row r="187" spans="1:4" x14ac:dyDescent="0.25">
      <c r="A187" s="63"/>
      <c r="B187" s="62"/>
      <c r="C187" s="62"/>
      <c r="D187" s="62"/>
    </row>
    <row r="188" spans="1:4" x14ac:dyDescent="0.25">
      <c r="A188" s="63"/>
      <c r="B188" s="62"/>
      <c r="C188" s="62"/>
      <c r="D188" s="62"/>
    </row>
    <row r="189" spans="1:4" x14ac:dyDescent="0.25">
      <c r="A189" s="63"/>
      <c r="B189" s="62"/>
      <c r="C189" s="62"/>
      <c r="D189" s="62"/>
    </row>
    <row r="190" spans="1:4" x14ac:dyDescent="0.25">
      <c r="A190" s="63"/>
      <c r="B190" s="62"/>
      <c r="C190" s="62"/>
      <c r="D190" s="62"/>
    </row>
    <row r="191" spans="1:4" x14ac:dyDescent="0.25">
      <c r="A191" s="63"/>
      <c r="B191" s="62"/>
      <c r="C191" s="62"/>
      <c r="D191" s="62"/>
    </row>
    <row r="192" spans="1:4" x14ac:dyDescent="0.25">
      <c r="A192" s="63"/>
      <c r="B192" s="62"/>
      <c r="C192" s="62"/>
      <c r="D192" s="62"/>
    </row>
    <row r="193" spans="1:4" x14ac:dyDescent="0.25">
      <c r="A193" s="63"/>
      <c r="B193" s="62"/>
      <c r="C193" s="62"/>
      <c r="D193" s="62"/>
    </row>
    <row r="194" spans="1:4" x14ac:dyDescent="0.25">
      <c r="A194" s="63"/>
      <c r="B194" s="62"/>
      <c r="C194" s="62"/>
      <c r="D194" s="62"/>
    </row>
    <row r="195" spans="1:4" x14ac:dyDescent="0.25">
      <c r="A195" s="63"/>
      <c r="B195" s="62"/>
      <c r="C195" s="62"/>
      <c r="D195" s="62"/>
    </row>
    <row r="196" spans="1:4" x14ac:dyDescent="0.25">
      <c r="A196" s="63"/>
      <c r="B196" s="62"/>
      <c r="C196" s="62"/>
      <c r="D196" s="62"/>
    </row>
    <row r="197" spans="1:4" x14ac:dyDescent="0.25">
      <c r="A197" s="63"/>
      <c r="B197" s="62"/>
      <c r="C197" s="62"/>
      <c r="D197" s="6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workbookViewId="0">
      <selection activeCell="D6" sqref="D6:D18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8" t="s">
        <v>0</v>
      </c>
      <c r="B1" s="69" t="s">
        <v>221</v>
      </c>
      <c r="C1" s="69" t="s">
        <v>188</v>
      </c>
      <c r="D1" s="70" t="s">
        <v>225</v>
      </c>
    </row>
    <row r="2" spans="1:4" x14ac:dyDescent="0.25">
      <c r="A2" s="71" t="s">
        <v>11</v>
      </c>
      <c r="B2" s="72">
        <v>1</v>
      </c>
      <c r="C2" s="73">
        <v>46215</v>
      </c>
      <c r="D2" s="74" t="s">
        <v>244</v>
      </c>
    </row>
    <row r="3" spans="1:4" x14ac:dyDescent="0.25">
      <c r="A3" s="71" t="s">
        <v>21</v>
      </c>
      <c r="B3" s="72">
        <v>7</v>
      </c>
      <c r="C3" s="73">
        <v>46214</v>
      </c>
      <c r="D3" s="74" t="s">
        <v>247</v>
      </c>
    </row>
    <row r="4" spans="1:4" x14ac:dyDescent="0.25">
      <c r="A4" s="71" t="s">
        <v>11</v>
      </c>
      <c r="B4" s="72">
        <v>8</v>
      </c>
      <c r="C4" s="73">
        <v>46201</v>
      </c>
      <c r="D4" s="74" t="s">
        <v>252</v>
      </c>
    </row>
    <row r="5" spans="1:4" x14ac:dyDescent="0.25">
      <c r="A5" s="71" t="s">
        <v>17</v>
      </c>
      <c r="B5" s="72">
        <v>9</v>
      </c>
      <c r="C5" s="73">
        <v>46180</v>
      </c>
      <c r="D5" s="74" t="s">
        <v>256</v>
      </c>
    </row>
    <row r="6" spans="1:4" ht="15.75" x14ac:dyDescent="0.25">
      <c r="A6" s="29" t="s">
        <v>7</v>
      </c>
      <c r="B6" s="72">
        <v>10</v>
      </c>
      <c r="C6" s="73">
        <v>46023</v>
      </c>
      <c r="D6" s="74" t="s">
        <v>290</v>
      </c>
    </row>
    <row r="7" spans="1:4" ht="15.75" x14ac:dyDescent="0.25">
      <c r="A7" s="30" t="s">
        <v>8</v>
      </c>
      <c r="B7" s="72">
        <v>10</v>
      </c>
      <c r="C7" s="73">
        <v>46023</v>
      </c>
      <c r="D7" s="74" t="s">
        <v>290</v>
      </c>
    </row>
    <row r="8" spans="1:4" ht="15.75" x14ac:dyDescent="0.25">
      <c r="A8" s="30" t="s">
        <v>9</v>
      </c>
      <c r="B8" s="72">
        <v>10</v>
      </c>
      <c r="C8" s="73">
        <v>46023</v>
      </c>
      <c r="D8" s="74" t="s">
        <v>290</v>
      </c>
    </row>
    <row r="9" spans="1:4" ht="15.75" x14ac:dyDescent="0.25">
      <c r="A9" s="31" t="s">
        <v>10</v>
      </c>
      <c r="B9" s="72">
        <v>10</v>
      </c>
      <c r="C9" s="73">
        <v>46023</v>
      </c>
      <c r="D9" s="74" t="s">
        <v>290</v>
      </c>
    </row>
    <row r="10" spans="1:4" ht="15.75" x14ac:dyDescent="0.25">
      <c r="A10" s="30" t="s">
        <v>11</v>
      </c>
      <c r="B10" s="72">
        <v>10</v>
      </c>
      <c r="C10" s="73">
        <v>46023</v>
      </c>
      <c r="D10" s="74" t="s">
        <v>290</v>
      </c>
    </row>
    <row r="11" spans="1:4" ht="15.75" x14ac:dyDescent="0.25">
      <c r="A11" s="30" t="s">
        <v>12</v>
      </c>
      <c r="B11" s="72">
        <v>10</v>
      </c>
      <c r="C11" s="73">
        <v>46023</v>
      </c>
      <c r="D11" s="74" t="s">
        <v>290</v>
      </c>
    </row>
    <row r="12" spans="1:4" ht="15.75" x14ac:dyDescent="0.25">
      <c r="A12" s="32" t="s">
        <v>13</v>
      </c>
      <c r="B12" s="72">
        <v>10</v>
      </c>
      <c r="C12" s="73">
        <v>46023</v>
      </c>
      <c r="D12" s="74" t="s">
        <v>290</v>
      </c>
    </row>
    <row r="13" spans="1:4" x14ac:dyDescent="0.25">
      <c r="A13" s="33" t="s">
        <v>14</v>
      </c>
      <c r="B13" s="72">
        <v>10</v>
      </c>
      <c r="C13" s="73">
        <v>46023</v>
      </c>
      <c r="D13" s="74" t="s">
        <v>290</v>
      </c>
    </row>
    <row r="14" spans="1:4" ht="15.75" x14ac:dyDescent="0.25">
      <c r="A14" s="30" t="s">
        <v>15</v>
      </c>
      <c r="B14" s="72">
        <v>10</v>
      </c>
      <c r="C14" s="73">
        <v>46023</v>
      </c>
      <c r="D14" s="74" t="s">
        <v>290</v>
      </c>
    </row>
    <row r="15" spans="1:4" ht="15.75" x14ac:dyDescent="0.25">
      <c r="A15" s="29" t="s">
        <v>16</v>
      </c>
      <c r="B15" s="72">
        <v>10</v>
      </c>
      <c r="C15" s="73">
        <v>46023</v>
      </c>
      <c r="D15" s="74" t="s">
        <v>290</v>
      </c>
    </row>
    <row r="16" spans="1:4" ht="15.75" x14ac:dyDescent="0.25">
      <c r="A16" s="34" t="s">
        <v>17</v>
      </c>
      <c r="B16" s="72">
        <v>10</v>
      </c>
      <c r="C16" s="73">
        <v>46023</v>
      </c>
      <c r="D16" s="74" t="s">
        <v>290</v>
      </c>
    </row>
    <row r="17" spans="1:4" ht="15.75" x14ac:dyDescent="0.25">
      <c r="A17" s="35" t="s">
        <v>18</v>
      </c>
      <c r="B17" s="72">
        <v>10</v>
      </c>
      <c r="C17" s="73">
        <v>46023</v>
      </c>
      <c r="D17" s="74" t="s">
        <v>290</v>
      </c>
    </row>
    <row r="18" spans="1:4" ht="15.75" x14ac:dyDescent="0.25">
      <c r="A18" s="30" t="s">
        <v>19</v>
      </c>
      <c r="B18" s="72">
        <v>10</v>
      </c>
      <c r="C18" s="73">
        <v>46023</v>
      </c>
      <c r="D18" s="74" t="s">
        <v>290</v>
      </c>
    </row>
    <row r="19" spans="1:4" ht="15.75" x14ac:dyDescent="0.25">
      <c r="A19" s="30" t="s">
        <v>20</v>
      </c>
      <c r="B19" s="72">
        <v>10</v>
      </c>
      <c r="C19" s="73">
        <v>46023</v>
      </c>
      <c r="D19" s="74" t="s">
        <v>290</v>
      </c>
    </row>
    <row r="20" spans="1:4" ht="15.75" x14ac:dyDescent="0.25">
      <c r="A20" s="30" t="s">
        <v>21</v>
      </c>
      <c r="B20" s="72">
        <v>10</v>
      </c>
      <c r="C20" s="73">
        <v>46023</v>
      </c>
      <c r="D20" s="74" t="s">
        <v>290</v>
      </c>
    </row>
    <row r="21" spans="1:4" ht="15.75" x14ac:dyDescent="0.25">
      <c r="A21" s="30" t="s">
        <v>22</v>
      </c>
      <c r="B21" s="72">
        <v>10</v>
      </c>
      <c r="C21" s="73">
        <v>46023</v>
      </c>
      <c r="D21" s="74" t="s">
        <v>290</v>
      </c>
    </row>
    <row r="22" spans="1:4" ht="15.75" x14ac:dyDescent="0.25">
      <c r="A22" s="30" t="s">
        <v>23</v>
      </c>
      <c r="B22" s="72">
        <v>10</v>
      </c>
      <c r="C22" s="73">
        <v>46023</v>
      </c>
      <c r="D22" s="74" t="s">
        <v>290</v>
      </c>
    </row>
    <row r="23" spans="1:4" x14ac:dyDescent="0.25">
      <c r="A23" s="33" t="s">
        <v>24</v>
      </c>
      <c r="B23" s="72">
        <v>10</v>
      </c>
      <c r="C23" s="73">
        <v>46023</v>
      </c>
      <c r="D23" s="74" t="s">
        <v>290</v>
      </c>
    </row>
    <row r="24" spans="1:4" ht="15.75" x14ac:dyDescent="0.25">
      <c r="A24" s="24" t="s">
        <v>25</v>
      </c>
      <c r="B24" s="72">
        <v>10</v>
      </c>
      <c r="C24" s="73">
        <v>46023</v>
      </c>
      <c r="D24" s="74" t="s">
        <v>290</v>
      </c>
    </row>
    <row r="25" spans="1:4" ht="15.75" x14ac:dyDescent="0.25">
      <c r="A25" s="24" t="s">
        <v>26</v>
      </c>
      <c r="B25" s="72">
        <v>10</v>
      </c>
      <c r="C25" s="73">
        <v>46023</v>
      </c>
      <c r="D25" s="74" t="s">
        <v>290</v>
      </c>
    </row>
    <row r="26" spans="1:4" ht="15.75" x14ac:dyDescent="0.25">
      <c r="A26" s="26" t="s">
        <v>27</v>
      </c>
      <c r="B26" s="72">
        <v>10</v>
      </c>
      <c r="C26" s="73">
        <v>46023</v>
      </c>
      <c r="D26" s="74" t="s">
        <v>290</v>
      </c>
    </row>
    <row r="27" spans="1:4" ht="15.75" x14ac:dyDescent="0.25">
      <c r="A27" s="24" t="s">
        <v>28</v>
      </c>
      <c r="B27" s="72">
        <v>10</v>
      </c>
      <c r="C27" s="73">
        <v>46023</v>
      </c>
      <c r="D27" s="74" t="s">
        <v>290</v>
      </c>
    </row>
    <row r="28" spans="1:4" ht="15.75" x14ac:dyDescent="0.25">
      <c r="A28" s="26" t="s">
        <v>29</v>
      </c>
      <c r="B28" s="72">
        <v>10</v>
      </c>
      <c r="C28" s="73">
        <v>46023</v>
      </c>
      <c r="D28" s="74" t="s">
        <v>290</v>
      </c>
    </row>
    <row r="29" spans="1:4" ht="15.75" x14ac:dyDescent="0.25">
      <c r="A29" s="24" t="s">
        <v>30</v>
      </c>
      <c r="B29" s="72">
        <v>10</v>
      </c>
      <c r="C29" s="73">
        <v>46023</v>
      </c>
      <c r="D29" s="74" t="s">
        <v>290</v>
      </c>
    </row>
    <row r="30" spans="1:4" ht="15.75" x14ac:dyDescent="0.25">
      <c r="A30" s="24" t="s">
        <v>31</v>
      </c>
      <c r="B30" s="72">
        <v>10</v>
      </c>
      <c r="C30" s="73">
        <v>46023</v>
      </c>
      <c r="D30" s="74" t="s">
        <v>290</v>
      </c>
    </row>
    <row r="31" spans="1:4" ht="15.75" x14ac:dyDescent="0.25">
      <c r="A31" s="26" t="s">
        <v>32</v>
      </c>
      <c r="B31" s="72">
        <v>10</v>
      </c>
      <c r="C31" s="73">
        <v>46023</v>
      </c>
      <c r="D31" s="74" t="s">
        <v>290</v>
      </c>
    </row>
    <row r="32" spans="1:4" ht="15.75" x14ac:dyDescent="0.25">
      <c r="A32" s="26" t="s">
        <v>33</v>
      </c>
      <c r="B32" s="72">
        <v>10</v>
      </c>
      <c r="C32" s="73">
        <v>46023</v>
      </c>
      <c r="D32" s="74" t="s">
        <v>290</v>
      </c>
    </row>
    <row r="33" spans="1:4" x14ac:dyDescent="0.25">
      <c r="A33" s="36" t="s">
        <v>34</v>
      </c>
      <c r="B33" s="72">
        <v>10</v>
      </c>
      <c r="C33" s="73">
        <v>46023</v>
      </c>
      <c r="D33" s="74" t="s">
        <v>290</v>
      </c>
    </row>
    <row r="34" spans="1:4" ht="15.75" x14ac:dyDescent="0.25">
      <c r="A34" s="26" t="s">
        <v>35</v>
      </c>
      <c r="B34" s="72">
        <v>10</v>
      </c>
      <c r="C34" s="73">
        <v>46023</v>
      </c>
      <c r="D34" s="74" t="s">
        <v>290</v>
      </c>
    </row>
    <row r="35" spans="1:4" x14ac:dyDescent="0.25">
      <c r="A35" s="36" t="s">
        <v>36</v>
      </c>
      <c r="B35" s="72">
        <v>10</v>
      </c>
      <c r="C35" s="73">
        <v>46023</v>
      </c>
      <c r="D35" s="74" t="s">
        <v>290</v>
      </c>
    </row>
    <row r="36" spans="1:4" ht="15.75" x14ac:dyDescent="0.25">
      <c r="A36" s="26" t="s">
        <v>37</v>
      </c>
      <c r="B36" s="72">
        <v>10</v>
      </c>
      <c r="C36" s="73">
        <v>46023</v>
      </c>
      <c r="D36" s="74" t="s">
        <v>290</v>
      </c>
    </row>
    <row r="37" spans="1:4" ht="15.75" x14ac:dyDescent="0.25">
      <c r="A37" s="24" t="s">
        <v>38</v>
      </c>
      <c r="B37" s="72">
        <v>10</v>
      </c>
      <c r="C37" s="73">
        <v>46023</v>
      </c>
      <c r="D37" s="74" t="s">
        <v>290</v>
      </c>
    </row>
    <row r="38" spans="1:4" ht="15.75" x14ac:dyDescent="0.25">
      <c r="A38" s="26" t="s">
        <v>39</v>
      </c>
      <c r="B38" s="72">
        <v>10</v>
      </c>
      <c r="C38" s="73">
        <v>46023</v>
      </c>
      <c r="D38" s="74" t="s">
        <v>290</v>
      </c>
    </row>
    <row r="39" spans="1:4" ht="15.75" x14ac:dyDescent="0.25">
      <c r="A39" s="26" t="s">
        <v>40</v>
      </c>
      <c r="B39" s="72">
        <v>10</v>
      </c>
      <c r="C39" s="73">
        <v>46023</v>
      </c>
      <c r="D39" s="74" t="s">
        <v>290</v>
      </c>
    </row>
    <row r="40" spans="1:4" ht="15.75" x14ac:dyDescent="0.25">
      <c r="A40" s="26" t="s">
        <v>41</v>
      </c>
      <c r="B40" s="72">
        <v>10</v>
      </c>
      <c r="C40" s="73">
        <v>46023</v>
      </c>
      <c r="D40" s="74" t="s">
        <v>290</v>
      </c>
    </row>
    <row r="41" spans="1:4" ht="15.75" x14ac:dyDescent="0.25">
      <c r="A41" s="26" t="s">
        <v>42</v>
      </c>
      <c r="B41" s="72">
        <v>10</v>
      </c>
      <c r="C41" s="73">
        <v>46023</v>
      </c>
      <c r="D41" s="74" t="s">
        <v>290</v>
      </c>
    </row>
    <row r="42" spans="1:4" ht="15.75" x14ac:dyDescent="0.25">
      <c r="A42" s="26" t="s">
        <v>43</v>
      </c>
      <c r="B42" s="72">
        <v>10</v>
      </c>
      <c r="C42" s="73">
        <v>46023</v>
      </c>
      <c r="D42" s="74" t="s">
        <v>290</v>
      </c>
    </row>
    <row r="43" spans="1:4" ht="15.75" x14ac:dyDescent="0.25">
      <c r="A43" s="26" t="s">
        <v>44</v>
      </c>
      <c r="B43" s="72">
        <v>10</v>
      </c>
      <c r="C43" s="73">
        <v>46023</v>
      </c>
      <c r="D43" s="74" t="s">
        <v>290</v>
      </c>
    </row>
    <row r="44" spans="1:4" ht="15.75" x14ac:dyDescent="0.25">
      <c r="A44" s="24" t="s">
        <v>45</v>
      </c>
      <c r="B44" s="72">
        <v>10</v>
      </c>
      <c r="C44" s="73">
        <v>46023</v>
      </c>
      <c r="D44" s="74" t="s">
        <v>290</v>
      </c>
    </row>
    <row r="45" spans="1:4" ht="15.75" x14ac:dyDescent="0.25">
      <c r="A45" s="26" t="s">
        <v>46</v>
      </c>
      <c r="B45" s="72">
        <v>10</v>
      </c>
      <c r="C45" s="73">
        <v>46023</v>
      </c>
      <c r="D45" s="74" t="s">
        <v>290</v>
      </c>
    </row>
    <row r="46" spans="1:4" x14ac:dyDescent="0.25">
      <c r="A46" s="36" t="s">
        <v>47</v>
      </c>
      <c r="B46" s="72">
        <v>10</v>
      </c>
      <c r="C46" s="73">
        <v>46023</v>
      </c>
      <c r="D46" s="74" t="s">
        <v>290</v>
      </c>
    </row>
    <row r="47" spans="1:4" ht="15.75" x14ac:dyDescent="0.25">
      <c r="A47" s="24" t="s">
        <v>48</v>
      </c>
      <c r="B47" s="72">
        <v>10</v>
      </c>
      <c r="C47" s="73">
        <v>46023</v>
      </c>
      <c r="D47" s="74" t="s">
        <v>290</v>
      </c>
    </row>
    <row r="48" spans="1:4" ht="15.75" x14ac:dyDescent="0.25">
      <c r="A48" s="26" t="s">
        <v>49</v>
      </c>
      <c r="B48" s="72">
        <v>10</v>
      </c>
      <c r="C48" s="73">
        <v>46023</v>
      </c>
      <c r="D48" s="74" t="s">
        <v>290</v>
      </c>
    </row>
    <row r="49" spans="1:4" ht="15.75" x14ac:dyDescent="0.25">
      <c r="A49" s="26" t="s">
        <v>50</v>
      </c>
      <c r="B49" s="72">
        <v>10</v>
      </c>
      <c r="C49" s="73">
        <v>46023</v>
      </c>
      <c r="D49" s="74" t="s">
        <v>290</v>
      </c>
    </row>
    <row r="50" spans="1:4" ht="15.75" x14ac:dyDescent="0.25">
      <c r="A50" s="26" t="s">
        <v>51</v>
      </c>
      <c r="B50" s="72">
        <v>10</v>
      </c>
      <c r="C50" s="73">
        <v>46023</v>
      </c>
      <c r="D50" s="74" t="s">
        <v>290</v>
      </c>
    </row>
    <row r="51" spans="1:4" ht="15.75" x14ac:dyDescent="0.25">
      <c r="A51" s="24" t="s">
        <v>52</v>
      </c>
      <c r="B51" s="72">
        <v>10</v>
      </c>
      <c r="C51" s="73">
        <v>46023</v>
      </c>
      <c r="D51" s="74" t="s">
        <v>290</v>
      </c>
    </row>
    <row r="52" spans="1:4" x14ac:dyDescent="0.25">
      <c r="A52" s="36" t="s">
        <v>53</v>
      </c>
      <c r="B52" s="72">
        <v>10</v>
      </c>
      <c r="C52" s="73">
        <v>46023</v>
      </c>
      <c r="D52" s="74" t="s">
        <v>290</v>
      </c>
    </row>
    <row r="53" spans="1:4" ht="15.75" x14ac:dyDescent="0.25">
      <c r="A53" s="25" t="s">
        <v>54</v>
      </c>
      <c r="B53" s="72">
        <v>10</v>
      </c>
      <c r="C53" s="73">
        <v>46023</v>
      </c>
      <c r="D53" s="74" t="s">
        <v>290</v>
      </c>
    </row>
    <row r="54" spans="1:4" ht="15.75" x14ac:dyDescent="0.25">
      <c r="A54" s="24" t="s">
        <v>55</v>
      </c>
      <c r="B54" s="72">
        <v>10</v>
      </c>
      <c r="C54" s="73">
        <v>46023</v>
      </c>
      <c r="D54" s="74" t="s">
        <v>290</v>
      </c>
    </row>
    <row r="55" spans="1:4" ht="15.75" x14ac:dyDescent="0.25">
      <c r="A55" s="24" t="s">
        <v>56</v>
      </c>
      <c r="B55" s="72">
        <v>10</v>
      </c>
      <c r="C55" s="73">
        <v>46023</v>
      </c>
      <c r="D55" s="74" t="s">
        <v>290</v>
      </c>
    </row>
    <row r="56" spans="1:4" ht="15.75" x14ac:dyDescent="0.25">
      <c r="A56" s="37" t="s">
        <v>57</v>
      </c>
      <c r="B56" s="72">
        <v>10</v>
      </c>
      <c r="C56" s="73">
        <v>46023</v>
      </c>
      <c r="D56" s="74" t="s">
        <v>290</v>
      </c>
    </row>
    <row r="57" spans="1:4" ht="15.75" x14ac:dyDescent="0.25">
      <c r="A57" s="26" t="s">
        <v>58</v>
      </c>
      <c r="B57" s="72">
        <v>10</v>
      </c>
      <c r="C57" s="73">
        <v>46023</v>
      </c>
      <c r="D57" s="74" t="s">
        <v>290</v>
      </c>
    </row>
    <row r="58" spans="1:4" x14ac:dyDescent="0.25">
      <c r="A58" s="36" t="s">
        <v>59</v>
      </c>
      <c r="B58" s="72">
        <v>10</v>
      </c>
      <c r="C58" s="73">
        <v>46023</v>
      </c>
      <c r="D58" s="74" t="s">
        <v>290</v>
      </c>
    </row>
    <row r="59" spans="1:4" ht="15.75" x14ac:dyDescent="0.25">
      <c r="A59" s="24" t="s">
        <v>60</v>
      </c>
      <c r="B59" s="72">
        <v>10</v>
      </c>
      <c r="C59" s="73">
        <v>46023</v>
      </c>
      <c r="D59" s="74" t="s">
        <v>290</v>
      </c>
    </row>
    <row r="60" spans="1:4" ht="15.75" x14ac:dyDescent="0.25">
      <c r="A60" s="24" t="s">
        <v>61</v>
      </c>
      <c r="B60" s="72">
        <v>10</v>
      </c>
      <c r="C60" s="73">
        <v>46023</v>
      </c>
      <c r="D60" s="74" t="s">
        <v>290</v>
      </c>
    </row>
    <row r="61" spans="1:4" x14ac:dyDescent="0.25">
      <c r="A61" s="36" t="s">
        <v>62</v>
      </c>
      <c r="B61" s="72">
        <v>10</v>
      </c>
      <c r="C61" s="73">
        <v>46023</v>
      </c>
      <c r="D61" s="74" t="s">
        <v>290</v>
      </c>
    </row>
    <row r="62" spans="1:4" ht="15.75" x14ac:dyDescent="0.25">
      <c r="A62" s="24" t="s">
        <v>63</v>
      </c>
      <c r="B62" s="72">
        <v>10</v>
      </c>
      <c r="C62" s="73">
        <v>46023</v>
      </c>
      <c r="D62" s="74" t="s">
        <v>290</v>
      </c>
    </row>
    <row r="63" spans="1:4" ht="15.75" x14ac:dyDescent="0.25">
      <c r="A63" s="24" t="s">
        <v>64</v>
      </c>
      <c r="B63" s="72">
        <v>10</v>
      </c>
      <c r="C63" s="73">
        <v>46023</v>
      </c>
      <c r="D63" s="74" t="s">
        <v>290</v>
      </c>
    </row>
    <row r="64" spans="1:4" x14ac:dyDescent="0.25">
      <c r="A64" s="36" t="s">
        <v>65</v>
      </c>
      <c r="B64" s="72">
        <v>10</v>
      </c>
      <c r="C64" s="73">
        <v>46023</v>
      </c>
      <c r="D64" s="74" t="s">
        <v>290</v>
      </c>
    </row>
    <row r="65" spans="1:4" ht="15.75" x14ac:dyDescent="0.25">
      <c r="A65" s="26" t="s">
        <v>66</v>
      </c>
      <c r="B65" s="72">
        <v>10</v>
      </c>
      <c r="C65" s="73">
        <v>46023</v>
      </c>
      <c r="D65" s="74" t="s">
        <v>290</v>
      </c>
    </row>
    <row r="66" spans="1:4" ht="15.75" x14ac:dyDescent="0.25">
      <c r="A66" s="26" t="s">
        <v>67</v>
      </c>
      <c r="B66" s="72">
        <v>10</v>
      </c>
      <c r="C66" s="73">
        <v>46023</v>
      </c>
      <c r="D66" s="74" t="s">
        <v>290</v>
      </c>
    </row>
    <row r="67" spans="1:4" ht="15.75" x14ac:dyDescent="0.25">
      <c r="A67" s="25" t="s">
        <v>68</v>
      </c>
      <c r="B67" s="72">
        <v>10</v>
      </c>
      <c r="C67" s="73">
        <v>46023</v>
      </c>
      <c r="D67" s="74" t="s">
        <v>290</v>
      </c>
    </row>
    <row r="68" spans="1:4" x14ac:dyDescent="0.25">
      <c r="A68" s="36" t="s">
        <v>69</v>
      </c>
      <c r="B68" s="72">
        <v>10</v>
      </c>
      <c r="C68" s="73">
        <v>46023</v>
      </c>
      <c r="D68" s="74" t="s">
        <v>290</v>
      </c>
    </row>
    <row r="69" spans="1:4" x14ac:dyDescent="0.25">
      <c r="A69" s="36" t="s">
        <v>70</v>
      </c>
      <c r="B69" s="72">
        <v>10</v>
      </c>
      <c r="C69" s="73">
        <v>46023</v>
      </c>
      <c r="D69" s="74" t="s">
        <v>290</v>
      </c>
    </row>
    <row r="70" spans="1:4" ht="15.75" x14ac:dyDescent="0.25">
      <c r="A70" s="25" t="s">
        <v>71</v>
      </c>
      <c r="B70" s="72">
        <v>10</v>
      </c>
      <c r="C70" s="73">
        <v>46023</v>
      </c>
      <c r="D70" s="74" t="s">
        <v>290</v>
      </c>
    </row>
    <row r="71" spans="1:4" x14ac:dyDescent="0.25">
      <c r="A71" s="36" t="s">
        <v>72</v>
      </c>
      <c r="B71" s="72">
        <v>10</v>
      </c>
      <c r="C71" s="73">
        <v>46023</v>
      </c>
      <c r="D71" s="74" t="s">
        <v>290</v>
      </c>
    </row>
    <row r="72" spans="1:4" ht="15.75" x14ac:dyDescent="0.25">
      <c r="A72" s="26" t="s">
        <v>73</v>
      </c>
      <c r="B72" s="72">
        <v>10</v>
      </c>
      <c r="C72" s="73">
        <v>46023</v>
      </c>
      <c r="D72" s="74" t="s">
        <v>290</v>
      </c>
    </row>
    <row r="73" spans="1:4" ht="15.75" x14ac:dyDescent="0.25">
      <c r="A73" s="24" t="s">
        <v>74</v>
      </c>
      <c r="B73" s="72">
        <v>10</v>
      </c>
      <c r="C73" s="73">
        <v>46023</v>
      </c>
      <c r="D73" s="74" t="s">
        <v>290</v>
      </c>
    </row>
    <row r="74" spans="1:4" ht="15.75" x14ac:dyDescent="0.25">
      <c r="A74" s="26" t="s">
        <v>75</v>
      </c>
      <c r="B74" s="72">
        <v>10</v>
      </c>
      <c r="C74" s="73">
        <v>46023</v>
      </c>
      <c r="D74" s="74" t="s">
        <v>290</v>
      </c>
    </row>
    <row r="75" spans="1:4" ht="15.75" x14ac:dyDescent="0.25">
      <c r="A75" s="26" t="s">
        <v>76</v>
      </c>
      <c r="B75" s="72">
        <v>10</v>
      </c>
      <c r="C75" s="73">
        <v>46023</v>
      </c>
      <c r="D75" s="74" t="s">
        <v>290</v>
      </c>
    </row>
    <row r="76" spans="1:4" ht="15.75" x14ac:dyDescent="0.25">
      <c r="A76" s="25" t="s">
        <v>77</v>
      </c>
      <c r="B76" s="72">
        <v>10</v>
      </c>
      <c r="C76" s="73">
        <v>46023</v>
      </c>
      <c r="D76" s="74" t="s">
        <v>290</v>
      </c>
    </row>
    <row r="77" spans="1:4" x14ac:dyDescent="0.25">
      <c r="A77" s="36" t="s">
        <v>78</v>
      </c>
      <c r="B77" s="72">
        <v>10</v>
      </c>
      <c r="C77" s="73">
        <v>46023</v>
      </c>
      <c r="D77" s="74" t="s">
        <v>290</v>
      </c>
    </row>
    <row r="78" spans="1:4" ht="15.75" x14ac:dyDescent="0.25">
      <c r="A78" s="25" t="s">
        <v>79</v>
      </c>
      <c r="B78" s="72">
        <v>10</v>
      </c>
      <c r="C78" s="73">
        <v>46023</v>
      </c>
      <c r="D78" s="74" t="s">
        <v>290</v>
      </c>
    </row>
    <row r="79" spans="1:4" x14ac:dyDescent="0.25">
      <c r="A79" s="36" t="s">
        <v>80</v>
      </c>
      <c r="B79" s="72">
        <v>10</v>
      </c>
      <c r="C79" s="73">
        <v>46023</v>
      </c>
      <c r="D79" s="74" t="s">
        <v>290</v>
      </c>
    </row>
    <row r="80" spans="1:4" x14ac:dyDescent="0.25">
      <c r="A80" s="36" t="s">
        <v>81</v>
      </c>
      <c r="B80" s="72">
        <v>10</v>
      </c>
      <c r="C80" s="73">
        <v>46023</v>
      </c>
      <c r="D80" s="74" t="s">
        <v>290</v>
      </c>
    </row>
    <row r="81" spans="1:4" x14ac:dyDescent="0.25">
      <c r="A81" s="36" t="s">
        <v>82</v>
      </c>
      <c r="B81" s="72">
        <v>10</v>
      </c>
      <c r="C81" s="73">
        <v>46023</v>
      </c>
      <c r="D81" s="74" t="s">
        <v>290</v>
      </c>
    </row>
    <row r="82" spans="1:4" x14ac:dyDescent="0.25">
      <c r="A82" s="36" t="s">
        <v>83</v>
      </c>
      <c r="B82" s="72">
        <v>10</v>
      </c>
      <c r="C82" s="73">
        <v>46023</v>
      </c>
      <c r="D82" s="74" t="s">
        <v>290</v>
      </c>
    </row>
    <row r="83" spans="1:4" x14ac:dyDescent="0.25">
      <c r="A83" s="36" t="s">
        <v>84</v>
      </c>
      <c r="B83" s="72">
        <v>10</v>
      </c>
      <c r="C83" s="73">
        <v>46023</v>
      </c>
      <c r="D83" s="74" t="s">
        <v>290</v>
      </c>
    </row>
    <row r="84" spans="1:4" x14ac:dyDescent="0.25">
      <c r="A84" s="36" t="s">
        <v>85</v>
      </c>
      <c r="B84" s="72">
        <v>10</v>
      </c>
      <c r="C84" s="73">
        <v>46023</v>
      </c>
      <c r="D84" s="74" t="s">
        <v>290</v>
      </c>
    </row>
    <row r="85" spans="1:4" x14ac:dyDescent="0.25">
      <c r="A85" s="36" t="s">
        <v>86</v>
      </c>
      <c r="B85" s="72">
        <v>10</v>
      </c>
      <c r="C85" s="73">
        <v>46023</v>
      </c>
      <c r="D85" s="74" t="s">
        <v>290</v>
      </c>
    </row>
    <row r="86" spans="1:4" x14ac:dyDescent="0.25">
      <c r="A86" s="36" t="s">
        <v>87</v>
      </c>
      <c r="B86" s="72">
        <v>10</v>
      </c>
      <c r="C86" s="73">
        <v>46023</v>
      </c>
      <c r="D86" s="74" t="s">
        <v>290</v>
      </c>
    </row>
    <row r="87" spans="1:4" ht="15.75" x14ac:dyDescent="0.25">
      <c r="A87" s="26" t="s">
        <v>88</v>
      </c>
      <c r="B87" s="72">
        <v>10</v>
      </c>
      <c r="C87" s="73">
        <v>46023</v>
      </c>
      <c r="D87" s="74" t="s">
        <v>290</v>
      </c>
    </row>
    <row r="88" spans="1:4" ht="15.75" x14ac:dyDescent="0.25">
      <c r="A88" s="26" t="s">
        <v>89</v>
      </c>
      <c r="B88" s="72">
        <v>10</v>
      </c>
      <c r="C88" s="73">
        <v>46023</v>
      </c>
      <c r="D88" s="74" t="s">
        <v>290</v>
      </c>
    </row>
    <row r="89" spans="1:4" x14ac:dyDescent="0.25">
      <c r="A89" s="36" t="s">
        <v>90</v>
      </c>
      <c r="B89" s="72">
        <v>10</v>
      </c>
      <c r="C89" s="73">
        <v>46023</v>
      </c>
      <c r="D89" s="74" t="s">
        <v>290</v>
      </c>
    </row>
    <row r="90" spans="1:4" x14ac:dyDescent="0.25">
      <c r="A90" s="36" t="s">
        <v>91</v>
      </c>
      <c r="B90" s="72">
        <v>10</v>
      </c>
      <c r="C90" s="73">
        <v>46023</v>
      </c>
      <c r="D90" s="74" t="s">
        <v>290</v>
      </c>
    </row>
    <row r="91" spans="1:4" x14ac:dyDescent="0.25">
      <c r="A91" s="36" t="s">
        <v>92</v>
      </c>
      <c r="B91" s="72">
        <v>10</v>
      </c>
      <c r="C91" s="73">
        <v>46023</v>
      </c>
      <c r="D91" s="74" t="s">
        <v>290</v>
      </c>
    </row>
    <row r="92" spans="1:4" x14ac:dyDescent="0.25">
      <c r="A92" s="36" t="s">
        <v>93</v>
      </c>
      <c r="B92" s="72">
        <v>10</v>
      </c>
      <c r="C92" s="73">
        <v>46023</v>
      </c>
      <c r="D92" s="74" t="s">
        <v>290</v>
      </c>
    </row>
    <row r="93" spans="1:4" x14ac:dyDescent="0.25">
      <c r="A93" s="36" t="s">
        <v>94</v>
      </c>
      <c r="B93" s="72">
        <v>10</v>
      </c>
      <c r="C93" s="73">
        <v>46023</v>
      </c>
      <c r="D93" s="74" t="s">
        <v>290</v>
      </c>
    </row>
    <row r="94" spans="1:4" x14ac:dyDescent="0.25">
      <c r="A94" s="36" t="s">
        <v>95</v>
      </c>
      <c r="B94" s="72">
        <v>10</v>
      </c>
      <c r="C94" s="73">
        <v>46023</v>
      </c>
      <c r="D94" s="74" t="s">
        <v>290</v>
      </c>
    </row>
    <row r="95" spans="1:4" ht="15.75" x14ac:dyDescent="0.25">
      <c r="A95" s="37" t="s">
        <v>96</v>
      </c>
      <c r="B95" s="72">
        <v>10</v>
      </c>
      <c r="C95" s="73">
        <v>46023</v>
      </c>
      <c r="D95" s="74" t="s">
        <v>290</v>
      </c>
    </row>
    <row r="96" spans="1:4" ht="15.75" x14ac:dyDescent="0.25">
      <c r="A96" s="26" t="s">
        <v>97</v>
      </c>
      <c r="B96" s="72">
        <v>10</v>
      </c>
      <c r="C96" s="73">
        <v>46023</v>
      </c>
      <c r="D96" s="74" t="s">
        <v>290</v>
      </c>
    </row>
    <row r="97" spans="1:4" ht="15.75" x14ac:dyDescent="0.25">
      <c r="A97" s="37" t="s">
        <v>98</v>
      </c>
      <c r="B97" s="72">
        <v>10</v>
      </c>
      <c r="C97" s="73">
        <v>46023</v>
      </c>
      <c r="D97" s="74" t="s">
        <v>290</v>
      </c>
    </row>
    <row r="98" spans="1:4" ht="15.75" x14ac:dyDescent="0.25">
      <c r="A98" s="37" t="s">
        <v>99</v>
      </c>
      <c r="B98" s="72">
        <v>10</v>
      </c>
      <c r="C98" s="73">
        <v>46023</v>
      </c>
      <c r="D98" s="74" t="s">
        <v>290</v>
      </c>
    </row>
    <row r="99" spans="1:4" ht="15.75" x14ac:dyDescent="0.25">
      <c r="A99" s="37" t="s">
        <v>100</v>
      </c>
      <c r="B99" s="72">
        <v>10</v>
      </c>
      <c r="C99" s="73">
        <v>46023</v>
      </c>
      <c r="D99" s="74" t="s">
        <v>290</v>
      </c>
    </row>
    <row r="100" spans="1:4" x14ac:dyDescent="0.25">
      <c r="A100" s="36" t="s">
        <v>101</v>
      </c>
      <c r="B100" s="72">
        <v>10</v>
      </c>
      <c r="C100" s="73">
        <v>46023</v>
      </c>
      <c r="D100" s="74" t="s">
        <v>290</v>
      </c>
    </row>
    <row r="101" spans="1:4" x14ac:dyDescent="0.25">
      <c r="A101" s="36" t="s">
        <v>102</v>
      </c>
      <c r="B101" s="72">
        <v>10</v>
      </c>
      <c r="C101" s="73">
        <v>46023</v>
      </c>
      <c r="D101" s="74" t="s">
        <v>290</v>
      </c>
    </row>
    <row r="102" spans="1:4" x14ac:dyDescent="0.25">
      <c r="A102" s="36" t="s">
        <v>103</v>
      </c>
      <c r="B102" s="72">
        <v>10</v>
      </c>
      <c r="C102" s="73">
        <v>46023</v>
      </c>
      <c r="D102" s="74" t="s">
        <v>290</v>
      </c>
    </row>
    <row r="103" spans="1:4" x14ac:dyDescent="0.25">
      <c r="A103" s="36" t="s">
        <v>104</v>
      </c>
      <c r="B103" s="72">
        <v>10</v>
      </c>
      <c r="C103" s="73">
        <v>46023</v>
      </c>
      <c r="D103" s="74" t="s">
        <v>290</v>
      </c>
    </row>
    <row r="104" spans="1:4" x14ac:dyDescent="0.25">
      <c r="A104" s="33" t="s">
        <v>105</v>
      </c>
      <c r="B104" s="72">
        <v>10</v>
      </c>
      <c r="C104" s="73">
        <v>46023</v>
      </c>
      <c r="D104" s="74" t="s">
        <v>290</v>
      </c>
    </row>
    <row r="105" spans="1:4" x14ac:dyDescent="0.25">
      <c r="A105" s="33" t="s">
        <v>106</v>
      </c>
      <c r="B105" s="72">
        <v>10</v>
      </c>
      <c r="C105" s="73">
        <v>46023</v>
      </c>
      <c r="D105" s="74" t="s">
        <v>290</v>
      </c>
    </row>
    <row r="106" spans="1:4" x14ac:dyDescent="0.25">
      <c r="A106" s="36" t="s">
        <v>107</v>
      </c>
      <c r="B106" s="72">
        <v>10</v>
      </c>
      <c r="C106" s="73">
        <v>46023</v>
      </c>
      <c r="D106" s="74" t="s">
        <v>290</v>
      </c>
    </row>
    <row r="107" spans="1:4" x14ac:dyDescent="0.25">
      <c r="A107" s="36" t="s">
        <v>108</v>
      </c>
      <c r="B107" s="72">
        <v>10</v>
      </c>
      <c r="C107" s="73">
        <v>46023</v>
      </c>
      <c r="D107" s="74" t="s">
        <v>290</v>
      </c>
    </row>
    <row r="108" spans="1:4" x14ac:dyDescent="0.25">
      <c r="A108" s="36" t="s">
        <v>109</v>
      </c>
      <c r="B108" s="72">
        <v>10</v>
      </c>
      <c r="C108" s="73">
        <v>46023</v>
      </c>
      <c r="D108" s="74" t="s">
        <v>290</v>
      </c>
    </row>
    <row r="109" spans="1:4" x14ac:dyDescent="0.25">
      <c r="A109" s="36" t="s">
        <v>110</v>
      </c>
      <c r="B109" s="72">
        <v>10</v>
      </c>
      <c r="C109" s="73">
        <v>46023</v>
      </c>
      <c r="D109" s="74" t="s">
        <v>290</v>
      </c>
    </row>
    <row r="110" spans="1:4" x14ac:dyDescent="0.25">
      <c r="A110" s="36" t="s">
        <v>111</v>
      </c>
      <c r="B110" s="72">
        <v>10</v>
      </c>
      <c r="C110" s="73">
        <v>46023</v>
      </c>
      <c r="D110" s="74" t="s">
        <v>290</v>
      </c>
    </row>
    <row r="111" spans="1:4" x14ac:dyDescent="0.25">
      <c r="A111" s="36" t="s">
        <v>112</v>
      </c>
      <c r="B111" s="72">
        <v>10</v>
      </c>
      <c r="C111" s="73">
        <v>46023</v>
      </c>
      <c r="D111" s="74" t="s">
        <v>290</v>
      </c>
    </row>
    <row r="112" spans="1:4" x14ac:dyDescent="0.25">
      <c r="A112" s="36" t="s">
        <v>113</v>
      </c>
      <c r="B112" s="72">
        <v>10</v>
      </c>
      <c r="C112" s="73">
        <v>46023</v>
      </c>
      <c r="D112" s="74" t="s">
        <v>290</v>
      </c>
    </row>
    <row r="113" spans="1:4" x14ac:dyDescent="0.25">
      <c r="A113" s="36" t="s">
        <v>114</v>
      </c>
      <c r="B113" s="72">
        <v>10</v>
      </c>
      <c r="C113" s="73">
        <v>46023</v>
      </c>
      <c r="D113" s="74" t="s">
        <v>290</v>
      </c>
    </row>
    <row r="114" spans="1:4" ht="15.75" x14ac:dyDescent="0.25">
      <c r="A114" s="26" t="s">
        <v>115</v>
      </c>
      <c r="B114" s="72">
        <v>10</v>
      </c>
      <c r="C114" s="73">
        <v>46023</v>
      </c>
      <c r="D114" s="74" t="s">
        <v>290</v>
      </c>
    </row>
    <row r="115" spans="1:4" x14ac:dyDescent="0.25">
      <c r="A115" s="36" t="s">
        <v>116</v>
      </c>
      <c r="B115" s="72">
        <v>10</v>
      </c>
      <c r="C115" s="73">
        <v>46023</v>
      </c>
      <c r="D115" s="74" t="s">
        <v>290</v>
      </c>
    </row>
    <row r="116" spans="1:4" x14ac:dyDescent="0.25">
      <c r="A116" s="36" t="s">
        <v>117</v>
      </c>
      <c r="B116" s="72">
        <v>10</v>
      </c>
      <c r="C116" s="73">
        <v>46023</v>
      </c>
      <c r="D116" s="74" t="s">
        <v>290</v>
      </c>
    </row>
    <row r="117" spans="1:4" x14ac:dyDescent="0.25">
      <c r="A117" s="36" t="s">
        <v>118</v>
      </c>
      <c r="B117" s="72">
        <v>10</v>
      </c>
      <c r="C117" s="73">
        <v>46023</v>
      </c>
      <c r="D117" s="74" t="s">
        <v>290</v>
      </c>
    </row>
    <row r="118" spans="1:4" x14ac:dyDescent="0.25">
      <c r="A118" s="33" t="s">
        <v>119</v>
      </c>
      <c r="B118" s="72">
        <v>10</v>
      </c>
      <c r="C118" s="73">
        <v>46023</v>
      </c>
      <c r="D118" s="74" t="s">
        <v>290</v>
      </c>
    </row>
    <row r="119" spans="1:4" x14ac:dyDescent="0.25">
      <c r="A119" s="33" t="s">
        <v>120</v>
      </c>
      <c r="B119" s="72">
        <v>10</v>
      </c>
      <c r="C119" s="73">
        <v>46023</v>
      </c>
      <c r="D119" s="74" t="s">
        <v>290</v>
      </c>
    </row>
    <row r="120" spans="1:4" x14ac:dyDescent="0.25">
      <c r="A120" s="33" t="s">
        <v>121</v>
      </c>
      <c r="B120" s="72">
        <v>10</v>
      </c>
      <c r="C120" s="73">
        <v>46023</v>
      </c>
      <c r="D120" s="74" t="s">
        <v>290</v>
      </c>
    </row>
    <row r="121" spans="1:4" x14ac:dyDescent="0.25">
      <c r="A121" s="36" t="s">
        <v>122</v>
      </c>
      <c r="B121" s="72">
        <v>10</v>
      </c>
      <c r="C121" s="73">
        <v>46023</v>
      </c>
      <c r="D121" s="74" t="s">
        <v>290</v>
      </c>
    </row>
    <row r="122" spans="1:4" ht="15.75" x14ac:dyDescent="0.25">
      <c r="A122" s="39" t="s">
        <v>123</v>
      </c>
      <c r="B122" s="72">
        <v>10</v>
      </c>
      <c r="C122" s="73">
        <v>46023</v>
      </c>
      <c r="D122" s="74" t="s">
        <v>290</v>
      </c>
    </row>
    <row r="123" spans="1:4" ht="15.75" x14ac:dyDescent="0.25">
      <c r="A123" s="39" t="s">
        <v>124</v>
      </c>
      <c r="B123" s="72">
        <v>10</v>
      </c>
      <c r="C123" s="73">
        <v>46023</v>
      </c>
      <c r="D123" s="74" t="s">
        <v>290</v>
      </c>
    </row>
    <row r="124" spans="1:4" x14ac:dyDescent="0.25">
      <c r="A124" s="36" t="s">
        <v>125</v>
      </c>
      <c r="B124" s="72">
        <v>10</v>
      </c>
      <c r="C124" s="73">
        <v>46023</v>
      </c>
      <c r="D124" s="74" t="s">
        <v>290</v>
      </c>
    </row>
    <row r="125" spans="1:4" ht="15.75" x14ac:dyDescent="0.25">
      <c r="A125" s="42" t="s">
        <v>126</v>
      </c>
      <c r="B125" s="72">
        <v>10</v>
      </c>
      <c r="C125" s="73">
        <v>46023</v>
      </c>
      <c r="D125" s="74" t="s">
        <v>290</v>
      </c>
    </row>
    <row r="126" spans="1:4" ht="15.75" x14ac:dyDescent="0.25">
      <c r="A126" s="42" t="s">
        <v>127</v>
      </c>
      <c r="B126" s="72">
        <v>10</v>
      </c>
      <c r="C126" s="73">
        <v>46023</v>
      </c>
      <c r="D126" s="74" t="s">
        <v>290</v>
      </c>
    </row>
    <row r="127" spans="1:4" ht="15.75" x14ac:dyDescent="0.25">
      <c r="A127" s="37" t="s">
        <v>128</v>
      </c>
      <c r="B127" s="72">
        <v>10</v>
      </c>
      <c r="C127" s="73">
        <v>46023</v>
      </c>
      <c r="D127" s="74" t="s">
        <v>290</v>
      </c>
    </row>
    <row r="128" spans="1:4" x14ac:dyDescent="0.25">
      <c r="A128" s="36" t="s">
        <v>129</v>
      </c>
      <c r="B128" s="72">
        <v>10</v>
      </c>
      <c r="C128" s="73">
        <v>46023</v>
      </c>
      <c r="D128" s="74" t="s">
        <v>290</v>
      </c>
    </row>
    <row r="129" spans="1:4" x14ac:dyDescent="0.25">
      <c r="A129" s="36" t="s">
        <v>130</v>
      </c>
      <c r="B129" s="72">
        <v>10</v>
      </c>
      <c r="C129" s="73">
        <v>46023</v>
      </c>
      <c r="D129" s="74" t="s">
        <v>290</v>
      </c>
    </row>
    <row r="130" spans="1:4" x14ac:dyDescent="0.25">
      <c r="A130" s="36" t="s">
        <v>131</v>
      </c>
      <c r="B130" s="72">
        <v>10</v>
      </c>
      <c r="C130" s="73">
        <v>46023</v>
      </c>
      <c r="D130" s="74" t="s">
        <v>290</v>
      </c>
    </row>
    <row r="131" spans="1:4" x14ac:dyDescent="0.25">
      <c r="A131" s="36" t="s">
        <v>132</v>
      </c>
      <c r="B131" s="72">
        <v>10</v>
      </c>
      <c r="C131" s="73">
        <v>46023</v>
      </c>
      <c r="D131" s="74" t="s">
        <v>290</v>
      </c>
    </row>
    <row r="132" spans="1:4" x14ac:dyDescent="0.25">
      <c r="A132" s="36" t="s">
        <v>133</v>
      </c>
      <c r="B132" s="72">
        <v>10</v>
      </c>
      <c r="C132" s="73">
        <v>46023</v>
      </c>
      <c r="D132" s="74" t="s">
        <v>290</v>
      </c>
    </row>
    <row r="133" spans="1:4" x14ac:dyDescent="0.25">
      <c r="A133" s="36" t="s">
        <v>134</v>
      </c>
      <c r="B133" s="72">
        <v>10</v>
      </c>
      <c r="C133" s="73">
        <v>46023</v>
      </c>
      <c r="D133" s="74" t="s">
        <v>290</v>
      </c>
    </row>
    <row r="134" spans="1:4" x14ac:dyDescent="0.25">
      <c r="A134" s="36" t="s">
        <v>135</v>
      </c>
      <c r="B134" s="72">
        <v>10</v>
      </c>
      <c r="C134" s="73">
        <v>46023</v>
      </c>
      <c r="D134" s="74" t="s">
        <v>290</v>
      </c>
    </row>
    <row r="135" spans="1:4" x14ac:dyDescent="0.25">
      <c r="A135" s="36" t="s">
        <v>136</v>
      </c>
      <c r="B135" s="72">
        <v>10</v>
      </c>
      <c r="C135" s="73">
        <v>46023</v>
      </c>
      <c r="D135" s="74" t="s">
        <v>290</v>
      </c>
    </row>
    <row r="136" spans="1:4" x14ac:dyDescent="0.25">
      <c r="A136" s="36" t="s">
        <v>137</v>
      </c>
      <c r="B136" s="72">
        <v>10</v>
      </c>
      <c r="C136" s="73">
        <v>46023</v>
      </c>
      <c r="D136" s="74" t="s">
        <v>290</v>
      </c>
    </row>
    <row r="137" spans="1:4" x14ac:dyDescent="0.25">
      <c r="A137" s="36" t="s">
        <v>138</v>
      </c>
      <c r="B137" s="72">
        <v>10</v>
      </c>
      <c r="C137" s="73">
        <v>46023</v>
      </c>
      <c r="D137" s="74" t="s">
        <v>290</v>
      </c>
    </row>
    <row r="138" spans="1:4" x14ac:dyDescent="0.25">
      <c r="A138" s="36" t="s">
        <v>139</v>
      </c>
      <c r="B138" s="72">
        <v>10</v>
      </c>
      <c r="C138" s="73">
        <v>46023</v>
      </c>
      <c r="D138" s="74" t="s">
        <v>290</v>
      </c>
    </row>
    <row r="139" spans="1:4" x14ac:dyDescent="0.25">
      <c r="A139" s="36" t="s">
        <v>140</v>
      </c>
      <c r="B139" s="72">
        <v>10</v>
      </c>
      <c r="C139" s="73">
        <v>46023</v>
      </c>
      <c r="D139" s="74" t="s">
        <v>290</v>
      </c>
    </row>
    <row r="140" spans="1:4" x14ac:dyDescent="0.25">
      <c r="A140" s="36" t="s">
        <v>141</v>
      </c>
      <c r="B140" s="72">
        <v>10</v>
      </c>
      <c r="C140" s="73">
        <v>46023</v>
      </c>
      <c r="D140" s="74" t="s">
        <v>290</v>
      </c>
    </row>
    <row r="141" spans="1:4" x14ac:dyDescent="0.25">
      <c r="A141" s="36" t="s">
        <v>142</v>
      </c>
      <c r="B141" s="72">
        <v>10</v>
      </c>
      <c r="C141" s="73">
        <v>46023</v>
      </c>
      <c r="D141" s="74" t="s">
        <v>290</v>
      </c>
    </row>
    <row r="142" spans="1:4" x14ac:dyDescent="0.25">
      <c r="A142" s="36" t="s">
        <v>143</v>
      </c>
      <c r="B142" s="72">
        <v>10</v>
      </c>
      <c r="C142" s="73">
        <v>46023</v>
      </c>
      <c r="D142" s="74" t="s">
        <v>290</v>
      </c>
    </row>
    <row r="143" spans="1:4" x14ac:dyDescent="0.25">
      <c r="A143" s="36" t="s">
        <v>144</v>
      </c>
      <c r="B143" s="72">
        <v>10</v>
      </c>
      <c r="C143" s="73">
        <v>46023</v>
      </c>
      <c r="D143" s="74" t="s">
        <v>290</v>
      </c>
    </row>
    <row r="144" spans="1:4" x14ac:dyDescent="0.25">
      <c r="A144" s="36" t="s">
        <v>145</v>
      </c>
      <c r="B144" s="72">
        <v>10</v>
      </c>
      <c r="C144" s="73">
        <v>46023</v>
      </c>
      <c r="D144" s="74" t="s">
        <v>290</v>
      </c>
    </row>
    <row r="145" spans="1:4" x14ac:dyDescent="0.25">
      <c r="A145" s="36" t="s">
        <v>146</v>
      </c>
      <c r="B145" s="72">
        <v>10</v>
      </c>
      <c r="C145" s="73">
        <v>46023</v>
      </c>
      <c r="D145" s="74" t="s">
        <v>290</v>
      </c>
    </row>
    <row r="146" spans="1:4" x14ac:dyDescent="0.25">
      <c r="A146" s="36" t="s">
        <v>147</v>
      </c>
      <c r="B146" s="72">
        <v>10</v>
      </c>
      <c r="C146" s="73">
        <v>46023</v>
      </c>
      <c r="D146" s="74" t="s">
        <v>290</v>
      </c>
    </row>
    <row r="147" spans="1:4" x14ac:dyDescent="0.25">
      <c r="A147" s="36" t="s">
        <v>148</v>
      </c>
      <c r="B147" s="72">
        <v>10</v>
      </c>
      <c r="C147" s="73">
        <v>46023</v>
      </c>
      <c r="D147" s="74" t="s">
        <v>290</v>
      </c>
    </row>
    <row r="148" spans="1:4" x14ac:dyDescent="0.25">
      <c r="A148" s="36" t="s">
        <v>149</v>
      </c>
      <c r="B148" s="72">
        <v>10</v>
      </c>
      <c r="C148" s="73">
        <v>46023</v>
      </c>
      <c r="D148" s="74" t="s">
        <v>290</v>
      </c>
    </row>
    <row r="149" spans="1:4" x14ac:dyDescent="0.25">
      <c r="A149" s="36" t="s">
        <v>150</v>
      </c>
      <c r="B149" s="72">
        <v>10</v>
      </c>
      <c r="C149" s="73">
        <v>46023</v>
      </c>
      <c r="D149" s="74" t="s">
        <v>290</v>
      </c>
    </row>
    <row r="150" spans="1:4" x14ac:dyDescent="0.25">
      <c r="A150" s="36" t="s">
        <v>151</v>
      </c>
      <c r="B150" s="72">
        <v>10</v>
      </c>
      <c r="C150" s="73">
        <v>46023</v>
      </c>
      <c r="D150" s="74" t="s">
        <v>290</v>
      </c>
    </row>
    <row r="151" spans="1:4" x14ac:dyDescent="0.25">
      <c r="A151" s="36" t="s">
        <v>152</v>
      </c>
      <c r="B151" s="72">
        <v>10</v>
      </c>
      <c r="C151" s="73">
        <v>46023</v>
      </c>
      <c r="D151" s="74" t="s">
        <v>290</v>
      </c>
    </row>
    <row r="152" spans="1:4" x14ac:dyDescent="0.25">
      <c r="A152" s="36" t="s">
        <v>153</v>
      </c>
      <c r="B152" s="72">
        <v>10</v>
      </c>
      <c r="C152" s="73">
        <v>46023</v>
      </c>
      <c r="D152" s="74" t="s">
        <v>290</v>
      </c>
    </row>
    <row r="153" spans="1:4" x14ac:dyDescent="0.25">
      <c r="A153" s="36" t="s">
        <v>154</v>
      </c>
      <c r="B153" s="72">
        <v>10</v>
      </c>
      <c r="C153" s="73">
        <v>46023</v>
      </c>
      <c r="D153" s="74" t="s">
        <v>290</v>
      </c>
    </row>
    <row r="154" spans="1:4" x14ac:dyDescent="0.25">
      <c r="A154" s="36" t="s">
        <v>155</v>
      </c>
      <c r="B154" s="72">
        <v>10</v>
      </c>
      <c r="C154" s="73">
        <v>46023</v>
      </c>
      <c r="D154" s="74" t="s">
        <v>290</v>
      </c>
    </row>
    <row r="155" spans="1:4" x14ac:dyDescent="0.25">
      <c r="A155" s="36" t="s">
        <v>156</v>
      </c>
      <c r="B155" s="72">
        <v>10</v>
      </c>
      <c r="C155" s="73">
        <v>46023</v>
      </c>
      <c r="D155" s="74" t="s">
        <v>290</v>
      </c>
    </row>
    <row r="156" spans="1:4" x14ac:dyDescent="0.25">
      <c r="A156" s="36" t="s">
        <v>157</v>
      </c>
      <c r="B156" s="72">
        <v>10</v>
      </c>
      <c r="C156" s="73">
        <v>46023</v>
      </c>
      <c r="D156" s="74" t="s">
        <v>290</v>
      </c>
    </row>
    <row r="157" spans="1:4" x14ac:dyDescent="0.25">
      <c r="A157" s="36" t="s">
        <v>158</v>
      </c>
      <c r="B157" s="72">
        <v>10</v>
      </c>
      <c r="C157" s="73">
        <v>46023</v>
      </c>
      <c r="D157" s="74" t="s">
        <v>290</v>
      </c>
    </row>
    <row r="158" spans="1:4" x14ac:dyDescent="0.25">
      <c r="A158" s="36" t="s">
        <v>159</v>
      </c>
      <c r="B158" s="72">
        <v>10</v>
      </c>
      <c r="C158" s="73">
        <v>46023</v>
      </c>
      <c r="D158" s="74" t="s">
        <v>290</v>
      </c>
    </row>
    <row r="159" spans="1:4" x14ac:dyDescent="0.25">
      <c r="A159" s="36" t="s">
        <v>160</v>
      </c>
      <c r="B159" s="72">
        <v>10</v>
      </c>
      <c r="C159" s="73">
        <v>46023</v>
      </c>
      <c r="D159" s="74" t="s">
        <v>290</v>
      </c>
    </row>
    <row r="160" spans="1:4" x14ac:dyDescent="0.25">
      <c r="A160" s="36" t="s">
        <v>161</v>
      </c>
      <c r="B160" s="72">
        <v>10</v>
      </c>
      <c r="C160" s="73">
        <v>46023</v>
      </c>
      <c r="D160" s="74" t="s">
        <v>290</v>
      </c>
    </row>
    <row r="161" spans="1:4" x14ac:dyDescent="0.25">
      <c r="A161" s="36" t="s">
        <v>162</v>
      </c>
      <c r="B161" s="72">
        <v>10</v>
      </c>
      <c r="C161" s="73">
        <v>46023</v>
      </c>
      <c r="D161" s="74" t="s">
        <v>290</v>
      </c>
    </row>
    <row r="162" spans="1:4" x14ac:dyDescent="0.25">
      <c r="A162" s="36" t="s">
        <v>163</v>
      </c>
      <c r="B162" s="72">
        <v>10</v>
      </c>
      <c r="C162" s="73">
        <v>46023</v>
      </c>
      <c r="D162" s="74" t="s">
        <v>290</v>
      </c>
    </row>
    <row r="163" spans="1:4" x14ac:dyDescent="0.25">
      <c r="A163" s="36" t="s">
        <v>164</v>
      </c>
      <c r="B163" s="72">
        <v>10</v>
      </c>
      <c r="C163" s="73">
        <v>46023</v>
      </c>
      <c r="D163" s="74" t="s">
        <v>290</v>
      </c>
    </row>
    <row r="164" spans="1:4" x14ac:dyDescent="0.25">
      <c r="A164" s="36" t="s">
        <v>165</v>
      </c>
      <c r="B164" s="72">
        <v>10</v>
      </c>
      <c r="C164" s="73">
        <v>46023</v>
      </c>
      <c r="D164" s="74" t="s">
        <v>290</v>
      </c>
    </row>
    <row r="165" spans="1:4" x14ac:dyDescent="0.25">
      <c r="A165" s="36" t="s">
        <v>166</v>
      </c>
      <c r="B165" s="72">
        <v>10</v>
      </c>
      <c r="C165" s="73">
        <v>46023</v>
      </c>
      <c r="D165" s="74" t="s">
        <v>290</v>
      </c>
    </row>
    <row r="166" spans="1:4" x14ac:dyDescent="0.25">
      <c r="A166" s="36" t="s">
        <v>167</v>
      </c>
      <c r="B166" s="72">
        <v>10</v>
      </c>
      <c r="C166" s="73">
        <v>46023</v>
      </c>
      <c r="D166" s="74" t="s">
        <v>290</v>
      </c>
    </row>
    <row r="167" spans="1:4" x14ac:dyDescent="0.25">
      <c r="A167" s="36" t="s">
        <v>168</v>
      </c>
      <c r="B167" s="72">
        <v>10</v>
      </c>
      <c r="C167" s="73">
        <v>46023</v>
      </c>
      <c r="D167" s="74" t="s">
        <v>290</v>
      </c>
    </row>
    <row r="168" spans="1:4" x14ac:dyDescent="0.25">
      <c r="A168" s="36" t="s">
        <v>169</v>
      </c>
      <c r="B168" s="72">
        <v>10</v>
      </c>
      <c r="C168" s="73">
        <v>46023</v>
      </c>
      <c r="D168" s="74" t="s">
        <v>290</v>
      </c>
    </row>
    <row r="169" spans="1:4" x14ac:dyDescent="0.25">
      <c r="A169" s="36" t="s">
        <v>170</v>
      </c>
      <c r="B169" s="72">
        <v>10</v>
      </c>
      <c r="C169" s="73">
        <v>46023</v>
      </c>
      <c r="D169" s="74" t="s">
        <v>290</v>
      </c>
    </row>
    <row r="170" spans="1:4" x14ac:dyDescent="0.25">
      <c r="A170" s="36" t="s">
        <v>171</v>
      </c>
      <c r="B170" s="72">
        <v>10</v>
      </c>
      <c r="C170" s="73">
        <v>46023</v>
      </c>
      <c r="D170" s="74" t="s">
        <v>290</v>
      </c>
    </row>
    <row r="171" spans="1:4" x14ac:dyDescent="0.25">
      <c r="A171" s="36" t="s">
        <v>172</v>
      </c>
      <c r="B171" s="72">
        <v>10</v>
      </c>
      <c r="C171" s="73">
        <v>46023</v>
      </c>
      <c r="D171" s="74" t="s">
        <v>290</v>
      </c>
    </row>
    <row r="172" spans="1:4" x14ac:dyDescent="0.25">
      <c r="A172" s="36" t="s">
        <v>173</v>
      </c>
      <c r="B172" s="72">
        <v>10</v>
      </c>
      <c r="C172" s="73">
        <v>46023</v>
      </c>
      <c r="D172" s="74" t="s">
        <v>290</v>
      </c>
    </row>
    <row r="173" spans="1:4" x14ac:dyDescent="0.25">
      <c r="A173" s="36" t="s">
        <v>174</v>
      </c>
      <c r="B173" s="72">
        <v>10</v>
      </c>
      <c r="C173" s="73">
        <v>46023</v>
      </c>
      <c r="D173" s="74" t="s">
        <v>290</v>
      </c>
    </row>
    <row r="174" spans="1:4" x14ac:dyDescent="0.25">
      <c r="A174" s="36" t="s">
        <v>175</v>
      </c>
      <c r="B174" s="72">
        <v>10</v>
      </c>
      <c r="C174" s="73">
        <v>46023</v>
      </c>
      <c r="D174" s="74" t="s">
        <v>290</v>
      </c>
    </row>
    <row r="175" spans="1:4" x14ac:dyDescent="0.25">
      <c r="A175" s="36" t="s">
        <v>176</v>
      </c>
      <c r="B175" s="72">
        <v>10</v>
      </c>
      <c r="C175" s="73">
        <v>46023</v>
      </c>
      <c r="D175" s="74" t="s">
        <v>290</v>
      </c>
    </row>
    <row r="176" spans="1:4" x14ac:dyDescent="0.25">
      <c r="A176" s="36" t="s">
        <v>177</v>
      </c>
      <c r="B176" s="72">
        <v>10</v>
      </c>
      <c r="C176" s="73">
        <v>46023</v>
      </c>
      <c r="D176" s="74" t="s">
        <v>290</v>
      </c>
    </row>
    <row r="177" spans="1:4" x14ac:dyDescent="0.25">
      <c r="A177" s="36" t="s">
        <v>178</v>
      </c>
      <c r="B177" s="72">
        <v>10</v>
      </c>
      <c r="C177" s="73">
        <v>46023</v>
      </c>
      <c r="D177" s="74" t="s">
        <v>290</v>
      </c>
    </row>
    <row r="178" spans="1:4" x14ac:dyDescent="0.25">
      <c r="A178" s="36" t="s">
        <v>179</v>
      </c>
      <c r="B178" s="72">
        <v>10</v>
      </c>
      <c r="C178" s="73">
        <v>46023</v>
      </c>
      <c r="D178" s="74" t="s">
        <v>290</v>
      </c>
    </row>
    <row r="179" spans="1:4" x14ac:dyDescent="0.25">
      <c r="A179" s="36" t="s">
        <v>180</v>
      </c>
      <c r="B179" s="72">
        <v>10</v>
      </c>
      <c r="C179" s="73">
        <v>46023</v>
      </c>
      <c r="D179" s="74" t="s">
        <v>290</v>
      </c>
    </row>
    <row r="180" spans="1:4" x14ac:dyDescent="0.25">
      <c r="A180" s="36" t="s">
        <v>181</v>
      </c>
      <c r="B180" s="72">
        <v>10</v>
      </c>
      <c r="C180" s="73">
        <v>46023</v>
      </c>
      <c r="D180" s="74" t="s">
        <v>290</v>
      </c>
    </row>
    <row r="181" spans="1:4" x14ac:dyDescent="0.25">
      <c r="A181" s="36" t="s">
        <v>182</v>
      </c>
      <c r="B181" s="72">
        <v>10</v>
      </c>
      <c r="C181" s="73">
        <v>46023</v>
      </c>
      <c r="D181" s="74" t="s">
        <v>290</v>
      </c>
    </row>
    <row r="182" spans="1:4" x14ac:dyDescent="0.25">
      <c r="A182" s="36" t="s">
        <v>183</v>
      </c>
      <c r="B182" s="72">
        <v>10</v>
      </c>
      <c r="C182" s="73">
        <v>46023</v>
      </c>
      <c r="D182" s="74" t="s">
        <v>290</v>
      </c>
    </row>
    <row r="183" spans="1:4" x14ac:dyDescent="0.25">
      <c r="A183" s="36" t="s">
        <v>184</v>
      </c>
      <c r="B183" s="72">
        <v>10</v>
      </c>
      <c r="C183" s="73">
        <v>46023</v>
      </c>
      <c r="D183" s="74" t="s">
        <v>290</v>
      </c>
    </row>
    <row r="184" spans="1:4" x14ac:dyDescent="0.25">
      <c r="A184" s="36" t="s">
        <v>185</v>
      </c>
      <c r="B184" s="72">
        <v>10</v>
      </c>
      <c r="C184" s="73">
        <v>46023</v>
      </c>
      <c r="D184" s="74" t="s">
        <v>290</v>
      </c>
    </row>
    <row r="185" spans="1:4" x14ac:dyDescent="0.25">
      <c r="A185" s="36" t="s">
        <v>186</v>
      </c>
      <c r="B185" s="72">
        <v>10</v>
      </c>
      <c r="C185" s="73">
        <v>46023</v>
      </c>
      <c r="D185" s="74" t="s">
        <v>290</v>
      </c>
    </row>
    <row r="186" spans="1:4" x14ac:dyDescent="0.25">
      <c r="A186" s="36" t="s">
        <v>187</v>
      </c>
      <c r="B186" s="72">
        <v>10</v>
      </c>
      <c r="C186" s="73">
        <v>46023</v>
      </c>
      <c r="D186" s="74" t="s">
        <v>290</v>
      </c>
    </row>
    <row r="187" spans="1:4" x14ac:dyDescent="0.25">
      <c r="A187" s="62"/>
      <c r="B187" s="62"/>
      <c r="C187" s="64"/>
      <c r="D187" s="62"/>
    </row>
    <row r="188" spans="1:4" x14ac:dyDescent="0.25">
      <c r="A188" s="62"/>
      <c r="B188" s="62"/>
      <c r="C188" s="64"/>
      <c r="D188" s="62"/>
    </row>
    <row r="189" spans="1:4" x14ac:dyDescent="0.25">
      <c r="A189" s="62"/>
      <c r="B189" s="62"/>
      <c r="C189" s="64"/>
      <c r="D189" s="62"/>
    </row>
    <row r="190" spans="1:4" x14ac:dyDescent="0.25">
      <c r="A190" s="62"/>
      <c r="B190" s="62"/>
      <c r="C190" s="64"/>
      <c r="D190" s="62"/>
    </row>
    <row r="191" spans="1:4" x14ac:dyDescent="0.25">
      <c r="A191" s="62"/>
      <c r="B191" s="62"/>
      <c r="C191" s="64"/>
      <c r="D191" s="62"/>
    </row>
    <row r="192" spans="1:4" x14ac:dyDescent="0.25">
      <c r="A192" s="62"/>
      <c r="B192" s="62"/>
      <c r="C192" s="64"/>
      <c r="D192" s="62"/>
    </row>
    <row r="193" spans="1:4" x14ac:dyDescent="0.25">
      <c r="A193" s="62"/>
      <c r="B193" s="62"/>
      <c r="C193" s="64"/>
      <c r="D193" s="62"/>
    </row>
    <row r="194" spans="1:4" x14ac:dyDescent="0.25">
      <c r="A194" s="62"/>
      <c r="B194" s="62"/>
      <c r="C194" s="64"/>
      <c r="D194" s="62"/>
    </row>
    <row r="195" spans="1:4" x14ac:dyDescent="0.25">
      <c r="A195" s="62"/>
      <c r="B195" s="62"/>
      <c r="C195" s="64"/>
      <c r="D195" s="62"/>
    </row>
    <row r="196" spans="1:4" x14ac:dyDescent="0.25">
      <c r="A196" s="62"/>
      <c r="B196" s="62"/>
      <c r="C196" s="64"/>
      <c r="D196" s="62"/>
    </row>
    <row r="197" spans="1:4" x14ac:dyDescent="0.25">
      <c r="A197" s="62"/>
      <c r="B197" s="62"/>
      <c r="C197" s="64"/>
      <c r="D197" s="62"/>
    </row>
    <row r="198" spans="1:4" x14ac:dyDescent="0.25">
      <c r="A198" s="62"/>
      <c r="B198" s="62"/>
      <c r="C198" s="64"/>
      <c r="D198" s="62"/>
    </row>
    <row r="199" spans="1:4" x14ac:dyDescent="0.25">
      <c r="A199" s="62"/>
      <c r="B199" s="62"/>
      <c r="C199" s="64"/>
      <c r="D199" s="62"/>
    </row>
    <row r="200" spans="1:4" x14ac:dyDescent="0.25">
      <c r="A200" s="62"/>
      <c r="B200" s="62"/>
      <c r="C200" s="64"/>
      <c r="D200" s="62"/>
    </row>
    <row r="201" spans="1:4" x14ac:dyDescent="0.25">
      <c r="A201" s="62"/>
      <c r="B201" s="62"/>
      <c r="C201" s="64"/>
      <c r="D201" s="62"/>
    </row>
    <row r="202" spans="1:4" x14ac:dyDescent="0.25">
      <c r="A202" s="62"/>
      <c r="B202" s="62"/>
      <c r="C202" s="64"/>
      <c r="D202" s="62"/>
    </row>
    <row r="203" spans="1:4" x14ac:dyDescent="0.25">
      <c r="A203" s="62"/>
      <c r="B203" s="62"/>
      <c r="C203" s="64"/>
      <c r="D203" s="62"/>
    </row>
    <row r="204" spans="1:4" x14ac:dyDescent="0.25">
      <c r="A204" s="62"/>
      <c r="B204" s="62"/>
      <c r="C204" s="64"/>
      <c r="D204" s="62"/>
    </row>
    <row r="205" spans="1:4" x14ac:dyDescent="0.25">
      <c r="A205" s="62"/>
      <c r="B205" s="62"/>
      <c r="C205" s="64"/>
      <c r="D205" s="62"/>
    </row>
    <row r="206" spans="1:4" x14ac:dyDescent="0.25">
      <c r="A206" s="62"/>
      <c r="B206" s="62"/>
      <c r="C206" s="64"/>
      <c r="D206" s="62"/>
    </row>
    <row r="207" spans="1:4" x14ac:dyDescent="0.25">
      <c r="A207" s="62"/>
      <c r="B207" s="62"/>
      <c r="C207" s="64"/>
      <c r="D207" s="62"/>
    </row>
    <row r="208" spans="1:4" x14ac:dyDescent="0.25">
      <c r="A208" s="62"/>
      <c r="B208" s="62"/>
      <c r="C208" s="64"/>
      <c r="D208" s="62"/>
    </row>
    <row r="209" spans="1:4" x14ac:dyDescent="0.25">
      <c r="A209" s="62"/>
      <c r="B209" s="62"/>
      <c r="C209" s="64"/>
      <c r="D209" s="62"/>
    </row>
    <row r="210" spans="1:4" x14ac:dyDescent="0.25">
      <c r="A210" s="62"/>
      <c r="B210" s="62"/>
      <c r="C210" s="64"/>
      <c r="D210" s="62"/>
    </row>
    <row r="211" spans="1:4" x14ac:dyDescent="0.25">
      <c r="A211" s="62"/>
      <c r="B211" s="62"/>
      <c r="C211" s="64"/>
      <c r="D211" s="62"/>
    </row>
    <row r="212" spans="1:4" x14ac:dyDescent="0.25">
      <c r="A212" s="62"/>
      <c r="B212" s="62"/>
      <c r="C212" s="64"/>
      <c r="D212" s="62"/>
    </row>
    <row r="213" spans="1:4" x14ac:dyDescent="0.25">
      <c r="A213" s="62"/>
      <c r="B213" s="62"/>
      <c r="C213" s="64"/>
      <c r="D213" s="62"/>
    </row>
    <row r="214" spans="1:4" x14ac:dyDescent="0.25">
      <c r="A214" s="62"/>
      <c r="B214" s="62"/>
      <c r="C214" s="64"/>
      <c r="D214" s="62"/>
    </row>
    <row r="215" spans="1:4" x14ac:dyDescent="0.25">
      <c r="A215" s="62"/>
      <c r="B215" s="62"/>
      <c r="C215" s="64"/>
      <c r="D215" s="62"/>
    </row>
    <row r="216" spans="1:4" x14ac:dyDescent="0.25">
      <c r="A216" s="62"/>
      <c r="B216" s="62"/>
      <c r="C216" s="64"/>
      <c r="D216" s="62"/>
    </row>
    <row r="217" spans="1:4" x14ac:dyDescent="0.25">
      <c r="A217" s="62"/>
      <c r="B217" s="62"/>
      <c r="C217" s="64"/>
      <c r="D217" s="62"/>
    </row>
    <row r="218" spans="1:4" x14ac:dyDescent="0.25">
      <c r="A218" s="62"/>
      <c r="B218" s="62"/>
      <c r="C218" s="64"/>
      <c r="D218" s="62"/>
    </row>
    <row r="219" spans="1:4" x14ac:dyDescent="0.25">
      <c r="A219" s="62"/>
      <c r="B219" s="62"/>
      <c r="C219" s="64"/>
      <c r="D219" s="62"/>
    </row>
    <row r="220" spans="1:4" x14ac:dyDescent="0.25">
      <c r="A220" s="62"/>
      <c r="B220" s="62"/>
      <c r="C220" s="64"/>
      <c r="D220" s="62"/>
    </row>
    <row r="221" spans="1:4" x14ac:dyDescent="0.25">
      <c r="A221" s="62"/>
      <c r="B221" s="62"/>
      <c r="C221" s="64"/>
      <c r="D221" s="62"/>
    </row>
    <row r="222" spans="1:4" x14ac:dyDescent="0.25">
      <c r="A222" s="62"/>
      <c r="B222" s="62"/>
      <c r="C222" s="64"/>
      <c r="D222" s="62"/>
    </row>
    <row r="223" spans="1:4" x14ac:dyDescent="0.25">
      <c r="A223" s="62"/>
      <c r="B223" s="62"/>
      <c r="C223" s="64"/>
      <c r="D223" s="62"/>
    </row>
    <row r="224" spans="1:4" x14ac:dyDescent="0.25">
      <c r="A224" s="62"/>
      <c r="B224" s="62"/>
      <c r="C224" s="64"/>
      <c r="D224" s="62"/>
    </row>
    <row r="225" spans="1:4" x14ac:dyDescent="0.25">
      <c r="A225" s="62"/>
      <c r="B225" s="62"/>
      <c r="C225" s="64"/>
      <c r="D225" s="62"/>
    </row>
    <row r="226" spans="1:4" x14ac:dyDescent="0.25">
      <c r="A226" s="62"/>
      <c r="B226" s="62"/>
      <c r="C226" s="64"/>
      <c r="D226" s="62"/>
    </row>
    <row r="227" spans="1:4" x14ac:dyDescent="0.25">
      <c r="A227" s="62"/>
      <c r="B227" s="62"/>
      <c r="C227" s="64"/>
      <c r="D227" s="62"/>
    </row>
    <row r="228" spans="1:4" x14ac:dyDescent="0.25">
      <c r="A228" s="62"/>
      <c r="B228" s="62"/>
      <c r="C228" s="64"/>
      <c r="D228" s="62"/>
    </row>
    <row r="229" spans="1:4" x14ac:dyDescent="0.25">
      <c r="A229" s="62"/>
      <c r="B229" s="62"/>
      <c r="C229" s="64"/>
      <c r="D229" s="62"/>
    </row>
    <row r="230" spans="1:4" x14ac:dyDescent="0.25">
      <c r="A230" s="62"/>
      <c r="B230" s="62"/>
      <c r="C230" s="64"/>
      <c r="D230" s="62"/>
    </row>
    <row r="231" spans="1:4" x14ac:dyDescent="0.25">
      <c r="A231" s="62"/>
      <c r="B231" s="62"/>
      <c r="C231" s="64"/>
      <c r="D231" s="62"/>
    </row>
    <row r="232" spans="1:4" x14ac:dyDescent="0.25">
      <c r="A232" s="62"/>
      <c r="B232" s="62"/>
      <c r="C232" s="64"/>
      <c r="D232" s="62"/>
    </row>
    <row r="233" spans="1:4" x14ac:dyDescent="0.25">
      <c r="A233" s="62"/>
      <c r="B233" s="62"/>
      <c r="C233" s="64"/>
      <c r="D233" s="62"/>
    </row>
    <row r="234" spans="1:4" x14ac:dyDescent="0.25">
      <c r="A234" s="62"/>
      <c r="B234" s="62"/>
      <c r="C234" s="64"/>
      <c r="D234" s="62"/>
    </row>
    <row r="235" spans="1:4" x14ac:dyDescent="0.25">
      <c r="A235" s="62"/>
      <c r="B235" s="62"/>
      <c r="C235" s="64"/>
      <c r="D235" s="62"/>
    </row>
    <row r="236" spans="1:4" x14ac:dyDescent="0.25">
      <c r="A236" s="62"/>
      <c r="B236" s="62"/>
      <c r="C236" s="64"/>
      <c r="D236" s="62"/>
    </row>
    <row r="237" spans="1:4" x14ac:dyDescent="0.25">
      <c r="A237" s="62"/>
      <c r="B237" s="62"/>
      <c r="C237" s="64"/>
      <c r="D237" s="62"/>
    </row>
    <row r="238" spans="1:4" x14ac:dyDescent="0.25">
      <c r="A238" s="62"/>
      <c r="B238" s="62"/>
      <c r="C238" s="64"/>
      <c r="D238" s="62"/>
    </row>
    <row r="239" spans="1:4" x14ac:dyDescent="0.25">
      <c r="A239" s="62"/>
      <c r="B239" s="62"/>
      <c r="C239" s="64"/>
      <c r="D239" s="62"/>
    </row>
    <row r="240" spans="1:4" x14ac:dyDescent="0.25">
      <c r="A240" s="62"/>
      <c r="B240" s="62"/>
      <c r="C240" s="64"/>
      <c r="D240" s="62"/>
    </row>
    <row r="241" spans="1:4" x14ac:dyDescent="0.25">
      <c r="A241" s="62"/>
      <c r="B241" s="62"/>
      <c r="C241" s="64"/>
      <c r="D241" s="62"/>
    </row>
    <row r="242" spans="1:4" x14ac:dyDescent="0.25">
      <c r="A242" s="62"/>
      <c r="B242" s="62"/>
      <c r="C242" s="64"/>
      <c r="D242" s="62"/>
    </row>
    <row r="243" spans="1:4" x14ac:dyDescent="0.25">
      <c r="A243" s="62"/>
      <c r="B243" s="62"/>
      <c r="C243" s="64"/>
      <c r="D243" s="62"/>
    </row>
    <row r="244" spans="1:4" x14ac:dyDescent="0.25">
      <c r="A244" s="62"/>
      <c r="B244" s="62"/>
      <c r="C244" s="64"/>
      <c r="D244" s="62"/>
    </row>
    <row r="245" spans="1:4" x14ac:dyDescent="0.25">
      <c r="A245" s="62"/>
      <c r="B245" s="62"/>
      <c r="C245" s="64"/>
      <c r="D245" s="62"/>
    </row>
    <row r="246" spans="1:4" x14ac:dyDescent="0.25">
      <c r="A246" s="62"/>
      <c r="B246" s="62"/>
      <c r="C246" s="64"/>
      <c r="D246" s="62"/>
    </row>
    <row r="247" spans="1:4" x14ac:dyDescent="0.25">
      <c r="A247" s="62"/>
      <c r="B247" s="62"/>
      <c r="C247" s="64"/>
      <c r="D247" s="62"/>
    </row>
    <row r="248" spans="1:4" x14ac:dyDescent="0.25">
      <c r="A248" s="62"/>
      <c r="B248" s="62"/>
      <c r="C248" s="64"/>
      <c r="D248" s="62"/>
    </row>
    <row r="249" spans="1:4" x14ac:dyDescent="0.25">
      <c r="A249" s="62"/>
      <c r="B249" s="62"/>
      <c r="C249" s="64"/>
      <c r="D249" s="62"/>
    </row>
    <row r="250" spans="1:4" x14ac:dyDescent="0.25">
      <c r="A250" s="62"/>
      <c r="B250" s="62"/>
      <c r="C250" s="64"/>
      <c r="D250" s="62"/>
    </row>
    <row r="251" spans="1:4" x14ac:dyDescent="0.25">
      <c r="A251" s="62"/>
      <c r="B251" s="62"/>
      <c r="C251" s="64"/>
      <c r="D251" s="62"/>
    </row>
    <row r="252" spans="1:4" x14ac:dyDescent="0.25">
      <c r="A252" s="62"/>
      <c r="B252" s="62"/>
      <c r="C252" s="64"/>
      <c r="D252" s="62"/>
    </row>
    <row r="253" spans="1:4" x14ac:dyDescent="0.25">
      <c r="A253" s="62"/>
      <c r="B253" s="62"/>
      <c r="C253" s="64"/>
      <c r="D253" s="62"/>
    </row>
    <row r="254" spans="1:4" x14ac:dyDescent="0.25">
      <c r="A254" s="62"/>
      <c r="B254" s="62"/>
      <c r="C254" s="64"/>
      <c r="D254" s="62"/>
    </row>
    <row r="255" spans="1:4" x14ac:dyDescent="0.25">
      <c r="A255" s="62"/>
      <c r="B255" s="62"/>
      <c r="C255" s="64"/>
      <c r="D255" s="62"/>
    </row>
    <row r="256" spans="1:4" x14ac:dyDescent="0.25">
      <c r="A256" s="62"/>
      <c r="B256" s="62"/>
      <c r="C256" s="64"/>
      <c r="D256" s="62"/>
    </row>
    <row r="257" spans="1:4" x14ac:dyDescent="0.25">
      <c r="A257" s="62"/>
      <c r="B257" s="62"/>
      <c r="C257" s="64"/>
      <c r="D257" s="62"/>
    </row>
    <row r="258" spans="1:4" x14ac:dyDescent="0.25">
      <c r="A258" s="62"/>
      <c r="B258" s="62"/>
      <c r="C258" s="64"/>
      <c r="D258" s="62"/>
    </row>
    <row r="259" spans="1:4" x14ac:dyDescent="0.25">
      <c r="A259" s="62"/>
      <c r="B259" s="62"/>
      <c r="C259" s="64"/>
      <c r="D259" s="62"/>
    </row>
    <row r="260" spans="1:4" x14ac:dyDescent="0.25">
      <c r="A260" s="62"/>
      <c r="B260" s="62"/>
      <c r="C260" s="64"/>
      <c r="D260" s="62"/>
    </row>
    <row r="261" spans="1:4" x14ac:dyDescent="0.25">
      <c r="A261" s="62"/>
      <c r="B261" s="62"/>
      <c r="C261" s="64"/>
      <c r="D261" s="62"/>
    </row>
    <row r="262" spans="1:4" x14ac:dyDescent="0.25">
      <c r="A262" s="62"/>
      <c r="B262" s="62"/>
      <c r="C262" s="64"/>
      <c r="D262" s="62"/>
    </row>
    <row r="263" spans="1:4" x14ac:dyDescent="0.25">
      <c r="A263" s="62"/>
      <c r="B263" s="62"/>
      <c r="C263" s="64"/>
      <c r="D263" s="62"/>
    </row>
    <row r="264" spans="1:4" x14ac:dyDescent="0.25">
      <c r="A264" s="62"/>
      <c r="B264" s="62"/>
      <c r="C264" s="64"/>
      <c r="D264" s="62"/>
    </row>
    <row r="265" spans="1:4" x14ac:dyDescent="0.25">
      <c r="A265" s="62"/>
      <c r="B265" s="62"/>
      <c r="C265" s="64"/>
      <c r="D265" s="62"/>
    </row>
    <row r="266" spans="1:4" x14ac:dyDescent="0.25">
      <c r="A266" s="62"/>
      <c r="B266" s="62"/>
      <c r="C266" s="64"/>
      <c r="D266" s="62"/>
    </row>
    <row r="267" spans="1:4" x14ac:dyDescent="0.25">
      <c r="A267" s="62"/>
      <c r="B267" s="62"/>
      <c r="C267" s="64"/>
      <c r="D267" s="62"/>
    </row>
    <row r="268" spans="1:4" x14ac:dyDescent="0.25">
      <c r="A268" s="62"/>
      <c r="B268" s="62"/>
      <c r="C268" s="64"/>
      <c r="D268" s="62"/>
    </row>
    <row r="269" spans="1:4" x14ac:dyDescent="0.25">
      <c r="A269" s="62"/>
      <c r="B269" s="62"/>
      <c r="C269" s="64"/>
      <c r="D269" s="62"/>
    </row>
    <row r="270" spans="1:4" x14ac:dyDescent="0.25">
      <c r="A270" s="62"/>
      <c r="B270" s="62"/>
      <c r="C270" s="64"/>
      <c r="D270" s="62"/>
    </row>
    <row r="271" spans="1:4" x14ac:dyDescent="0.25">
      <c r="A271" s="62"/>
      <c r="B271" s="62"/>
      <c r="C271" s="64"/>
      <c r="D271" s="62"/>
    </row>
    <row r="272" spans="1:4" x14ac:dyDescent="0.25">
      <c r="A272" s="62"/>
      <c r="B272" s="62"/>
      <c r="C272" s="64"/>
      <c r="D272" s="62"/>
    </row>
    <row r="273" spans="1:4" x14ac:dyDescent="0.25">
      <c r="A273" s="62"/>
      <c r="B273" s="62"/>
      <c r="C273" s="64"/>
      <c r="D273" s="62"/>
    </row>
    <row r="274" spans="1:4" x14ac:dyDescent="0.25">
      <c r="A274" s="62"/>
      <c r="B274" s="62"/>
      <c r="C274" s="64"/>
      <c r="D274" s="62"/>
    </row>
    <row r="275" spans="1:4" x14ac:dyDescent="0.25">
      <c r="A275" s="62"/>
      <c r="B275" s="62"/>
      <c r="C275" s="64"/>
      <c r="D275" s="62"/>
    </row>
    <row r="276" spans="1:4" x14ac:dyDescent="0.25">
      <c r="A276" s="62"/>
      <c r="B276" s="62"/>
      <c r="C276" s="64"/>
      <c r="D276" s="62"/>
    </row>
    <row r="277" spans="1:4" x14ac:dyDescent="0.25">
      <c r="A277" s="62"/>
      <c r="B277" s="62"/>
      <c r="C277" s="64"/>
      <c r="D277" s="62"/>
    </row>
    <row r="278" spans="1:4" x14ac:dyDescent="0.25">
      <c r="A278" s="62"/>
      <c r="B278" s="62"/>
      <c r="C278" s="64"/>
      <c r="D278" s="62"/>
    </row>
    <row r="279" spans="1:4" x14ac:dyDescent="0.25">
      <c r="A279" s="62"/>
      <c r="B279" s="62"/>
      <c r="C279" s="64"/>
      <c r="D279" s="62"/>
    </row>
    <row r="280" spans="1:4" x14ac:dyDescent="0.25">
      <c r="A280" s="62"/>
      <c r="B280" s="62"/>
      <c r="C280" s="64"/>
      <c r="D280" s="62"/>
    </row>
    <row r="281" spans="1:4" x14ac:dyDescent="0.25">
      <c r="A281" s="62"/>
      <c r="B281" s="62"/>
      <c r="C281" s="64"/>
      <c r="D281" s="62"/>
    </row>
    <row r="282" spans="1:4" x14ac:dyDescent="0.25">
      <c r="A282" s="62"/>
      <c r="B282" s="62"/>
      <c r="C282" s="64"/>
      <c r="D282" s="62"/>
    </row>
    <row r="283" spans="1:4" x14ac:dyDescent="0.25">
      <c r="A283" s="62"/>
      <c r="B283" s="62"/>
      <c r="C283" s="64"/>
      <c r="D283" s="62"/>
    </row>
    <row r="284" spans="1:4" x14ac:dyDescent="0.25">
      <c r="A284" s="62"/>
      <c r="B284" s="62"/>
      <c r="C284" s="64"/>
      <c r="D284" s="62"/>
    </row>
    <row r="285" spans="1:4" x14ac:dyDescent="0.25">
      <c r="A285" s="62"/>
      <c r="B285" s="62"/>
      <c r="C285" s="64"/>
      <c r="D285" s="62"/>
    </row>
    <row r="286" spans="1:4" x14ac:dyDescent="0.25">
      <c r="A286" s="62"/>
      <c r="B286" s="62"/>
      <c r="C286" s="64"/>
      <c r="D286" s="62"/>
    </row>
    <row r="287" spans="1:4" x14ac:dyDescent="0.25">
      <c r="A287" s="62"/>
      <c r="B287" s="62"/>
      <c r="C287" s="64"/>
      <c r="D287" s="62"/>
    </row>
    <row r="288" spans="1:4" x14ac:dyDescent="0.25">
      <c r="A288" s="62"/>
      <c r="B288" s="62"/>
      <c r="C288" s="64"/>
      <c r="D288" s="62"/>
    </row>
    <row r="289" spans="1:4" x14ac:dyDescent="0.25">
      <c r="A289" s="62"/>
      <c r="B289" s="62"/>
      <c r="C289" s="64"/>
      <c r="D289" s="62"/>
    </row>
    <row r="290" spans="1:4" x14ac:dyDescent="0.25">
      <c r="A290" s="62"/>
      <c r="B290" s="62"/>
      <c r="C290" s="64"/>
      <c r="D290" s="62"/>
    </row>
    <row r="291" spans="1:4" x14ac:dyDescent="0.25">
      <c r="A291" s="62"/>
      <c r="B291" s="62"/>
      <c r="C291" s="64"/>
      <c r="D291" s="62"/>
    </row>
    <row r="292" spans="1:4" x14ac:dyDescent="0.25">
      <c r="A292" s="62"/>
      <c r="B292" s="62"/>
      <c r="C292" s="64"/>
      <c r="D292" s="62"/>
    </row>
    <row r="293" spans="1:4" x14ac:dyDescent="0.25">
      <c r="A293" s="62"/>
      <c r="B293" s="62"/>
      <c r="C293" s="64"/>
      <c r="D293" s="62"/>
    </row>
    <row r="294" spans="1:4" x14ac:dyDescent="0.25">
      <c r="A294" s="62"/>
      <c r="B294" s="62"/>
      <c r="C294" s="64"/>
      <c r="D294" s="62"/>
    </row>
    <row r="295" spans="1:4" x14ac:dyDescent="0.25">
      <c r="A295" s="62"/>
      <c r="B295" s="62"/>
      <c r="C295" s="64"/>
      <c r="D295" s="62"/>
    </row>
    <row r="296" spans="1:4" x14ac:dyDescent="0.25">
      <c r="A296" s="62"/>
      <c r="B296" s="62"/>
      <c r="C296" s="64"/>
      <c r="D296" s="62"/>
    </row>
    <row r="297" spans="1:4" x14ac:dyDescent="0.25">
      <c r="A297" s="62"/>
      <c r="B297" s="62"/>
      <c r="C297" s="64"/>
      <c r="D297" s="62"/>
    </row>
    <row r="298" spans="1:4" x14ac:dyDescent="0.25">
      <c r="A298" s="62"/>
      <c r="B298" s="62"/>
      <c r="C298" s="64"/>
      <c r="D298" s="62"/>
    </row>
    <row r="299" spans="1:4" x14ac:dyDescent="0.25">
      <c r="A299" s="62"/>
      <c r="B299" s="62"/>
      <c r="C299" s="64"/>
      <c r="D299" s="62"/>
    </row>
    <row r="300" spans="1:4" x14ac:dyDescent="0.25">
      <c r="A300" s="62"/>
      <c r="B300" s="62"/>
      <c r="C300" s="64"/>
      <c r="D300" s="62"/>
    </row>
    <row r="301" spans="1:4" x14ac:dyDescent="0.25">
      <c r="A301" s="62"/>
      <c r="B301" s="62"/>
      <c r="C301" s="64"/>
      <c r="D301" s="62"/>
    </row>
    <row r="302" spans="1:4" x14ac:dyDescent="0.25">
      <c r="A302" s="62"/>
      <c r="B302" s="62"/>
      <c r="C302" s="64"/>
      <c r="D302" s="62"/>
    </row>
    <row r="303" spans="1:4" x14ac:dyDescent="0.25">
      <c r="A303" s="62"/>
      <c r="B303" s="62"/>
      <c r="C303" s="64"/>
      <c r="D303" s="62"/>
    </row>
    <row r="304" spans="1:4" x14ac:dyDescent="0.25">
      <c r="A304" s="62"/>
      <c r="B304" s="62"/>
      <c r="C304" s="64"/>
      <c r="D304" s="62"/>
    </row>
    <row r="305" spans="1:4" x14ac:dyDescent="0.25">
      <c r="A305" s="62"/>
      <c r="B305" s="62"/>
      <c r="C305" s="64"/>
      <c r="D305" s="62"/>
    </row>
    <row r="306" spans="1:4" x14ac:dyDescent="0.25">
      <c r="A306" s="62"/>
      <c r="B306" s="62"/>
      <c r="C306" s="64"/>
      <c r="D306" s="62"/>
    </row>
    <row r="307" spans="1:4" x14ac:dyDescent="0.25">
      <c r="A307" s="62"/>
      <c r="B307" s="62"/>
      <c r="C307" s="64"/>
      <c r="D307" s="62"/>
    </row>
    <row r="308" spans="1:4" x14ac:dyDescent="0.25">
      <c r="A308" s="62"/>
      <c r="B308" s="62"/>
      <c r="C308" s="64"/>
      <c r="D308" s="62"/>
    </row>
    <row r="309" spans="1:4" x14ac:dyDescent="0.25">
      <c r="A309" s="62"/>
      <c r="B309" s="62"/>
      <c r="C309" s="64"/>
      <c r="D309" s="62"/>
    </row>
    <row r="310" spans="1:4" x14ac:dyDescent="0.25">
      <c r="A310" s="62"/>
      <c r="B310" s="62"/>
      <c r="C310" s="64"/>
      <c r="D310" s="62"/>
    </row>
    <row r="311" spans="1:4" x14ac:dyDescent="0.25">
      <c r="A311" s="62"/>
      <c r="B311" s="62"/>
      <c r="C311" s="64"/>
      <c r="D311" s="62"/>
    </row>
    <row r="312" spans="1:4" x14ac:dyDescent="0.25">
      <c r="A312" s="62"/>
      <c r="B312" s="62"/>
      <c r="C312" s="64"/>
      <c r="D312" s="62"/>
    </row>
    <row r="313" spans="1:4" x14ac:dyDescent="0.25">
      <c r="A313" s="62"/>
      <c r="B313" s="62"/>
      <c r="C313" s="64"/>
      <c r="D313" s="62"/>
    </row>
    <row r="314" spans="1:4" x14ac:dyDescent="0.25">
      <c r="A314" s="62"/>
      <c r="B314" s="62"/>
      <c r="C314" s="64"/>
      <c r="D314" s="62"/>
    </row>
    <row r="315" spans="1:4" x14ac:dyDescent="0.25">
      <c r="A315" s="62"/>
      <c r="B315" s="62"/>
      <c r="C315" s="64"/>
      <c r="D315" s="62"/>
    </row>
    <row r="316" spans="1:4" x14ac:dyDescent="0.25">
      <c r="A316" s="62"/>
      <c r="B316" s="62"/>
      <c r="C316" s="64"/>
      <c r="D316" s="62"/>
    </row>
    <row r="317" spans="1:4" x14ac:dyDescent="0.25">
      <c r="A317" s="62"/>
      <c r="B317" s="62"/>
      <c r="C317" s="64"/>
      <c r="D317" s="62"/>
    </row>
    <row r="318" spans="1:4" x14ac:dyDescent="0.25">
      <c r="A318" s="62"/>
      <c r="B318" s="62"/>
      <c r="C318" s="64"/>
      <c r="D318" s="62"/>
    </row>
    <row r="319" spans="1:4" x14ac:dyDescent="0.25">
      <c r="A319" s="62"/>
      <c r="B319" s="62"/>
      <c r="C319" s="64"/>
      <c r="D319" s="62"/>
    </row>
    <row r="320" spans="1:4" x14ac:dyDescent="0.25">
      <c r="A320" s="62"/>
      <c r="B320" s="62"/>
      <c r="C320" s="64"/>
      <c r="D320" s="62"/>
    </row>
    <row r="321" spans="1:4" x14ac:dyDescent="0.25">
      <c r="A321" s="62"/>
      <c r="B321" s="62"/>
      <c r="C321" s="64"/>
      <c r="D321" s="62"/>
    </row>
    <row r="322" spans="1:4" x14ac:dyDescent="0.25">
      <c r="A322" s="62"/>
      <c r="B322" s="62"/>
      <c r="C322" s="64"/>
      <c r="D322" s="62"/>
    </row>
    <row r="323" spans="1:4" x14ac:dyDescent="0.25">
      <c r="A323" s="62"/>
      <c r="B323" s="62"/>
      <c r="C323" s="64"/>
      <c r="D323" s="62"/>
    </row>
    <row r="324" spans="1:4" x14ac:dyDescent="0.25">
      <c r="A324" s="62"/>
      <c r="B324" s="62"/>
      <c r="C324" s="64"/>
      <c r="D324" s="62"/>
    </row>
    <row r="325" spans="1:4" x14ac:dyDescent="0.25">
      <c r="A325" s="62"/>
      <c r="B325" s="62"/>
      <c r="C325" s="64"/>
      <c r="D325" s="62"/>
    </row>
    <row r="326" spans="1:4" x14ac:dyDescent="0.25">
      <c r="A326" s="62"/>
      <c r="B326" s="62"/>
      <c r="C326" s="64"/>
      <c r="D326" s="62"/>
    </row>
    <row r="327" spans="1:4" x14ac:dyDescent="0.25">
      <c r="A327" s="62"/>
      <c r="B327" s="62"/>
      <c r="C327" s="64"/>
      <c r="D327" s="62"/>
    </row>
    <row r="328" spans="1:4" x14ac:dyDescent="0.25">
      <c r="A328" s="62"/>
      <c r="B328" s="62"/>
      <c r="C328" s="64"/>
      <c r="D328" s="62"/>
    </row>
    <row r="329" spans="1:4" x14ac:dyDescent="0.25">
      <c r="A329" s="62"/>
      <c r="B329" s="62"/>
      <c r="C329" s="64"/>
      <c r="D329" s="62"/>
    </row>
    <row r="330" spans="1:4" x14ac:dyDescent="0.25">
      <c r="A330" s="62"/>
      <c r="B330" s="62"/>
      <c r="C330" s="64"/>
      <c r="D330" s="62"/>
    </row>
    <row r="331" spans="1:4" x14ac:dyDescent="0.25">
      <c r="A331" s="62"/>
      <c r="B331" s="62"/>
      <c r="C331" s="64"/>
      <c r="D331" s="62"/>
    </row>
    <row r="332" spans="1:4" x14ac:dyDescent="0.25">
      <c r="A332" s="62"/>
      <c r="B332" s="62"/>
      <c r="C332" s="64"/>
      <c r="D332" s="62"/>
    </row>
    <row r="333" spans="1:4" x14ac:dyDescent="0.25">
      <c r="A333" s="62"/>
      <c r="B333" s="62"/>
      <c r="C333" s="64"/>
      <c r="D333" s="62"/>
    </row>
    <row r="334" spans="1:4" x14ac:dyDescent="0.25">
      <c r="A334" s="62"/>
      <c r="B334" s="62"/>
      <c r="C334" s="64"/>
      <c r="D334" s="62"/>
    </row>
    <row r="335" spans="1:4" x14ac:dyDescent="0.25">
      <c r="A335" s="62"/>
      <c r="B335" s="62"/>
      <c r="C335" s="64"/>
      <c r="D335" s="62"/>
    </row>
    <row r="336" spans="1:4" x14ac:dyDescent="0.25">
      <c r="A336" s="62"/>
      <c r="B336" s="62"/>
      <c r="C336" s="64"/>
      <c r="D336" s="62"/>
    </row>
    <row r="337" spans="1:4" x14ac:dyDescent="0.25">
      <c r="A337" s="62"/>
      <c r="B337" s="62"/>
      <c r="C337" s="64"/>
      <c r="D337" s="62"/>
    </row>
    <row r="338" spans="1:4" x14ac:dyDescent="0.25">
      <c r="A338" s="62"/>
      <c r="B338" s="62"/>
      <c r="C338" s="64"/>
      <c r="D338" s="62"/>
    </row>
    <row r="339" spans="1:4" x14ac:dyDescent="0.25">
      <c r="A339" s="62"/>
      <c r="B339" s="62"/>
      <c r="C339" s="64"/>
      <c r="D339" s="62"/>
    </row>
    <row r="340" spans="1:4" x14ac:dyDescent="0.25">
      <c r="A340" s="62"/>
      <c r="B340" s="62"/>
      <c r="C340" s="64"/>
      <c r="D340" s="62"/>
    </row>
    <row r="341" spans="1:4" x14ac:dyDescent="0.25">
      <c r="A341" s="62"/>
      <c r="B341" s="62"/>
      <c r="C341" s="64"/>
      <c r="D341" s="62"/>
    </row>
    <row r="342" spans="1:4" x14ac:dyDescent="0.25">
      <c r="A342" s="62"/>
      <c r="B342" s="62"/>
      <c r="C342" s="64"/>
      <c r="D342" s="62"/>
    </row>
    <row r="343" spans="1:4" x14ac:dyDescent="0.25">
      <c r="A343" s="62"/>
      <c r="B343" s="62"/>
      <c r="C343" s="64"/>
      <c r="D343" s="62"/>
    </row>
    <row r="344" spans="1:4" x14ac:dyDescent="0.25">
      <c r="A344" s="62"/>
      <c r="B344" s="62"/>
      <c r="C344" s="64"/>
      <c r="D344" s="62"/>
    </row>
    <row r="345" spans="1:4" x14ac:dyDescent="0.25">
      <c r="A345" s="62"/>
      <c r="B345" s="62"/>
      <c r="C345" s="64"/>
      <c r="D345" s="62"/>
    </row>
    <row r="346" spans="1:4" x14ac:dyDescent="0.25">
      <c r="A346" s="62"/>
      <c r="B346" s="62"/>
      <c r="C346" s="64"/>
      <c r="D346" s="62"/>
    </row>
    <row r="347" spans="1:4" x14ac:dyDescent="0.25">
      <c r="A347" s="62"/>
      <c r="B347" s="62"/>
      <c r="C347" s="64"/>
      <c r="D347" s="62"/>
    </row>
    <row r="348" spans="1:4" x14ac:dyDescent="0.25">
      <c r="A348" s="62"/>
      <c r="B348" s="62"/>
      <c r="C348" s="64"/>
      <c r="D348" s="62"/>
    </row>
    <row r="349" spans="1:4" x14ac:dyDescent="0.25">
      <c r="A349" s="62"/>
      <c r="B349" s="62"/>
      <c r="C349" s="64"/>
      <c r="D349" s="62"/>
    </row>
    <row r="350" spans="1:4" x14ac:dyDescent="0.25">
      <c r="A350" s="62"/>
      <c r="B350" s="62"/>
      <c r="C350" s="64"/>
      <c r="D350" s="62"/>
    </row>
    <row r="351" spans="1:4" x14ac:dyDescent="0.25">
      <c r="A351" s="62"/>
      <c r="B351" s="62"/>
      <c r="C351" s="64"/>
      <c r="D351" s="62"/>
    </row>
    <row r="352" spans="1:4" x14ac:dyDescent="0.25">
      <c r="A352" s="62"/>
      <c r="B352" s="62"/>
      <c r="C352" s="64"/>
      <c r="D352" s="62"/>
    </row>
    <row r="353" spans="1:4" x14ac:dyDescent="0.25">
      <c r="A353" s="62"/>
      <c r="B353" s="62"/>
      <c r="C353" s="64"/>
      <c r="D353" s="62"/>
    </row>
    <row r="354" spans="1:4" x14ac:dyDescent="0.25">
      <c r="A354" s="62"/>
      <c r="B354" s="62"/>
      <c r="C354" s="64"/>
      <c r="D354" s="62"/>
    </row>
    <row r="355" spans="1:4" x14ac:dyDescent="0.25">
      <c r="A355" s="62"/>
      <c r="B355" s="62"/>
      <c r="C355" s="64"/>
      <c r="D355" s="62"/>
    </row>
    <row r="356" spans="1:4" x14ac:dyDescent="0.25">
      <c r="A356" s="62"/>
      <c r="B356" s="62"/>
      <c r="C356" s="64"/>
      <c r="D356" s="62"/>
    </row>
    <row r="357" spans="1:4" x14ac:dyDescent="0.25">
      <c r="A357" s="62"/>
      <c r="B357" s="62"/>
      <c r="C357" s="64"/>
      <c r="D357" s="62"/>
    </row>
    <row r="358" spans="1:4" x14ac:dyDescent="0.25">
      <c r="A358" s="62"/>
      <c r="B358" s="62"/>
      <c r="C358" s="64"/>
      <c r="D358" s="62"/>
    </row>
    <row r="359" spans="1:4" x14ac:dyDescent="0.25">
      <c r="A359" s="62"/>
      <c r="B359" s="62"/>
      <c r="C359" s="64"/>
      <c r="D359" s="62"/>
    </row>
    <row r="360" spans="1:4" x14ac:dyDescent="0.25">
      <c r="A360" s="62"/>
      <c r="B360" s="62"/>
      <c r="C360" s="64"/>
      <c r="D360" s="62"/>
    </row>
    <row r="361" spans="1:4" x14ac:dyDescent="0.25">
      <c r="A361" s="62"/>
      <c r="B361" s="62"/>
      <c r="C361" s="64"/>
      <c r="D361" s="62"/>
    </row>
    <row r="362" spans="1:4" x14ac:dyDescent="0.25">
      <c r="A362" s="62"/>
      <c r="B362" s="62"/>
      <c r="C362" s="64"/>
      <c r="D362" s="62"/>
    </row>
    <row r="363" spans="1:4" x14ac:dyDescent="0.25">
      <c r="A363" s="62"/>
      <c r="B363" s="62"/>
      <c r="C363" s="64"/>
      <c r="D363" s="62"/>
    </row>
    <row r="364" spans="1:4" x14ac:dyDescent="0.25">
      <c r="A364" s="62"/>
      <c r="B364" s="62"/>
      <c r="C364" s="64"/>
      <c r="D364" s="62"/>
    </row>
    <row r="365" spans="1:4" x14ac:dyDescent="0.25">
      <c r="A365" s="62"/>
      <c r="B365" s="62"/>
      <c r="C365" s="64"/>
      <c r="D365" s="62"/>
    </row>
    <row r="366" spans="1:4" x14ac:dyDescent="0.25">
      <c r="A366" s="62"/>
      <c r="B366" s="62"/>
      <c r="C366" s="64"/>
      <c r="D366" s="62"/>
    </row>
    <row r="367" spans="1:4" x14ac:dyDescent="0.25">
      <c r="A367" s="62"/>
      <c r="B367" s="62"/>
      <c r="C367" s="64"/>
      <c r="D367" s="62"/>
    </row>
    <row r="368" spans="1:4" x14ac:dyDescent="0.25">
      <c r="A368" s="62"/>
      <c r="B368" s="62"/>
      <c r="C368" s="64"/>
      <c r="D368" s="62"/>
    </row>
    <row r="369" spans="1:4" x14ac:dyDescent="0.25">
      <c r="A369" s="62"/>
      <c r="B369" s="62"/>
      <c r="C369" s="64"/>
      <c r="D369" s="62"/>
    </row>
    <row r="370" spans="1:4" x14ac:dyDescent="0.25">
      <c r="A370" s="62"/>
      <c r="B370" s="62"/>
      <c r="C370" s="64"/>
      <c r="D370" s="62"/>
    </row>
    <row r="371" spans="1:4" x14ac:dyDescent="0.25">
      <c r="A371" s="62"/>
      <c r="B371" s="62"/>
      <c r="C371" s="64"/>
      <c r="D371" s="62"/>
    </row>
    <row r="372" spans="1:4" x14ac:dyDescent="0.25">
      <c r="A372" s="62"/>
      <c r="B372" s="62"/>
      <c r="C372" s="64"/>
      <c r="D372" s="62"/>
    </row>
    <row r="373" spans="1:4" x14ac:dyDescent="0.25">
      <c r="A373" s="62"/>
      <c r="B373" s="62"/>
      <c r="C373" s="64"/>
      <c r="D373" s="62"/>
    </row>
    <row r="374" spans="1:4" x14ac:dyDescent="0.25">
      <c r="A374" s="62"/>
      <c r="B374" s="62"/>
      <c r="C374" s="64"/>
      <c r="D374" s="62"/>
    </row>
    <row r="375" spans="1:4" x14ac:dyDescent="0.25">
      <c r="A375" s="62"/>
      <c r="B375" s="62"/>
      <c r="C375" s="64"/>
      <c r="D375" s="62"/>
    </row>
    <row r="376" spans="1:4" x14ac:dyDescent="0.25">
      <c r="A376" s="62"/>
      <c r="B376" s="62"/>
      <c r="C376" s="64"/>
      <c r="D376" s="62"/>
    </row>
    <row r="377" spans="1:4" x14ac:dyDescent="0.25">
      <c r="A377" s="62"/>
      <c r="B377" s="62"/>
      <c r="C377" s="64"/>
      <c r="D377" s="62"/>
    </row>
    <row r="378" spans="1:4" x14ac:dyDescent="0.25">
      <c r="A378" s="62"/>
      <c r="B378" s="62"/>
      <c r="C378" s="64"/>
      <c r="D378" s="62"/>
    </row>
    <row r="379" spans="1:4" x14ac:dyDescent="0.25">
      <c r="A379" s="62"/>
      <c r="B379" s="62"/>
      <c r="C379" s="64"/>
      <c r="D379" s="62"/>
    </row>
    <row r="380" spans="1:4" x14ac:dyDescent="0.25">
      <c r="A380" s="62"/>
      <c r="B380" s="62"/>
      <c r="C380" s="64"/>
      <c r="D380" s="62"/>
    </row>
    <row r="381" spans="1:4" x14ac:dyDescent="0.25">
      <c r="A381" s="62"/>
      <c r="B381" s="62"/>
      <c r="C381" s="64"/>
      <c r="D381" s="62"/>
    </row>
    <row r="382" spans="1:4" x14ac:dyDescent="0.25">
      <c r="A382" s="62"/>
      <c r="B382" s="62"/>
      <c r="C382" s="64"/>
      <c r="D382" s="62"/>
    </row>
    <row r="383" spans="1:4" x14ac:dyDescent="0.25">
      <c r="A383" s="62"/>
      <c r="B383" s="62"/>
      <c r="C383" s="64"/>
      <c r="D383" s="62"/>
    </row>
    <row r="384" spans="1:4" x14ac:dyDescent="0.25">
      <c r="A384" s="62"/>
      <c r="B384" s="62"/>
      <c r="C384" s="64"/>
      <c r="D384" s="62"/>
    </row>
    <row r="385" spans="1:4" x14ac:dyDescent="0.25">
      <c r="A385" s="62"/>
      <c r="B385" s="62"/>
      <c r="C385" s="64"/>
      <c r="D385" s="62"/>
    </row>
    <row r="386" spans="1:4" x14ac:dyDescent="0.25">
      <c r="A386" s="62"/>
      <c r="B386" s="62"/>
      <c r="C386" s="64"/>
      <c r="D386" s="62"/>
    </row>
    <row r="387" spans="1:4" x14ac:dyDescent="0.25">
      <c r="A387" s="62"/>
      <c r="B387" s="62"/>
      <c r="C387" s="64"/>
      <c r="D387" s="62"/>
    </row>
    <row r="388" spans="1:4" x14ac:dyDescent="0.25">
      <c r="A388" s="62"/>
      <c r="B388" s="62"/>
      <c r="C388" s="64"/>
      <c r="D388" s="62"/>
    </row>
    <row r="389" spans="1:4" x14ac:dyDescent="0.25">
      <c r="A389" s="62"/>
      <c r="B389" s="62"/>
      <c r="C389" s="64"/>
      <c r="D389" s="62"/>
    </row>
    <row r="390" spans="1:4" x14ac:dyDescent="0.25">
      <c r="A390" s="62"/>
      <c r="B390" s="62"/>
      <c r="C390" s="64"/>
      <c r="D390" s="62"/>
    </row>
    <row r="391" spans="1:4" x14ac:dyDescent="0.25">
      <c r="A391" s="62"/>
      <c r="B391" s="62"/>
      <c r="C391" s="64"/>
      <c r="D391" s="62"/>
    </row>
    <row r="392" spans="1:4" x14ac:dyDescent="0.25">
      <c r="A392" s="62"/>
      <c r="B392" s="62"/>
      <c r="C392" s="64"/>
      <c r="D392" s="62"/>
    </row>
    <row r="393" spans="1:4" x14ac:dyDescent="0.25">
      <c r="A393" s="62"/>
      <c r="B393" s="62"/>
      <c r="C393" s="64"/>
      <c r="D393" s="62"/>
    </row>
    <row r="394" spans="1:4" x14ac:dyDescent="0.25">
      <c r="A394" s="62"/>
      <c r="B394" s="62"/>
      <c r="C394" s="64"/>
      <c r="D394" s="62"/>
    </row>
    <row r="395" spans="1:4" x14ac:dyDescent="0.25">
      <c r="A395" s="62"/>
      <c r="B395" s="62"/>
      <c r="C395" s="64"/>
      <c r="D395" s="62"/>
    </row>
    <row r="396" spans="1:4" x14ac:dyDescent="0.25">
      <c r="A396" s="62"/>
      <c r="B396" s="62"/>
      <c r="C396" s="64"/>
      <c r="D396" s="62"/>
    </row>
    <row r="397" spans="1:4" x14ac:dyDescent="0.25">
      <c r="A397" s="62"/>
      <c r="B397" s="62"/>
      <c r="C397" s="64"/>
      <c r="D397" s="62"/>
    </row>
    <row r="398" spans="1:4" x14ac:dyDescent="0.25">
      <c r="A398" s="62"/>
      <c r="B398" s="62"/>
      <c r="C398" s="64"/>
      <c r="D398" s="62"/>
    </row>
    <row r="399" spans="1:4" x14ac:dyDescent="0.25">
      <c r="A399" s="62"/>
      <c r="B399" s="62"/>
      <c r="C399" s="64"/>
      <c r="D399" s="62"/>
    </row>
    <row r="400" spans="1:4" x14ac:dyDescent="0.25">
      <c r="A400" s="62"/>
      <c r="B400" s="62"/>
      <c r="C400" s="64"/>
      <c r="D400" s="62"/>
    </row>
    <row r="401" spans="1:4" x14ac:dyDescent="0.25">
      <c r="A401" s="62"/>
      <c r="B401" s="62"/>
      <c r="C401" s="64"/>
      <c r="D401" s="62"/>
    </row>
    <row r="402" spans="1:4" x14ac:dyDescent="0.25">
      <c r="A402" s="62"/>
      <c r="B402" s="62"/>
      <c r="C402" s="64"/>
      <c r="D402" s="62"/>
    </row>
    <row r="403" spans="1:4" x14ac:dyDescent="0.25">
      <c r="A403" s="62"/>
      <c r="B403" s="62"/>
      <c r="C403" s="64"/>
      <c r="D403" s="62"/>
    </row>
    <row r="404" spans="1:4" x14ac:dyDescent="0.25">
      <c r="A404" s="62"/>
      <c r="B404" s="62"/>
      <c r="C404" s="64"/>
      <c r="D404" s="62"/>
    </row>
    <row r="405" spans="1:4" x14ac:dyDescent="0.25">
      <c r="A405" s="62"/>
      <c r="B405" s="62"/>
      <c r="C405" s="64"/>
      <c r="D405" s="62"/>
    </row>
    <row r="406" spans="1:4" x14ac:dyDescent="0.25">
      <c r="A406" s="62"/>
      <c r="B406" s="62"/>
      <c r="C406" s="64"/>
      <c r="D406" s="62"/>
    </row>
    <row r="407" spans="1:4" x14ac:dyDescent="0.25">
      <c r="A407" s="62"/>
      <c r="B407" s="62"/>
      <c r="C407" s="64"/>
      <c r="D407" s="62"/>
    </row>
    <row r="408" spans="1:4" x14ac:dyDescent="0.25">
      <c r="A408" s="62"/>
      <c r="B408" s="62"/>
      <c r="C408" s="64"/>
      <c r="D408" s="62"/>
    </row>
    <row r="409" spans="1:4" x14ac:dyDescent="0.25">
      <c r="A409" s="62"/>
      <c r="B409" s="62"/>
      <c r="C409" s="64"/>
      <c r="D409" s="62"/>
    </row>
    <row r="410" spans="1:4" x14ac:dyDescent="0.25">
      <c r="A410" s="62"/>
      <c r="B410" s="62"/>
      <c r="C410" s="64"/>
      <c r="D410" s="62"/>
    </row>
    <row r="411" spans="1:4" x14ac:dyDescent="0.25">
      <c r="A411" s="62"/>
      <c r="B411" s="62"/>
      <c r="C411" s="64"/>
      <c r="D411" s="62"/>
    </row>
    <row r="412" spans="1:4" x14ac:dyDescent="0.25">
      <c r="A412" s="62"/>
      <c r="B412" s="62"/>
      <c r="C412" s="64"/>
      <c r="D412" s="62"/>
    </row>
    <row r="413" spans="1:4" x14ac:dyDescent="0.25">
      <c r="A413" s="62"/>
      <c r="B413" s="62"/>
      <c r="C413" s="64"/>
      <c r="D413" s="62"/>
    </row>
    <row r="414" spans="1:4" x14ac:dyDescent="0.25">
      <c r="A414" s="62"/>
      <c r="B414" s="62"/>
      <c r="C414" s="64"/>
      <c r="D414" s="62"/>
    </row>
    <row r="415" spans="1:4" x14ac:dyDescent="0.25">
      <c r="A415" s="62"/>
      <c r="B415" s="62"/>
      <c r="C415" s="64"/>
      <c r="D415" s="62"/>
    </row>
    <row r="416" spans="1:4" x14ac:dyDescent="0.25">
      <c r="A416" s="62"/>
      <c r="B416" s="62"/>
      <c r="C416" s="64"/>
      <c r="D416" s="62"/>
    </row>
    <row r="417" spans="1:4" x14ac:dyDescent="0.25">
      <c r="A417" s="62"/>
      <c r="B417" s="62"/>
      <c r="C417" s="64"/>
      <c r="D417" s="62"/>
    </row>
    <row r="418" spans="1:4" x14ac:dyDescent="0.25">
      <c r="A418" s="62"/>
      <c r="B418" s="62"/>
      <c r="C418" s="64"/>
      <c r="D418" s="62"/>
    </row>
    <row r="419" spans="1:4" x14ac:dyDescent="0.25">
      <c r="A419" s="62"/>
      <c r="B419" s="62"/>
      <c r="C419" s="64"/>
      <c r="D419" s="62"/>
    </row>
    <row r="420" spans="1:4" x14ac:dyDescent="0.25">
      <c r="A420" s="62"/>
      <c r="B420" s="62"/>
      <c r="C420" s="64"/>
      <c r="D420" s="62"/>
    </row>
    <row r="421" spans="1:4" x14ac:dyDescent="0.25">
      <c r="A421" s="62"/>
      <c r="B421" s="62"/>
      <c r="C421" s="64"/>
      <c r="D421" s="62"/>
    </row>
    <row r="422" spans="1:4" x14ac:dyDescent="0.25">
      <c r="A422" s="62"/>
      <c r="B422" s="62"/>
      <c r="C422" s="64"/>
      <c r="D422" s="62"/>
    </row>
    <row r="423" spans="1:4" x14ac:dyDescent="0.25">
      <c r="A423" s="62"/>
      <c r="B423" s="62"/>
      <c r="C423" s="64"/>
      <c r="D423" s="62"/>
    </row>
    <row r="424" spans="1:4" x14ac:dyDescent="0.25">
      <c r="A424" s="62"/>
      <c r="B424" s="62"/>
      <c r="C424" s="64"/>
      <c r="D424" s="62"/>
    </row>
    <row r="425" spans="1:4" x14ac:dyDescent="0.25">
      <c r="A425" s="62"/>
      <c r="B425" s="62"/>
      <c r="C425" s="64"/>
      <c r="D425" s="62"/>
    </row>
    <row r="426" spans="1:4" x14ac:dyDescent="0.25">
      <c r="A426" s="62"/>
      <c r="B426" s="62"/>
      <c r="C426" s="64"/>
      <c r="D426" s="62"/>
    </row>
    <row r="427" spans="1:4" x14ac:dyDescent="0.25">
      <c r="A427" s="62"/>
      <c r="B427" s="62"/>
      <c r="C427" s="64"/>
      <c r="D427" s="62"/>
    </row>
    <row r="428" spans="1:4" x14ac:dyDescent="0.25">
      <c r="A428" s="62"/>
      <c r="B428" s="62"/>
      <c r="C428" s="64"/>
      <c r="D428" s="62"/>
    </row>
    <row r="429" spans="1:4" x14ac:dyDescent="0.25">
      <c r="A429" s="62"/>
      <c r="B429" s="62"/>
      <c r="C429" s="64"/>
      <c r="D429" s="62"/>
    </row>
    <row r="430" spans="1:4" x14ac:dyDescent="0.25">
      <c r="A430" s="62"/>
      <c r="B430" s="62"/>
      <c r="C430" s="64"/>
      <c r="D430" s="62"/>
    </row>
    <row r="431" spans="1:4" x14ac:dyDescent="0.25">
      <c r="A431" s="62"/>
      <c r="B431" s="62"/>
      <c r="C431" s="64"/>
      <c r="D431" s="62"/>
    </row>
    <row r="432" spans="1:4" x14ac:dyDescent="0.25">
      <c r="A432" s="62"/>
      <c r="B432" s="62"/>
      <c r="C432" s="64"/>
      <c r="D432" s="62"/>
    </row>
    <row r="433" spans="1:4" x14ac:dyDescent="0.25">
      <c r="A433" s="62"/>
      <c r="B433" s="62"/>
      <c r="C433" s="64"/>
      <c r="D433" s="62"/>
    </row>
    <row r="434" spans="1:4" x14ac:dyDescent="0.25">
      <c r="A434" s="62"/>
      <c r="B434" s="62"/>
      <c r="C434" s="64"/>
      <c r="D434" s="62"/>
    </row>
    <row r="435" spans="1:4" x14ac:dyDescent="0.25">
      <c r="A435" s="62"/>
      <c r="B435" s="62"/>
      <c r="C435" s="64"/>
      <c r="D435" s="62"/>
    </row>
    <row r="436" spans="1:4" x14ac:dyDescent="0.25">
      <c r="A436" s="62"/>
      <c r="B436" s="62"/>
      <c r="C436" s="64"/>
      <c r="D436" s="62"/>
    </row>
    <row r="437" spans="1:4" x14ac:dyDescent="0.25">
      <c r="A437" s="62"/>
      <c r="B437" s="62"/>
      <c r="C437" s="64"/>
      <c r="D437" s="62"/>
    </row>
    <row r="438" spans="1:4" x14ac:dyDescent="0.25">
      <c r="A438" s="62"/>
      <c r="B438" s="62"/>
      <c r="C438" s="64"/>
      <c r="D438" s="62"/>
    </row>
    <row r="439" spans="1:4" x14ac:dyDescent="0.25">
      <c r="A439" s="62"/>
      <c r="B439" s="62"/>
      <c r="C439" s="64"/>
      <c r="D439" s="62"/>
    </row>
    <row r="440" spans="1:4" x14ac:dyDescent="0.25">
      <c r="A440" s="62"/>
      <c r="B440" s="62"/>
      <c r="C440" s="64"/>
      <c r="D440" s="62"/>
    </row>
    <row r="441" spans="1:4" x14ac:dyDescent="0.25">
      <c r="A441" s="62"/>
      <c r="B441" s="62"/>
      <c r="C441" s="64"/>
      <c r="D441" s="62"/>
    </row>
    <row r="442" spans="1:4" x14ac:dyDescent="0.25">
      <c r="A442" s="62"/>
      <c r="B442" s="62"/>
      <c r="C442" s="64"/>
      <c r="D442" s="62"/>
    </row>
    <row r="443" spans="1:4" x14ac:dyDescent="0.25">
      <c r="A443" s="62"/>
      <c r="B443" s="62"/>
      <c r="C443" s="64"/>
      <c r="D443" s="62"/>
    </row>
    <row r="444" spans="1:4" x14ac:dyDescent="0.25">
      <c r="A444" s="62"/>
      <c r="B444" s="62"/>
      <c r="C444" s="64"/>
      <c r="D444" s="62"/>
    </row>
    <row r="445" spans="1:4" x14ac:dyDescent="0.25">
      <c r="A445" s="62"/>
      <c r="B445" s="62"/>
      <c r="C445" s="64"/>
      <c r="D445" s="62"/>
    </row>
    <row r="446" spans="1:4" x14ac:dyDescent="0.25">
      <c r="A446" s="62"/>
      <c r="B446" s="62"/>
      <c r="C446" s="64"/>
      <c r="D446" s="62"/>
    </row>
    <row r="447" spans="1:4" x14ac:dyDescent="0.25">
      <c r="A447" s="62"/>
      <c r="B447" s="62"/>
      <c r="C447" s="64"/>
      <c r="D447" s="62"/>
    </row>
    <row r="448" spans="1:4" x14ac:dyDescent="0.25">
      <c r="A448" s="62"/>
      <c r="B448" s="62"/>
      <c r="C448" s="64"/>
      <c r="D448" s="62"/>
    </row>
    <row r="449" spans="1:4" x14ac:dyDescent="0.25">
      <c r="A449" s="62"/>
      <c r="B449" s="62"/>
      <c r="C449" s="64"/>
      <c r="D449" s="62"/>
    </row>
    <row r="450" spans="1:4" x14ac:dyDescent="0.25">
      <c r="A450" s="62"/>
      <c r="B450" s="62"/>
      <c r="C450" s="64"/>
      <c r="D450" s="62"/>
    </row>
    <row r="451" spans="1:4" x14ac:dyDescent="0.25">
      <c r="A451" s="62"/>
      <c r="B451" s="62"/>
      <c r="C451" s="64"/>
      <c r="D451" s="62"/>
    </row>
    <row r="452" spans="1:4" x14ac:dyDescent="0.25">
      <c r="A452" s="62"/>
      <c r="B452" s="62"/>
      <c r="C452" s="64"/>
      <c r="D452" s="62"/>
    </row>
    <row r="453" spans="1:4" x14ac:dyDescent="0.25">
      <c r="A453" s="62"/>
      <c r="B453" s="62"/>
      <c r="C453" s="64"/>
      <c r="D453" s="62"/>
    </row>
    <row r="454" spans="1:4" x14ac:dyDescent="0.25">
      <c r="A454" s="62"/>
      <c r="B454" s="62"/>
      <c r="C454" s="64"/>
      <c r="D454" s="62"/>
    </row>
    <row r="455" spans="1:4" x14ac:dyDescent="0.25">
      <c r="A455" s="62"/>
      <c r="B455" s="62"/>
      <c r="C455" s="64"/>
      <c r="D455" s="62"/>
    </row>
    <row r="456" spans="1:4" x14ac:dyDescent="0.25">
      <c r="A456" s="62"/>
      <c r="B456" s="62"/>
      <c r="C456" s="64"/>
      <c r="D456" s="62"/>
    </row>
    <row r="457" spans="1:4" x14ac:dyDescent="0.25">
      <c r="A457" s="62"/>
      <c r="B457" s="62"/>
      <c r="C457" s="64"/>
      <c r="D457" s="62"/>
    </row>
    <row r="458" spans="1:4" x14ac:dyDescent="0.25">
      <c r="A458" s="62"/>
      <c r="B458" s="62"/>
      <c r="C458" s="64"/>
      <c r="D458" s="62"/>
    </row>
    <row r="459" spans="1:4" x14ac:dyDescent="0.25">
      <c r="A459" s="62"/>
      <c r="B459" s="62"/>
      <c r="C459" s="64"/>
      <c r="D459" s="62"/>
    </row>
    <row r="460" spans="1:4" x14ac:dyDescent="0.25">
      <c r="A460" s="62"/>
      <c r="B460" s="62"/>
      <c r="C460" s="64"/>
      <c r="D460" s="62"/>
    </row>
    <row r="461" spans="1:4" x14ac:dyDescent="0.25">
      <c r="A461" s="62"/>
      <c r="B461" s="62"/>
      <c r="C461" s="64"/>
      <c r="D461" s="62"/>
    </row>
    <row r="462" spans="1:4" x14ac:dyDescent="0.25">
      <c r="A462" s="62"/>
      <c r="B462" s="62"/>
      <c r="C462" s="64"/>
      <c r="D462" s="62"/>
    </row>
    <row r="463" spans="1:4" x14ac:dyDescent="0.25">
      <c r="A463" s="62"/>
      <c r="B463" s="62"/>
      <c r="C463" s="64"/>
      <c r="D463" s="62"/>
    </row>
    <row r="464" spans="1:4" x14ac:dyDescent="0.25">
      <c r="A464" s="62"/>
      <c r="B464" s="62"/>
      <c r="C464" s="64"/>
      <c r="D464" s="62"/>
    </row>
    <row r="465" spans="1:4" x14ac:dyDescent="0.25">
      <c r="A465" s="62"/>
      <c r="B465" s="62"/>
      <c r="C465" s="64"/>
      <c r="D465" s="62"/>
    </row>
    <row r="466" spans="1:4" x14ac:dyDescent="0.25">
      <c r="A466" s="62"/>
      <c r="B466" s="62"/>
      <c r="C466" s="64"/>
      <c r="D466" s="62"/>
    </row>
    <row r="467" spans="1:4" x14ac:dyDescent="0.25">
      <c r="A467" s="62"/>
      <c r="B467" s="62"/>
      <c r="C467" s="64"/>
      <c r="D467" s="62"/>
    </row>
    <row r="468" spans="1:4" x14ac:dyDescent="0.25">
      <c r="A468" s="62"/>
      <c r="B468" s="62"/>
      <c r="C468" s="64"/>
      <c r="D468" s="62"/>
    </row>
    <row r="469" spans="1:4" x14ac:dyDescent="0.25">
      <c r="A469" s="62"/>
      <c r="B469" s="62"/>
      <c r="C469" s="64"/>
      <c r="D469" s="62"/>
    </row>
    <row r="470" spans="1:4" x14ac:dyDescent="0.25">
      <c r="A470" s="62"/>
      <c r="B470" s="62"/>
      <c r="C470" s="64"/>
      <c r="D470" s="62"/>
    </row>
    <row r="471" spans="1:4" x14ac:dyDescent="0.25">
      <c r="A471" s="62"/>
      <c r="B471" s="62"/>
      <c r="C471" s="64"/>
      <c r="D471" s="62"/>
    </row>
    <row r="472" spans="1:4" x14ac:dyDescent="0.25">
      <c r="A472" s="62"/>
      <c r="B472" s="62"/>
      <c r="C472" s="64"/>
      <c r="D472" s="62"/>
    </row>
    <row r="473" spans="1:4" x14ac:dyDescent="0.25">
      <c r="A473" s="62"/>
      <c r="B473" s="62"/>
      <c r="C473" s="64"/>
      <c r="D473" s="62"/>
    </row>
    <row r="474" spans="1:4" x14ac:dyDescent="0.25">
      <c r="A474" s="62"/>
      <c r="B474" s="62"/>
      <c r="C474" s="64"/>
      <c r="D474" s="62"/>
    </row>
    <row r="475" spans="1:4" x14ac:dyDescent="0.25">
      <c r="A475" s="62"/>
      <c r="B475" s="62"/>
      <c r="C475" s="64"/>
      <c r="D475" s="62"/>
    </row>
    <row r="476" spans="1:4" x14ac:dyDescent="0.25">
      <c r="A476" s="62"/>
      <c r="B476" s="62"/>
      <c r="C476" s="64"/>
      <c r="D476" s="62"/>
    </row>
    <row r="477" spans="1:4" x14ac:dyDescent="0.25">
      <c r="A477" s="62"/>
      <c r="B477" s="62"/>
      <c r="C477" s="64"/>
      <c r="D477" s="62"/>
    </row>
    <row r="478" spans="1:4" x14ac:dyDescent="0.25">
      <c r="A478" s="62"/>
      <c r="B478" s="62"/>
      <c r="C478" s="64"/>
      <c r="D478" s="62"/>
    </row>
    <row r="479" spans="1:4" x14ac:dyDescent="0.25">
      <c r="A479" s="62"/>
      <c r="B479" s="62"/>
      <c r="C479" s="64"/>
      <c r="D479" s="62"/>
    </row>
    <row r="480" spans="1:4" x14ac:dyDescent="0.25">
      <c r="A480" s="62"/>
      <c r="B480" s="62"/>
      <c r="C480" s="64"/>
      <c r="D480" s="62"/>
    </row>
    <row r="481" spans="1:4" x14ac:dyDescent="0.25">
      <c r="A481" s="62"/>
      <c r="B481" s="62"/>
      <c r="C481" s="64"/>
      <c r="D481" s="62"/>
    </row>
    <row r="482" spans="1:4" x14ac:dyDescent="0.25">
      <c r="A482" s="62"/>
      <c r="B482" s="62"/>
      <c r="C482" s="64"/>
      <c r="D482" s="62"/>
    </row>
    <row r="483" spans="1:4" x14ac:dyDescent="0.25">
      <c r="A483" s="62"/>
      <c r="B483" s="62"/>
      <c r="C483" s="64"/>
      <c r="D483" s="62"/>
    </row>
    <row r="484" spans="1:4" x14ac:dyDescent="0.25">
      <c r="A484" s="62"/>
      <c r="B484" s="62"/>
      <c r="C484" s="64"/>
      <c r="D484" s="62"/>
    </row>
    <row r="485" spans="1:4" x14ac:dyDescent="0.25">
      <c r="A485" s="62"/>
      <c r="B485" s="62"/>
      <c r="C485" s="64"/>
      <c r="D485" s="62"/>
    </row>
    <row r="486" spans="1:4" x14ac:dyDescent="0.25">
      <c r="A486" s="62"/>
      <c r="B486" s="62"/>
      <c r="C486" s="64"/>
      <c r="D486" s="62"/>
    </row>
    <row r="487" spans="1:4" x14ac:dyDescent="0.25">
      <c r="A487" s="62"/>
      <c r="B487" s="62"/>
      <c r="C487" s="64"/>
      <c r="D487" s="62"/>
    </row>
    <row r="488" spans="1:4" x14ac:dyDescent="0.25">
      <c r="A488" s="62"/>
      <c r="B488" s="62"/>
      <c r="C488" s="64"/>
      <c r="D488" s="62"/>
    </row>
    <row r="489" spans="1:4" x14ac:dyDescent="0.25">
      <c r="A489" s="62"/>
      <c r="B489" s="62"/>
      <c r="C489" s="64"/>
      <c r="D489" s="62"/>
    </row>
    <row r="490" spans="1:4" x14ac:dyDescent="0.25">
      <c r="A490" s="62"/>
      <c r="B490" s="62"/>
      <c r="C490" s="64"/>
      <c r="D490" s="62"/>
    </row>
    <row r="491" spans="1:4" x14ac:dyDescent="0.25">
      <c r="A491" s="62"/>
      <c r="B491" s="62"/>
      <c r="C491" s="64"/>
      <c r="D491" s="62"/>
    </row>
    <row r="492" spans="1:4" x14ac:dyDescent="0.25">
      <c r="A492" s="62"/>
      <c r="B492" s="62"/>
      <c r="C492" s="64"/>
      <c r="D492" s="62"/>
    </row>
    <row r="493" spans="1:4" x14ac:dyDescent="0.25">
      <c r="A493" s="62"/>
      <c r="B493" s="62"/>
      <c r="C493" s="64"/>
      <c r="D493" s="62"/>
    </row>
    <row r="494" spans="1:4" x14ac:dyDescent="0.25">
      <c r="A494" s="62"/>
      <c r="B494" s="62"/>
      <c r="C494" s="64"/>
      <c r="D494" s="62"/>
    </row>
    <row r="495" spans="1:4" x14ac:dyDescent="0.25">
      <c r="A495" s="62"/>
      <c r="B495" s="62"/>
      <c r="C495" s="64"/>
      <c r="D495" s="62"/>
    </row>
    <row r="496" spans="1:4" x14ac:dyDescent="0.25">
      <c r="A496" s="62"/>
      <c r="B496" s="62"/>
      <c r="C496" s="64"/>
      <c r="D496" s="62"/>
    </row>
    <row r="497" spans="1:4" x14ac:dyDescent="0.25">
      <c r="A497" s="62"/>
      <c r="B497" s="62"/>
      <c r="C497" s="64"/>
      <c r="D497" s="62"/>
    </row>
    <row r="498" spans="1:4" x14ac:dyDescent="0.25">
      <c r="A498" s="62"/>
      <c r="B498" s="62"/>
      <c r="C498" s="64"/>
      <c r="D498" s="62"/>
    </row>
    <row r="499" spans="1:4" x14ac:dyDescent="0.25">
      <c r="A499" s="62"/>
      <c r="B499" s="62"/>
      <c r="C499" s="64"/>
      <c r="D499" s="62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Екатерина Степушина</cp:lastModifiedBy>
  <dcterms:created xsi:type="dcterms:W3CDTF">2026-07-17T13:56:30Z</dcterms:created>
  <dcterms:modified xsi:type="dcterms:W3CDTF">2026-07-17T14:15:34Z</dcterms:modified>
</cp:coreProperties>
</file>