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T:\dev\football_stats\"/>
    </mc:Choice>
  </mc:AlternateContent>
  <xr:revisionPtr revIDLastSave="0" documentId="13_ncr:1_{E4B483B4-BC96-41E7-BDC7-C8238DE1D1C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618" i="2" l="1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F195" i="1" s="1"/>
  <c r="G1633" i="2"/>
  <c r="E195" i="1" s="1"/>
  <c r="H1632" i="2"/>
  <c r="G1632" i="2"/>
  <c r="H1631" i="2"/>
  <c r="F194" i="1" s="1"/>
  <c r="G1631" i="2"/>
  <c r="E194" i="1" s="1"/>
  <c r="H1630" i="2"/>
  <c r="F193" i="1" s="1"/>
  <c r="G1630" i="2"/>
  <c r="E193" i="1" s="1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F185" i="1" s="1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L160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F98" i="1" s="1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H224" i="3" l="1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<sst xmlns="http://schemas.openxmlformats.org/spreadsheetml/2006/main" count="2586" uniqueCount="318">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</sst>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5" headerRowDxfId="25" totalsRowDxfId="22" headerRowBorderDxfId="24" tableBorderDxfId="23">
  <autoFilter ref="A1:G195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33">
  <autoFilter ref="A1:O163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6">
  <autoFilter ref="A1:I226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9">
  <autoFilter ref="A1:K9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7" totalsRowShown="0" headerRowDxfId="8" dataDxfId="6" headerRowBorderDxfId="7" tableBorderDxfId="5" totalsRowBorderDxfId="4">
  <autoFilter ref="A1:D217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5"/>
  <sheetViews>
    <sheetView topLeftCell="A160" workbookViewId="0">
      <selection activeCell="C195" sqref="C195:G195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78</v>
      </c>
      <c r="D3" s="11">
        <f>SUMIFS(_stats[assists_on_date],_stats[player_id],_players[[#This Row],[player_id]])</f>
        <v>49</v>
      </c>
      <c r="E3" s="11">
        <f>SUMIFS(_stats[wins_on_date],_stats[player_id],_players[[#This Row],[player_id]])</f>
        <v>207</v>
      </c>
      <c r="F3" s="11">
        <f>SUMIFS(_stats[draws_on_date],_stats[player_id],_players[[#This Row],[player_id]])</f>
        <v>50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221</v>
      </c>
      <c r="F6" s="16">
        <f>SUMIFS(_stats[draws_on_date],_stats[player_id],_players[[#This Row],[player_id]])</f>
        <v>61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54</v>
      </c>
      <c r="D8" s="11">
        <f>SUMIFS(_stats[assists_on_date],_stats[player_id],_players[[#This Row],[player_id]])</f>
        <v>29</v>
      </c>
      <c r="E8" s="11">
        <f>SUMIFS(_stats[wins_on_date],_stats[player_id],_players[[#This Row],[player_id]])</f>
        <v>178</v>
      </c>
      <c r="F8" s="11">
        <f>SUMIFS(_stats[draws_on_date],_stats[player_id],_players[[#This Row],[player_id]])</f>
        <v>56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83</v>
      </c>
      <c r="D12" s="16">
        <f>SUMIFS(_stats[assists_on_date],_stats[player_id],_players[[#This Row],[player_id]])</f>
        <v>91</v>
      </c>
      <c r="E12" s="16">
        <f>SUMIFS(_stats[wins_on_date],_stats[player_id],_players[[#This Row],[player_id]])</f>
        <v>169</v>
      </c>
      <c r="F12" s="16">
        <f>SUMIFS(_stats[draws_on_date],_stats[player_id],_players[[#This Row],[player_id]])</f>
        <v>55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187</v>
      </c>
      <c r="F14" s="11">
        <f>SUMIFS(_stats[draws_on_date],_stats[player_id],_players[[#This Row],[player_id]])</f>
        <v>54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75</v>
      </c>
      <c r="F17" s="11">
        <f>SUMIFS(_stats[draws_on_date],_stats[player_id],_players[[#This Row],[player_id]])</f>
        <v>22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152</v>
      </c>
      <c r="F21" s="11">
        <f>SUMIFS(_stats[draws_on_date],_stats[player_id],_players[[#This Row],[player_id]])</f>
        <v>43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57</v>
      </c>
      <c r="F30" s="16">
        <f>SUMIFS(_stats[draws_on_date],_stats[player_id],_players[[#This Row],[player_id]])</f>
        <v>16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24</v>
      </c>
      <c r="E38" s="11">
        <f>SUMIFS(_stats[wins_on_date],_stats[player_id],_players[[#This Row],[player_id]])</f>
        <v>85</v>
      </c>
      <c r="F38" s="11">
        <f>SUMIFS(_stats[draws_on_date],_stats[player_id],_players[[#This Row],[player_id]])</f>
        <v>34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188</v>
      </c>
      <c r="F39" s="11">
        <f>SUMIFS(_stats[draws_on_date],_stats[player_id],_players[[#This Row],[player_id]])</f>
        <v>72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13</v>
      </c>
      <c r="E41" s="11">
        <f>SUMIFS(_stats[wins_on_date],_stats[player_id],_players[[#This Row],[player_id]])</f>
        <v>96</v>
      </c>
      <c r="F41" s="11">
        <f>SUMIFS(_stats[draws_on_date],_stats[player_id],_players[[#This Row],[player_id]])</f>
        <v>33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68</v>
      </c>
      <c r="F43" s="11">
        <f>SUMIFS(_stats[draws_on_date],_stats[player_id],_players[[#This Row],[player_id]])</f>
        <v>28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24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58</v>
      </c>
      <c r="F59" s="16">
        <f>SUMIFS(_stats[draws_on_date],_stats[player_id],_players[[#This Row],[player_id]])</f>
        <v>21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10</v>
      </c>
      <c r="F106" s="16">
        <f>SUMIFS(_stats[draws_on_date],_stats[player_id],_players[[#This Row],[player_id]])</f>
        <v>11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28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12</v>
      </c>
      <c r="F130" s="16">
        <f>SUMIFS(_stats[draws_on_date],_stats[player_id],_players[[#This Row],[player_id]])</f>
        <v>10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28</v>
      </c>
      <c r="F152" s="16">
        <f>SUMIFS(_stats[draws_on_date],_stats[player_id],_players[[#This Row],[player_id]])</f>
        <v>9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0</v>
      </c>
      <c r="F193" s="73">
        <f>SUMIFS(_stats[draws_on_date],_stats[player_id],_players[[#This Row],[player_id]])</f>
        <v>3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0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2</v>
      </c>
      <c r="F195" s="73">
        <f>SUMIFS(_stats[draws_on_date],_stats[player_id],_players[[#This Row],[player_id]])</f>
        <v>2</v>
      </c>
      <c r="G195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33"/>
  <sheetViews>
    <sheetView topLeftCell="A1594" workbookViewId="0">
      <selection activeCell="A1633" sqref="A1633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6"/>
  <sheetViews>
    <sheetView topLeftCell="A190" workbookViewId="0">
      <selection activeCell="D225" sqref="D225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6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9"/>
  <sheetViews>
    <sheetView workbookViewId="0">
      <selection activeCell="F23" sqref="F23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34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13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1" sqref="D221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</hyperlinks>
  <pageMargins left="0.7" right="0.7" top="0.75" bottom="0.75" header="0.3" footer="0.3"/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Екатерина Степушина</cp:lastModifiedBy>
  <dcterms:created xsi:type="dcterms:W3CDTF">2026-07-17T13:56:30Z</dcterms:created>
  <dcterms:modified xsi:type="dcterms:W3CDTF">2026-09-15T06:00:41Z</dcterms:modified>
</cp:coreProperties>
</file>