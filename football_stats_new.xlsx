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v\football_stats\"/>
    </mc:Choice>
  </mc:AlternateContent>
  <xr:revisionPtr revIDLastSave="0" documentId="13_ncr:1_{68941250-D86A-4DBF-B62E-51CE2B619B8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36" i="2" l="1"/>
  <c r="G1436" i="2"/>
  <c r="H1436" i="2"/>
  <c r="L1436" i="2"/>
  <c r="M1436" i="2"/>
  <c r="N1436" i="2"/>
  <c r="O1436" i="2"/>
  <c r="D1435" i="2"/>
  <c r="G1435" i="2"/>
  <c r="H1435" i="2"/>
  <c r="L1435" i="2"/>
  <c r="M1435" i="2"/>
  <c r="N1435" i="2"/>
  <c r="O1435" i="2"/>
  <c r="D1434" i="2"/>
  <c r="G1434" i="2"/>
  <c r="H1434" i="2"/>
  <c r="L1434" i="2"/>
  <c r="M1434" i="2"/>
  <c r="N1434" i="2"/>
  <c r="O1434" i="2"/>
  <c r="D1433" i="2"/>
  <c r="G1433" i="2"/>
  <c r="H1433" i="2"/>
  <c r="L1433" i="2"/>
  <c r="M1433" i="2"/>
  <c r="N1433" i="2"/>
  <c r="O1433" i="2"/>
  <c r="D1432" i="2"/>
  <c r="G1432" i="2"/>
  <c r="H1432" i="2"/>
  <c r="L1432" i="2"/>
  <c r="M1432" i="2"/>
  <c r="N1432" i="2"/>
  <c r="O1432" i="2"/>
  <c r="D1431" i="2"/>
  <c r="G1431" i="2"/>
  <c r="H1431" i="2"/>
  <c r="L1431" i="2"/>
  <c r="M1431" i="2"/>
  <c r="N1431" i="2"/>
  <c r="O1431" i="2"/>
  <c r="D1430" i="2"/>
  <c r="G1430" i="2"/>
  <c r="H1430" i="2"/>
  <c r="L1430" i="2"/>
  <c r="M1430" i="2"/>
  <c r="N1430" i="2"/>
  <c r="O1430" i="2"/>
  <c r="D1429" i="2"/>
  <c r="G1429" i="2"/>
  <c r="H1429" i="2"/>
  <c r="L1429" i="2"/>
  <c r="M1429" i="2"/>
  <c r="N1429" i="2"/>
  <c r="O1429" i="2"/>
  <c r="D1428" i="2"/>
  <c r="G1428" i="2"/>
  <c r="H1428" i="2"/>
  <c r="L1428" i="2"/>
  <c r="M1428" i="2"/>
  <c r="N1428" i="2"/>
  <c r="O1428" i="2"/>
  <c r="D1427" i="2"/>
  <c r="G1427" i="2"/>
  <c r="H1427" i="2"/>
  <c r="L1427" i="2"/>
  <c r="M1427" i="2"/>
  <c r="N1427" i="2"/>
  <c r="O1427" i="2"/>
  <c r="D1426" i="2"/>
  <c r="G1426" i="2"/>
  <c r="H1426" i="2"/>
  <c r="L1426" i="2"/>
  <c r="M1426" i="2"/>
  <c r="N1426" i="2"/>
  <c r="O1426" i="2"/>
  <c r="D1425" i="2"/>
  <c r="G1425" i="2"/>
  <c r="H1425" i="2"/>
  <c r="L1425" i="2"/>
  <c r="M1425" i="2"/>
  <c r="N1425" i="2"/>
  <c r="O1425" i="2"/>
  <c r="D1424" i="2"/>
  <c r="G1424" i="2"/>
  <c r="H1424" i="2"/>
  <c r="L1424" i="2"/>
  <c r="M1424" i="2"/>
  <c r="N1424" i="2"/>
  <c r="O1424" i="2"/>
  <c r="D1423" i="2"/>
  <c r="G1423" i="2"/>
  <c r="H1423" i="2"/>
  <c r="L1423" i="2"/>
  <c r="M1423" i="2"/>
  <c r="N1423" i="2"/>
  <c r="O1423" i="2"/>
  <c r="D1422" i="2"/>
  <c r="G1422" i="2"/>
  <c r="H1422" i="2"/>
  <c r="L1422" i="2"/>
  <c r="M1422" i="2"/>
  <c r="N1422" i="2"/>
  <c r="O1422" i="2"/>
  <c r="D1421" i="2"/>
  <c r="G1421" i="2"/>
  <c r="H1421" i="2"/>
  <c r="L1421" i="2"/>
  <c r="M1421" i="2"/>
  <c r="N1421" i="2"/>
  <c r="O1421" i="2"/>
  <c r="D1420" i="2"/>
  <c r="G1420" i="2"/>
  <c r="H1420" i="2"/>
  <c r="L1420" i="2"/>
  <c r="M1420" i="2"/>
  <c r="N1420" i="2"/>
  <c r="O1420" i="2"/>
  <c r="D1419" i="2"/>
  <c r="G1419" i="2"/>
  <c r="H1419" i="2"/>
  <c r="L1419" i="2"/>
  <c r="M1419" i="2"/>
  <c r="N1419" i="2"/>
  <c r="O1419" i="2"/>
  <c r="D1418" i="2"/>
  <c r="G1418" i="2"/>
  <c r="H1418" i="2"/>
  <c r="L1418" i="2"/>
  <c r="M1418" i="2"/>
  <c r="N1418" i="2"/>
  <c r="O1418" i="2"/>
  <c r="D1417" i="2"/>
  <c r="G1417" i="2"/>
  <c r="H1417" i="2"/>
  <c r="L1417" i="2"/>
  <c r="M1417" i="2"/>
  <c r="N1417" i="2"/>
  <c r="O1417" i="2"/>
  <c r="D1416" i="2"/>
  <c r="G1416" i="2"/>
  <c r="H1416" i="2"/>
  <c r="L1416" i="2"/>
  <c r="M1416" i="2"/>
  <c r="N1416" i="2"/>
  <c r="O1416" i="2"/>
  <c r="D1415" i="2"/>
  <c r="G1415" i="2"/>
  <c r="H1415" i="2"/>
  <c r="L1415" i="2"/>
  <c r="M1415" i="2"/>
  <c r="N1415" i="2"/>
  <c r="O1415" i="2"/>
  <c r="F200" i="3"/>
  <c r="G200" i="3"/>
  <c r="H200" i="3"/>
  <c r="I200" i="3"/>
  <c r="F199" i="3"/>
  <c r="G199" i="3"/>
  <c r="H199" i="3"/>
  <c r="I199" i="3"/>
  <c r="F198" i="3"/>
  <c r="G198" i="3"/>
  <c r="H198" i="3"/>
  <c r="I198" i="3"/>
  <c r="D1414" i="2"/>
  <c r="G1414" i="2"/>
  <c r="H1414" i="2"/>
  <c r="L1414" i="2"/>
  <c r="M1414" i="2"/>
  <c r="N1414" i="2"/>
  <c r="O1414" i="2"/>
  <c r="D1413" i="2"/>
  <c r="G1413" i="2"/>
  <c r="H1413" i="2"/>
  <c r="L1413" i="2"/>
  <c r="M1413" i="2"/>
  <c r="N1413" i="2"/>
  <c r="O1413" i="2"/>
  <c r="D1412" i="2"/>
  <c r="G1412" i="2"/>
  <c r="H1412" i="2"/>
  <c r="L1412" i="2"/>
  <c r="M1412" i="2"/>
  <c r="N1412" i="2"/>
  <c r="O1412" i="2"/>
  <c r="D1411" i="2"/>
  <c r="G1411" i="2"/>
  <c r="H1411" i="2"/>
  <c r="L1411" i="2"/>
  <c r="M1411" i="2"/>
  <c r="N1411" i="2"/>
  <c r="O1411" i="2"/>
  <c r="D1410" i="2"/>
  <c r="G1410" i="2"/>
  <c r="H1410" i="2"/>
  <c r="L1410" i="2"/>
  <c r="M1410" i="2"/>
  <c r="N1410" i="2"/>
  <c r="O1410" i="2"/>
  <c r="D1409" i="2"/>
  <c r="G1409" i="2"/>
  <c r="H1409" i="2"/>
  <c r="L1409" i="2"/>
  <c r="M1409" i="2"/>
  <c r="N1409" i="2"/>
  <c r="O1409" i="2"/>
  <c r="D1408" i="2"/>
  <c r="G1408" i="2"/>
  <c r="H1408" i="2"/>
  <c r="L1408" i="2"/>
  <c r="M1408" i="2"/>
  <c r="N1408" i="2"/>
  <c r="O1408" i="2"/>
  <c r="D1407" i="2"/>
  <c r="G1407" i="2"/>
  <c r="E162" i="1" s="1"/>
  <c r="H1407" i="2"/>
  <c r="F162" i="1" s="1"/>
  <c r="L1407" i="2"/>
  <c r="M1407" i="2"/>
  <c r="N1407" i="2"/>
  <c r="O1407" i="2"/>
  <c r="D1406" i="2"/>
  <c r="G1406" i="2"/>
  <c r="E161" i="1" s="1"/>
  <c r="H1406" i="2"/>
  <c r="F161" i="1" s="1"/>
  <c r="L1406" i="2"/>
  <c r="M1406" i="2"/>
  <c r="N1406" i="2"/>
  <c r="O1406" i="2"/>
  <c r="D1405" i="2"/>
  <c r="G1405" i="2"/>
  <c r="H1405" i="2"/>
  <c r="L1405" i="2"/>
  <c r="M1405" i="2"/>
  <c r="N1405" i="2"/>
  <c r="O1405" i="2"/>
  <c r="D1404" i="2"/>
  <c r="G1404" i="2"/>
  <c r="E159" i="1" s="1"/>
  <c r="H1404" i="2"/>
  <c r="F159" i="1" s="1"/>
  <c r="L1404" i="2"/>
  <c r="M1404" i="2"/>
  <c r="N1404" i="2"/>
  <c r="O1404" i="2"/>
  <c r="D1403" i="2"/>
  <c r="G1403" i="2"/>
  <c r="H1403" i="2"/>
  <c r="L1403" i="2"/>
  <c r="M1403" i="2"/>
  <c r="N1403" i="2"/>
  <c r="O1403" i="2"/>
  <c r="D1402" i="2"/>
  <c r="G1402" i="2"/>
  <c r="H1402" i="2"/>
  <c r="L1402" i="2"/>
  <c r="M1402" i="2"/>
  <c r="N1402" i="2"/>
  <c r="O1402" i="2"/>
  <c r="D1401" i="2"/>
  <c r="G1401" i="2"/>
  <c r="H1401" i="2"/>
  <c r="L1401" i="2"/>
  <c r="M1401" i="2"/>
  <c r="N1401" i="2"/>
  <c r="O1401" i="2"/>
  <c r="D1400" i="2"/>
  <c r="G1400" i="2"/>
  <c r="H1400" i="2"/>
  <c r="L1400" i="2"/>
  <c r="M1400" i="2"/>
  <c r="N1400" i="2"/>
  <c r="O1400" i="2"/>
  <c r="D1399" i="2"/>
  <c r="G1399" i="2"/>
  <c r="H1399" i="2"/>
  <c r="L1399" i="2"/>
  <c r="M1399" i="2"/>
  <c r="N1399" i="2"/>
  <c r="O1399" i="2"/>
  <c r="D1398" i="2"/>
  <c r="G1398" i="2"/>
  <c r="H1398" i="2"/>
  <c r="L1398" i="2"/>
  <c r="M1398" i="2"/>
  <c r="N1398" i="2"/>
  <c r="O1398" i="2"/>
  <c r="D1397" i="2"/>
  <c r="G1397" i="2"/>
  <c r="H1397" i="2"/>
  <c r="L1397" i="2"/>
  <c r="M1397" i="2"/>
  <c r="N1397" i="2"/>
  <c r="O1397" i="2"/>
  <c r="D1396" i="2"/>
  <c r="G1396" i="2"/>
  <c r="H1396" i="2"/>
  <c r="L1396" i="2"/>
  <c r="M1396" i="2"/>
  <c r="N1396" i="2"/>
  <c r="O1396" i="2"/>
  <c r="D1395" i="2"/>
  <c r="G1395" i="2"/>
  <c r="H1395" i="2"/>
  <c r="L1395" i="2"/>
  <c r="M1395" i="2"/>
  <c r="N1395" i="2"/>
  <c r="O1395" i="2"/>
  <c r="D1394" i="2"/>
  <c r="G1394" i="2"/>
  <c r="H1394" i="2"/>
  <c r="L1394" i="2"/>
  <c r="M1394" i="2"/>
  <c r="N1394" i="2"/>
  <c r="O1394" i="2"/>
  <c r="D1393" i="2"/>
  <c r="G1393" i="2"/>
  <c r="H1393" i="2"/>
  <c r="L1393" i="2"/>
  <c r="M1393" i="2"/>
  <c r="N1393" i="2"/>
  <c r="O1393" i="2"/>
  <c r="D1392" i="2"/>
  <c r="G1392" i="2"/>
  <c r="H1392" i="2"/>
  <c r="L1392" i="2"/>
  <c r="M1392" i="2"/>
  <c r="N1392" i="2"/>
  <c r="O1392" i="2"/>
  <c r="D1391" i="2"/>
  <c r="G1391" i="2"/>
  <c r="H1391" i="2"/>
  <c r="L1391" i="2"/>
  <c r="M1391" i="2"/>
  <c r="N1391" i="2"/>
  <c r="O1391" i="2"/>
  <c r="D1390" i="2"/>
  <c r="G1390" i="2"/>
  <c r="H1390" i="2"/>
  <c r="L1390" i="2"/>
  <c r="M1390" i="2"/>
  <c r="N1390" i="2"/>
  <c r="O1390" i="2"/>
  <c r="D1389" i="2"/>
  <c r="G1389" i="2"/>
  <c r="H1389" i="2"/>
  <c r="L1389" i="2"/>
  <c r="M1389" i="2"/>
  <c r="N1389" i="2"/>
  <c r="O1389" i="2"/>
  <c r="D1388" i="2"/>
  <c r="G1388" i="2"/>
  <c r="H1388" i="2"/>
  <c r="L1388" i="2"/>
  <c r="M1388" i="2"/>
  <c r="N1388" i="2"/>
  <c r="O1388" i="2"/>
  <c r="D1387" i="2"/>
  <c r="G1387" i="2"/>
  <c r="H1387" i="2"/>
  <c r="L1387" i="2"/>
  <c r="M1387" i="2"/>
  <c r="N1387" i="2"/>
  <c r="O1387" i="2"/>
  <c r="D1386" i="2"/>
  <c r="G1386" i="2"/>
  <c r="H1386" i="2"/>
  <c r="L1386" i="2"/>
  <c r="M1386" i="2"/>
  <c r="N1386" i="2"/>
  <c r="O1386" i="2"/>
  <c r="D1385" i="2"/>
  <c r="G1385" i="2"/>
  <c r="H1385" i="2"/>
  <c r="L1385" i="2"/>
  <c r="M1385" i="2"/>
  <c r="N1385" i="2"/>
  <c r="O1385" i="2"/>
  <c r="F197" i="3"/>
  <c r="G197" i="3"/>
  <c r="H197" i="3"/>
  <c r="I197" i="3"/>
  <c r="F196" i="3"/>
  <c r="G196" i="3"/>
  <c r="H196" i="3"/>
  <c r="I196" i="3"/>
  <c r="F195" i="3"/>
  <c r="G195" i="3"/>
  <c r="H195" i="3"/>
  <c r="I195" i="3"/>
  <c r="F194" i="3"/>
  <c r="G194" i="3"/>
  <c r="H194" i="3"/>
  <c r="I194" i="3"/>
  <c r="C162" i="1"/>
  <c r="D162" i="1"/>
  <c r="G162" i="1"/>
  <c r="C161" i="1"/>
  <c r="D161" i="1"/>
  <c r="G161" i="1"/>
  <c r="C160" i="1"/>
  <c r="D160" i="1"/>
  <c r="E160" i="1"/>
  <c r="F160" i="1"/>
  <c r="G160" i="1"/>
  <c r="C159" i="1"/>
  <c r="D159" i="1"/>
  <c r="G159" i="1"/>
  <c r="D1384" i="2"/>
  <c r="G1384" i="2"/>
  <c r="H1384" i="2"/>
  <c r="L1384" i="2"/>
  <c r="M1384" i="2"/>
  <c r="N1384" i="2"/>
  <c r="O1384" i="2"/>
  <c r="D1383" i="2"/>
  <c r="G1383" i="2"/>
  <c r="H1383" i="2"/>
  <c r="L1383" i="2"/>
  <c r="M1383" i="2"/>
  <c r="N1383" i="2"/>
  <c r="O1383" i="2"/>
  <c r="D1382" i="2"/>
  <c r="G1382" i="2"/>
  <c r="H1382" i="2"/>
  <c r="L1382" i="2"/>
  <c r="M1382" i="2"/>
  <c r="N1382" i="2"/>
  <c r="O1382" i="2"/>
  <c r="D1381" i="2"/>
  <c r="G1381" i="2"/>
  <c r="H1381" i="2"/>
  <c r="L1381" i="2"/>
  <c r="M1381" i="2"/>
  <c r="N1381" i="2"/>
  <c r="O1381" i="2"/>
  <c r="D1380" i="2"/>
  <c r="G1380" i="2"/>
  <c r="H1380" i="2"/>
  <c r="L1380" i="2"/>
  <c r="M1380" i="2"/>
  <c r="N1380" i="2"/>
  <c r="O1380" i="2"/>
  <c r="D1379" i="2"/>
  <c r="G1379" i="2"/>
  <c r="H1379" i="2"/>
  <c r="L1379" i="2"/>
  <c r="M1379" i="2"/>
  <c r="N1379" i="2"/>
  <c r="O1379" i="2"/>
  <c r="D1378" i="2"/>
  <c r="G1378" i="2"/>
  <c r="H1378" i="2"/>
  <c r="L1378" i="2"/>
  <c r="M1378" i="2"/>
  <c r="N1378" i="2"/>
  <c r="O1378" i="2"/>
  <c r="D1377" i="2"/>
  <c r="G1377" i="2"/>
  <c r="H1377" i="2"/>
  <c r="L1377" i="2"/>
  <c r="M1377" i="2"/>
  <c r="N1377" i="2"/>
  <c r="O1377" i="2"/>
  <c r="D1376" i="2"/>
  <c r="G1376" i="2"/>
  <c r="H1376" i="2"/>
  <c r="L1376" i="2"/>
  <c r="M1376" i="2"/>
  <c r="N1376" i="2"/>
  <c r="O1376" i="2"/>
  <c r="D1375" i="2"/>
  <c r="G1375" i="2"/>
  <c r="H1375" i="2"/>
  <c r="L1375" i="2"/>
  <c r="M1375" i="2"/>
  <c r="N1375" i="2"/>
  <c r="O1375" i="2"/>
  <c r="D1374" i="2"/>
  <c r="G1374" i="2"/>
  <c r="H1374" i="2"/>
  <c r="L1374" i="2"/>
  <c r="M1374" i="2"/>
  <c r="N1374" i="2"/>
  <c r="O1374" i="2"/>
  <c r="D1373" i="2"/>
  <c r="G1373" i="2"/>
  <c r="H1373" i="2"/>
  <c r="L1373" i="2"/>
  <c r="M1373" i="2"/>
  <c r="N1373" i="2"/>
  <c r="O1373" i="2"/>
  <c r="D1372" i="2"/>
  <c r="G1372" i="2"/>
  <c r="H1372" i="2"/>
  <c r="L1372" i="2"/>
  <c r="M1372" i="2"/>
  <c r="N1372" i="2"/>
  <c r="O1372" i="2"/>
  <c r="D1371" i="2"/>
  <c r="G1371" i="2"/>
  <c r="H1371" i="2"/>
  <c r="L1371" i="2"/>
  <c r="M1371" i="2"/>
  <c r="N1371" i="2"/>
  <c r="O1371" i="2"/>
  <c r="D1370" i="2"/>
  <c r="G1370" i="2"/>
  <c r="H1370" i="2"/>
  <c r="L1370" i="2"/>
  <c r="M1370" i="2"/>
  <c r="N1370" i="2"/>
  <c r="O1370" i="2"/>
  <c r="D1369" i="2"/>
  <c r="G1369" i="2"/>
  <c r="H1369" i="2"/>
  <c r="L1369" i="2"/>
  <c r="M1369" i="2"/>
  <c r="N1369" i="2"/>
  <c r="O1369" i="2"/>
  <c r="D1368" i="2"/>
  <c r="G1368" i="2"/>
  <c r="H1368" i="2"/>
  <c r="L1368" i="2"/>
  <c r="M1368" i="2"/>
  <c r="N1368" i="2"/>
  <c r="O1368" i="2"/>
  <c r="D1367" i="2"/>
  <c r="G1367" i="2"/>
  <c r="H1367" i="2"/>
  <c r="L1367" i="2"/>
  <c r="M1367" i="2"/>
  <c r="N1367" i="2"/>
  <c r="O1367" i="2"/>
  <c r="D1366" i="2"/>
  <c r="G1366" i="2"/>
  <c r="E157" i="1" s="1"/>
  <c r="H1366" i="2"/>
  <c r="F157" i="1" s="1"/>
  <c r="L1366" i="2"/>
  <c r="M1366" i="2"/>
  <c r="N1366" i="2"/>
  <c r="O1366" i="2"/>
  <c r="D1365" i="2"/>
  <c r="G1365" i="2"/>
  <c r="E158" i="1" s="1"/>
  <c r="H1365" i="2"/>
  <c r="F158" i="1" s="1"/>
  <c r="L1365" i="2"/>
  <c r="M1365" i="2"/>
  <c r="N1365" i="2"/>
  <c r="O1365" i="2"/>
  <c r="D1364" i="2"/>
  <c r="G1364" i="2"/>
  <c r="E156" i="1" s="1"/>
  <c r="H1364" i="2"/>
  <c r="F156" i="1" s="1"/>
  <c r="L1364" i="2"/>
  <c r="M1364" i="2"/>
  <c r="N1364" i="2"/>
  <c r="O1364" i="2"/>
  <c r="C158" i="1"/>
  <c r="D158" i="1"/>
  <c r="G158" i="1"/>
  <c r="C157" i="1"/>
  <c r="D157" i="1"/>
  <c r="G157" i="1"/>
  <c r="C156" i="1"/>
  <c r="D156" i="1"/>
  <c r="G156" i="1"/>
  <c r="F193" i="3"/>
  <c r="G193" i="3"/>
  <c r="H193" i="3"/>
  <c r="I193" i="3"/>
  <c r="F192" i="3"/>
  <c r="G192" i="3"/>
  <c r="H192" i="3"/>
  <c r="I192" i="3"/>
  <c r="F191" i="3"/>
  <c r="G191" i="3"/>
  <c r="H191" i="3"/>
  <c r="I191" i="3"/>
  <c r="C155" i="1"/>
  <c r="D155" i="1"/>
  <c r="G155" i="1"/>
  <c r="C154" i="1"/>
  <c r="D154" i="1"/>
  <c r="G154" i="1"/>
  <c r="C153" i="1"/>
  <c r="D153" i="1"/>
  <c r="G153" i="1"/>
  <c r="D1363" i="2"/>
  <c r="G1363" i="2"/>
  <c r="E155" i="1" s="1"/>
  <c r="H1363" i="2"/>
  <c r="F155" i="1" s="1"/>
  <c r="L1363" i="2"/>
  <c r="M1363" i="2"/>
  <c r="N1363" i="2"/>
  <c r="O1363" i="2"/>
  <c r="D1362" i="2"/>
  <c r="G1362" i="2"/>
  <c r="H1362" i="2"/>
  <c r="L1362" i="2"/>
  <c r="M1362" i="2"/>
  <c r="N1362" i="2"/>
  <c r="O1362" i="2"/>
  <c r="D1361" i="2"/>
  <c r="G1361" i="2"/>
  <c r="E154" i="1" s="1"/>
  <c r="H1361" i="2"/>
  <c r="F154" i="1" s="1"/>
  <c r="L1361" i="2"/>
  <c r="M1361" i="2"/>
  <c r="N1361" i="2"/>
  <c r="O1361" i="2"/>
  <c r="D1358" i="2"/>
  <c r="C152" i="1"/>
  <c r="D152" i="1"/>
  <c r="G152" i="1"/>
  <c r="C151" i="1"/>
  <c r="D151" i="1"/>
  <c r="G151" i="1"/>
  <c r="C150" i="1"/>
  <c r="D150" i="1"/>
  <c r="G150" i="1"/>
  <c r="D1360" i="2"/>
  <c r="G1360" i="2"/>
  <c r="E153" i="1" s="1"/>
  <c r="H1360" i="2"/>
  <c r="F153" i="1" s="1"/>
  <c r="L1360" i="2"/>
  <c r="M1360" i="2"/>
  <c r="N1360" i="2"/>
  <c r="O1360" i="2"/>
  <c r="D1359" i="2"/>
  <c r="G1359" i="2"/>
  <c r="H1359" i="2"/>
  <c r="L1359" i="2"/>
  <c r="M1359" i="2"/>
  <c r="N1359" i="2"/>
  <c r="O1359" i="2"/>
  <c r="G1358" i="2"/>
  <c r="E152" i="1" s="1"/>
  <c r="H1358" i="2"/>
  <c r="L1358" i="2"/>
  <c r="M1358" i="2"/>
  <c r="N1358" i="2"/>
  <c r="O1358" i="2"/>
  <c r="D1357" i="2"/>
  <c r="G1357" i="2"/>
  <c r="H1357" i="2"/>
  <c r="L1357" i="2"/>
  <c r="M1357" i="2"/>
  <c r="N1357" i="2"/>
  <c r="O1357" i="2"/>
  <c r="D1356" i="2"/>
  <c r="G1356" i="2"/>
  <c r="H1356" i="2"/>
  <c r="L1356" i="2"/>
  <c r="M1356" i="2"/>
  <c r="N1356" i="2"/>
  <c r="O1356" i="2"/>
  <c r="D1355" i="2"/>
  <c r="G1355" i="2"/>
  <c r="E151" i="1" s="1"/>
  <c r="H1355" i="2"/>
  <c r="F151" i="1" s="1"/>
  <c r="L1355" i="2"/>
  <c r="M1355" i="2"/>
  <c r="N1355" i="2"/>
  <c r="O1355" i="2"/>
  <c r="D1354" i="2"/>
  <c r="G1354" i="2"/>
  <c r="H1354" i="2"/>
  <c r="L1354" i="2"/>
  <c r="M1354" i="2"/>
  <c r="N1354" i="2"/>
  <c r="O1354" i="2"/>
  <c r="D1353" i="2"/>
  <c r="G1353" i="2"/>
  <c r="H1353" i="2"/>
  <c r="L1353" i="2"/>
  <c r="M1353" i="2"/>
  <c r="N1353" i="2"/>
  <c r="O1353" i="2"/>
  <c r="D1352" i="2"/>
  <c r="G1352" i="2"/>
  <c r="E150" i="1" s="1"/>
  <c r="H1352" i="2"/>
  <c r="F150" i="1" s="1"/>
  <c r="L1352" i="2"/>
  <c r="M1352" i="2"/>
  <c r="N1352" i="2"/>
  <c r="O1352" i="2"/>
  <c r="D1351" i="2"/>
  <c r="G1351" i="2"/>
  <c r="H1351" i="2"/>
  <c r="L1351" i="2"/>
  <c r="M1351" i="2"/>
  <c r="N1351" i="2"/>
  <c r="O1351" i="2"/>
  <c r="D1350" i="2"/>
  <c r="G1350" i="2"/>
  <c r="H1350" i="2"/>
  <c r="L1350" i="2"/>
  <c r="M1350" i="2"/>
  <c r="N1350" i="2"/>
  <c r="O1350" i="2"/>
  <c r="D1349" i="2"/>
  <c r="G1349" i="2"/>
  <c r="H1349" i="2"/>
  <c r="L1349" i="2"/>
  <c r="M1349" i="2"/>
  <c r="N1349" i="2"/>
  <c r="O1349" i="2"/>
  <c r="D1348" i="2"/>
  <c r="G1348" i="2"/>
  <c r="H1348" i="2"/>
  <c r="L1348" i="2"/>
  <c r="M1348" i="2"/>
  <c r="N1348" i="2"/>
  <c r="O1348" i="2"/>
  <c r="D1347" i="2"/>
  <c r="G1347" i="2"/>
  <c r="H1347" i="2"/>
  <c r="L1347" i="2"/>
  <c r="M1347" i="2"/>
  <c r="N1347" i="2"/>
  <c r="O1347" i="2"/>
  <c r="D1346" i="2"/>
  <c r="G1346" i="2"/>
  <c r="H1346" i="2"/>
  <c r="L1346" i="2"/>
  <c r="M1346" i="2"/>
  <c r="N1346" i="2"/>
  <c r="O1346" i="2"/>
  <c r="D1345" i="2"/>
  <c r="G1345" i="2"/>
  <c r="H1345" i="2"/>
  <c r="L1345" i="2"/>
  <c r="M1345" i="2"/>
  <c r="N1345" i="2"/>
  <c r="O1345" i="2"/>
  <c r="D1344" i="2"/>
  <c r="G1344" i="2"/>
  <c r="H1344" i="2"/>
  <c r="L1344" i="2"/>
  <c r="M1344" i="2"/>
  <c r="N1344" i="2"/>
  <c r="O1344" i="2"/>
  <c r="D1343" i="2"/>
  <c r="G1343" i="2"/>
  <c r="H1343" i="2"/>
  <c r="L1343" i="2"/>
  <c r="M1343" i="2"/>
  <c r="N1343" i="2"/>
  <c r="O1343" i="2"/>
  <c r="D1342" i="2"/>
  <c r="G1342" i="2"/>
  <c r="H1342" i="2"/>
  <c r="L1342" i="2"/>
  <c r="M1342" i="2"/>
  <c r="N1342" i="2"/>
  <c r="O1342" i="2"/>
  <c r="D1341" i="2"/>
  <c r="G1341" i="2"/>
  <c r="H1341" i="2"/>
  <c r="L1341" i="2"/>
  <c r="M1341" i="2"/>
  <c r="N1341" i="2"/>
  <c r="O1341" i="2"/>
  <c r="D1340" i="2"/>
  <c r="G1340" i="2"/>
  <c r="H1340" i="2"/>
  <c r="L1340" i="2"/>
  <c r="M1340" i="2"/>
  <c r="N1340" i="2"/>
  <c r="O1340" i="2"/>
  <c r="D1339" i="2"/>
  <c r="G1339" i="2"/>
  <c r="H1339" i="2"/>
  <c r="L1339" i="2"/>
  <c r="M1339" i="2"/>
  <c r="N1339" i="2"/>
  <c r="O1339" i="2"/>
  <c r="F190" i="3"/>
  <c r="G190" i="3"/>
  <c r="H190" i="3"/>
  <c r="I190" i="3"/>
  <c r="F189" i="3"/>
  <c r="G189" i="3"/>
  <c r="H189" i="3"/>
  <c r="I189" i="3"/>
  <c r="F188" i="3"/>
  <c r="G188" i="3"/>
  <c r="H188" i="3"/>
  <c r="I188" i="3"/>
  <c r="A8" i="4"/>
  <c r="G1311" i="2"/>
  <c r="C149" i="1"/>
  <c r="D149" i="1"/>
  <c r="G149" i="1"/>
  <c r="C148" i="1"/>
  <c r="D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E149" i="1" s="1"/>
  <c r="H1338" i="2"/>
  <c r="F149" i="1" s="1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H1257" i="2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E135" i="1" s="1"/>
  <c r="H1098" i="2"/>
  <c r="F135" i="1" s="1"/>
  <c r="C135" i="1"/>
  <c r="D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52" i="1" l="1"/>
  <c r="F130" i="1"/>
  <c r="F147" i="1"/>
  <c r="E147" i="1"/>
  <c r="E130" i="1"/>
  <c r="E148" i="1"/>
  <c r="F148" i="1"/>
  <c r="F144" i="1"/>
  <c r="E124" i="1"/>
  <c r="F131" i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<sst xmlns="http://schemas.openxmlformats.org/spreadsheetml/2006/main" count="1813" uniqueCount="201">
  <si>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</si>
  <si>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</si>
  <si>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</si>
  <si>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</si>
  <si>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</si>
  <si>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</si>
  <si>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</si>
  <si>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</si>
  <si>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</si>
  <si>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</si>
  <si>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</si>
  <si>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</si>
  <si>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</si>
  <si>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</si>
  <si>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</si>
  <si>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</si>
  <si>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</si>
  <si>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</si>
  <si>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</si>
  <si>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</si>
  <si>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</si>
  <si>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</si>
  <si>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</si>
  <si>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</si>
  <si>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</si>
  <si>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</si>
  <si>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</si>
  <si>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</si>
  <si>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</si>
  <si>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</si>
  <si>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</si>
  <si>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</si>
  <si>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</si>
  <si>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</si>
  <si>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</si>
  <si>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</si>
  <si>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</si>
  <si>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</si>
  <si>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</si>
  <si>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</si>
  <si>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</si>
  <si>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</si>
  <si>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</si>
  <si>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</si>
  <si>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</si>
  <si>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</si>
  <si>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</si>
  <si>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</si>
  <si>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</si>
  <si>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</si>
  <si>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</si>
  <si>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</si>
  <si>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</si>
  <si>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</si>
  <si>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</si>
  <si>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</si>
  <si>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</si>
  <si>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</si>
  <si>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</si>
  <si>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</si>
  <si>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</si>
  <si>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</si>
  <si>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</si>
  <si>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</si>
  <si>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</si>
  <si>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</si>
  <si>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</si>
  <si>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</si>
  <si>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</si>
  <si>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</si>
  <si>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</si>
  <si>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</si>
  <si>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</si>
  <si>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</si>
  <si>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</si>
  <si>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</si>
  <si>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</si>
  <si>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</si>
  <si>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</si>
  <si>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</si>
  <si>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</si>
  <si>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</si>
  <si>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</si>
  <si>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</si>
  <si>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</si>
  <si>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</si>
  <si>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</si>
  <si>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</si>
  <si>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</si>
  <si>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</si>
  <si>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</si>
  <si>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</si>
  <si>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</si>
  <si>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</si>
  <si>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</si>
  <si>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</si>
  <si>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</si>
  <si>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</si>
  <si>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</si>
  <si>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</si>
  <si>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</si>
  <si>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</si>
  <si>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</si>
  <si>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</si>
  <si>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</si>
  <si>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</si>
  <si>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</si>
  <si>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</si>
  <si>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</si>
  <si>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</si>
  <si>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</si>
  <si>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</si>
  <si>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</si>
  <si>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</si>
  <si>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</si>
  <si>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</si>
  <si>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</si>
  <si>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</si>
  <si>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</si>
  <si>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</si>
  <si>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</si>
  <si>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</si>
  <si>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</si>
  <si>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</si>
  <si>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</si>
  <si>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</si>
  <si>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</si>
  <si>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</si>
  <si>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</si>
  <si>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</si>
  <si>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</si>
  <si>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</si>
  <si>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</si>
  <si>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</si>
  <si>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</si>
  <si>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</si>
  <si>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</si>
  <si>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</si>
  <si>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</si>
  <si>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</si>
  <si>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</si>
  <si>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</si>
  <si>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</si>
  <si>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</si>
  <si>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</si>
  <si>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</si>
  <si>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</si>
  <si>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</si>
  <si>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</si>
  <si>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</si>
  <si>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</si>
  <si>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</si>
  <si>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</si>
  <si>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</si>
  <si>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</si>
  <si>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</si>
  <si>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</si>
  <si>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</si>
  <si>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</si>
  <si>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</si>
  <si>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</si>
  <si>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</si>
  <si>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</si>
  <si>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</si>
  <si>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</si>
  <si>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</si>
  <si>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</si>
  <si>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</si>
  <si>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</si>
  <si>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</si>
  <si>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</si>
  <si>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</si>
  <si>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</si>
  <si>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</si>
  <si>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</si>
  <si>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</si>
  <si>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</si>
  <si>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</si>
  <si>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</si>
  <si>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</si>
  <si>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</si>
  <si>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</si>
  <si>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</si>
  <si>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</si>
  <si>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</si>
  <si>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</si>
  <si>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</si>
  <si>
    <t>Лето 2026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</si>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</sst>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62" totalsRowShown="0" headerRowDxfId="59" headerRowBorderDxfId="58" tableBorderDxfId="57" totalsRowBorderDxfId="56">
  <autoFilter ref="A1:G162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436" totalsRowShown="0" headerRowDxfId="48" dataDxfId="46" headerRowBorderDxfId="47" tableBorderDxfId="45" totalsRowBorderDxfId="44">
  <autoFilter ref="A1:O1436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200" totalsRowShown="0" headerRowDxfId="28" dataDxfId="26" headerRowBorderDxfId="27" tableBorderDxfId="25" totalsRowBorderDxfId="24">
  <autoFilter ref="A1:I200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8" totalsRowShown="0" headerRowDxfId="14" headerRowBorderDxfId="13" tableBorderDxfId="12" totalsRowBorderDxfId="11">
  <autoFilter ref="A1:K8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62"/>
  <sheetViews>
    <sheetView tabSelected="1" topLeftCell="A124" workbookViewId="0">
      <selection activeCell="Q155" sqref="Q155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69</v>
      </c>
      <c r="D3" s="11">
        <f>SUMIFS(_stats[assists_on_date],_stats[player_id],_players[[#This Row],[player_id]])</f>
        <v>45</v>
      </c>
      <c r="E3" s="11">
        <f>SUMIFS(_stats[wins_on_date],_stats[player_id],_players[[#This Row],[player_id]])</f>
        <v>189</v>
      </c>
      <c r="F3" s="12">
        <f>SUMIFS(_stats[draws_on_date],_stats[player_id],_players[[#This Row],[player_id]])</f>
        <v>44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32</v>
      </c>
      <c r="E5" s="21">
        <f>SUMIFS(_stats[wins_on_date],_stats[player_id],_players[[#This Row],[player_id]])</f>
        <v>112</v>
      </c>
      <c r="F5" s="22">
        <f>SUMIFS(_stats[draws_on_date],_stats[player_id],_players[[#This Row],[player_id]])</f>
        <v>20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32</v>
      </c>
      <c r="D6" s="16">
        <f>SUMIFS(_stats[assists_on_date],_stats[player_id],_players[[#This Row],[player_id]])</f>
        <v>19</v>
      </c>
      <c r="E6" s="16">
        <f>SUMIFS(_stats[wins_on_date],_stats[player_id],_players[[#This Row],[player_id]])</f>
        <v>203</v>
      </c>
      <c r="F6" s="17">
        <f>SUMIFS(_stats[draws_on_date],_stats[player_id],_players[[#This Row],[player_id]])</f>
        <v>51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63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108</v>
      </c>
      <c r="F7" s="12">
        <f>SUMIFS(_stats[draws_on_date],_stats[player_id],_players[[#This Row],[player_id]])</f>
        <v>27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44</v>
      </c>
      <c r="D8" s="11">
        <f>SUMIFS(_stats[assists_on_date],_stats[player_id],_players[[#This Row],[player_id]])</f>
        <v>27</v>
      </c>
      <c r="E8" s="11">
        <f>SUMIFS(_stats[wins_on_date],_stats[player_id],_players[[#This Row],[player_id]])</f>
        <v>161</v>
      </c>
      <c r="F8" s="12">
        <f>SUMIFS(_stats[draws_on_date],_stats[player_id],_players[[#This Row],[player_id]])</f>
        <v>47</v>
      </c>
      <c r="G8" s="12">
        <f>SUMIFS(_stats[foul_on_date],_stats[player_id],_players[[#This Row],[player_id]])</f>
        <v>2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5</v>
      </c>
      <c r="E10" s="16">
        <f>SUMIFS(_stats[wins_on_date],_stats[player_id],_players[[#This Row],[player_id]])</f>
        <v>76</v>
      </c>
      <c r="F10" s="17">
        <f>SUMIFS(_stats[draws_on_date],_stats[player_id],_players[[#This Row],[player_id]])</f>
        <v>19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84</v>
      </c>
      <c r="E12" s="16">
        <f>SUMIFS(_stats[wins_on_date],_stats[player_id],_players[[#This Row],[player_id]])</f>
        <v>158</v>
      </c>
      <c r="F12" s="17">
        <f>SUMIFS(_stats[draws_on_date],_stats[player_id],_players[[#This Row],[player_id]])</f>
        <v>50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28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51</v>
      </c>
      <c r="F13" s="12">
        <f>SUMIFS(_stats[draws_on_date],_stats[player_id],_players[[#This Row],[player_id]])</f>
        <v>12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11</v>
      </c>
      <c r="E14" s="11">
        <f>SUMIFS(_stats[wins_on_date],_stats[player_id],_players[[#This Row],[player_id]])</f>
        <v>173</v>
      </c>
      <c r="F14" s="12">
        <f>SUMIFS(_stats[draws_on_date],_stats[player_id],_players[[#This Row],[player_id]])</f>
        <v>48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25</v>
      </c>
      <c r="D15" s="11">
        <f>SUMIFS(_stats[assists_on_date],_stats[player_id],_players[[#This Row],[player_id]])</f>
        <v>40</v>
      </c>
      <c r="E15" s="11">
        <f>SUMIFS(_stats[wins_on_date],_stats[player_id],_players[[#This Row],[player_id]])</f>
        <v>83</v>
      </c>
      <c r="F15" s="12">
        <f>SUMIFS(_stats[draws_on_date],_stats[player_id],_players[[#This Row],[player_id]])</f>
        <v>15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19</v>
      </c>
      <c r="D16" s="11">
        <f>SUMIFS(_stats[assists_on_date],_stats[player_id],_players[[#This Row],[player_id]])</f>
        <v>33</v>
      </c>
      <c r="E16" s="11">
        <f>SUMIFS(_stats[wins_on_date],_stats[player_id],_players[[#This Row],[player_id]])</f>
        <v>67</v>
      </c>
      <c r="F16" s="12">
        <f>SUMIFS(_stats[draws_on_date],_stats[player_id],_players[[#This Row],[player_id]])</f>
        <v>7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19</v>
      </c>
      <c r="E17" s="11">
        <f>SUMIFS(_stats[wins_on_date],_stats[player_id],_players[[#This Row],[player_id]])</f>
        <v>64</v>
      </c>
      <c r="F17" s="12">
        <f>SUMIFS(_stats[draws_on_date],_stats[player_id],_players[[#This Row],[player_id]])</f>
        <v>16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21</v>
      </c>
      <c r="D20" s="11">
        <f>SUMIFS(_stats[assists_on_date],_stats[player_id],_players[[#This Row],[player_id]])</f>
        <v>21</v>
      </c>
      <c r="E20" s="11">
        <f>SUMIFS(_stats[wins_on_date],_stats[player_id],_players[[#This Row],[player_id]])</f>
        <v>121</v>
      </c>
      <c r="F20" s="12">
        <f>SUMIFS(_stats[draws_on_date],_stats[player_id],_players[[#This Row],[player_id]])</f>
        <v>26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41</v>
      </c>
      <c r="D21" s="11">
        <f>SUMIFS(_stats[assists_on_date],_stats[player_id],_players[[#This Row],[player_id]])</f>
        <v>52</v>
      </c>
      <c r="E21" s="11">
        <f>SUMIFS(_stats[wins_on_date],_stats[player_id],_players[[#This Row],[player_id]])</f>
        <v>139</v>
      </c>
      <c r="F21" s="12">
        <f>SUMIFS(_stats[draws_on_date],_stats[player_id],_players[[#This Row],[player_id]])</f>
        <v>38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128</v>
      </c>
      <c r="F22" s="17">
        <f>SUMIFS(_stats[draws_on_date],_stats[player_id],_players[[#This Row],[player_id]])</f>
        <v>28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27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121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14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90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4</v>
      </c>
      <c r="E28" s="11">
        <f>SUMIFS(_stats[wins_on_date],_stats[player_id],_players[[#This Row],[player_id]])</f>
        <v>69</v>
      </c>
      <c r="F28" s="12">
        <f>SUMIFS(_stats[draws_on_date],_stats[player_id],_players[[#This Row],[player_id]])</f>
        <v>27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50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16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74</v>
      </c>
      <c r="F38" s="12">
        <f>SUMIFS(_stats[draws_on_date],_stats[player_id],_players[[#This Row],[player_id]])</f>
        <v>27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158</v>
      </c>
      <c r="F39" s="12">
        <f>SUMIFS(_stats[draws_on_date],_stats[player_id],_players[[#This Row],[player_id]])</f>
        <v>58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17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71</v>
      </c>
      <c r="F42" s="17">
        <f>SUMIFS(_stats[draws_on_date],_stats[player_id],_players[[#This Row],[player_id]])</f>
        <v>21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8</v>
      </c>
      <c r="D43" s="11">
        <f>SUMIFS(_stats[assists_on_date],_stats[player_id],_players[[#This Row],[player_id]])</f>
        <v>11</v>
      </c>
      <c r="E43" s="11">
        <f>SUMIFS(_stats[wins_on_date],_stats[player_id],_players[[#This Row],[player_id]])</f>
        <v>48</v>
      </c>
      <c r="F43" s="12">
        <f>SUMIFS(_stats[draws_on_date],_stats[player_id],_players[[#This Row],[player_id]])</f>
        <v>21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6</v>
      </c>
      <c r="E45" s="16">
        <f>SUMIFS(_stats[wins_on_date],_stats[player_id],_players[[#This Row],[player_id]])</f>
        <v>25</v>
      </c>
      <c r="F45" s="17">
        <f>SUMIFS(_stats[draws_on_date],_stats[player_id],_players[[#This Row],[player_id]])</f>
        <v>5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18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47</v>
      </c>
      <c r="F59" s="18">
        <f>SUMIFS(_stats[draws_on_date],_stats[player_id],_players[[#This Row],[player_id]])</f>
        <v>15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6</v>
      </c>
      <c r="D60" s="10">
        <f>SUMIFS(_stats[assists_on_date],_stats[player_id],_players[[#This Row],[player_id]])</f>
        <v>3</v>
      </c>
      <c r="E60" s="10">
        <f>SUMIFS(_stats[wins_on_date],_stats[player_id],_players[[#This Row],[player_id]])</f>
        <v>14</v>
      </c>
      <c r="F60" s="18">
        <f>SUMIFS(_stats[draws_on_date],_stats[player_id],_players[[#This Row],[player_id]])</f>
        <v>3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111</v>
      </c>
      <c r="F64" s="18">
        <f>SUMIFS(_stats[draws_on_date],_stats[player_id],_players[[#This Row],[player_id]])</f>
        <v>33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75</v>
      </c>
      <c r="F79" s="18">
        <f>SUMIFS(_stats[draws_on_date],_stats[player_id],_players[[#This Row],[player_id]])</f>
        <v>20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9</v>
      </c>
      <c r="E87" s="10">
        <f>SUMIFS(_stats[wins_on_date],_stats[player_id],_players[[#This Row],[player_id]])</f>
        <v>35</v>
      </c>
      <c r="F87" s="18">
        <f>SUMIFS(_stats[draws_on_date],_stats[player_id],_players[[#This Row],[player_id]])</f>
        <v>12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43</v>
      </c>
      <c r="F110" s="18">
        <f>SUMIFS(_stats[draws_on_date],_stats[player_id],_players[[#This Row],[player_id]])</f>
        <v>18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11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44</v>
      </c>
      <c r="F120" s="18">
        <f>SUMIFS(_stats[draws_on_date],_stats[player_id],_players[[#This Row],[player_id]])</f>
        <v>19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9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21</v>
      </c>
      <c r="F126" s="18">
        <f>SUMIFS(_stats[draws_on_date],_stats[player_id],_players[[#This Row],[player_id]])</f>
        <v>12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2</v>
      </c>
      <c r="E137" s="10">
        <f>SUMIFS(_stats[wins_on_date],_stats[player_id],_players[[#This Row],[player_id]])</f>
        <v>23</v>
      </c>
      <c r="F137" s="18">
        <f>SUMIFS(_stats[draws_on_date],_stats[player_id],_players[[#This Row],[player_id]])</f>
        <v>7</v>
      </c>
      <c r="G137" s="18">
        <f>SUMIFS(_stats[foul_on_date],_stats[player_id],_players[[#This Row],[player_id]])</f>
        <v>1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7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7</v>
      </c>
      <c r="F140" s="18">
        <f>SUMIFS(_stats[draws_on_date],_stats[player_id],_players[[#This Row],[player_id]])</f>
        <v>9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4</v>
      </c>
      <c r="D145" s="10">
        <f>SUMIFS(_stats[assists_on_date],_stats[player_id],_players[[#This Row],[player_id]])</f>
        <v>3</v>
      </c>
      <c r="E145" s="10">
        <f>SUMIFS(_stats[wins_on_date],_stats[player_id],_players[[#This Row],[player_id]])</f>
        <v>13</v>
      </c>
      <c r="F145" s="18">
        <f>SUMIFS(_stats[draws_on_date],_stats[player_id],_players[[#This Row],[player_id]])</f>
        <v>6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9</v>
      </c>
      <c r="F148" s="18">
        <f>SUMIFS(_stats[draws_on_date],_stats[player_id],_players[[#This Row],[player_id]])</f>
        <v>8</v>
      </c>
      <c r="G148" s="18">
        <f>SUMIFS(_stats[foul_on_date],_stats[player_id],_players[[#This Row],[player_id]])</f>
        <v>1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188</v>
      </c>
      <c r="B150" s="36" t="s">
        <v>188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189</v>
      </c>
      <c r="B151" s="36" t="s">
        <v>189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3</v>
      </c>
      <c r="F151" s="18">
        <f>SUMIFS(_stats[draws_on_date],_stats[player_id],_players[[#This Row],[player_id]])</f>
        <v>3</v>
      </c>
      <c r="G151" s="18">
        <f>SUMIFS(_stats[foul_on_date],_stats[player_id],_players[[#This Row],[player_id]])</f>
        <v>1</v>
      </c>
    </row>
    <row r="152" spans="1:7" x14ac:dyDescent="0.25">
      <c r="A152" s="36" t="s">
        <v>190</v>
      </c>
      <c r="B152" s="36" t="s">
        <v>190</v>
      </c>
      <c r="C152" s="10">
        <f>SUMIFS(_stats[goals_on_date],_stats[player_id],_players[[#This Row],[player_id]])</f>
        <v>6</v>
      </c>
      <c r="D152" s="10">
        <f>SUMIFS(_stats[assists_on_date],_stats[player_id],_players[[#This Row],[player_id]])</f>
        <v>2</v>
      </c>
      <c r="E152" s="10">
        <f>SUMIFS(_stats[wins_on_date],_stats[player_id],_players[[#This Row],[player_id]])</f>
        <v>19</v>
      </c>
      <c r="F152" s="18">
        <f>SUMIFS(_stats[draws_on_date],_stats[player_id],_players[[#This Row],[player_id]])</f>
        <v>4</v>
      </c>
      <c r="G152" s="18">
        <f>SUMIFS(_stats[foul_on_date],_stats[player_id],_players[[#This Row],[player_id]])</f>
        <v>0</v>
      </c>
    </row>
    <row r="153" spans="1:7" x14ac:dyDescent="0.25">
      <c r="A153" s="36" t="s">
        <v>191</v>
      </c>
      <c r="B153" s="36" t="s">
        <v>191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192</v>
      </c>
      <c r="B154" s="36" t="s">
        <v>192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193</v>
      </c>
      <c r="B155" s="36" t="s">
        <v>193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194</v>
      </c>
      <c r="B156" s="36" t="s">
        <v>194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195</v>
      </c>
      <c r="B157" s="36" t="s">
        <v>195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196</v>
      </c>
      <c r="B158" s="36" t="s">
        <v>196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197</v>
      </c>
      <c r="B159" s="36" t="s">
        <v>197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198</v>
      </c>
      <c r="B160" s="36" t="s">
        <v>198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199</v>
      </c>
      <c r="B161" s="36" t="s">
        <v>199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200</v>
      </c>
      <c r="B162" s="36" t="s">
        <v>200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436"/>
  <sheetViews>
    <sheetView topLeftCell="A1405" zoomScale="85" zoomScaleNormal="85" workbookViewId="0">
      <selection activeCell="G1454" sqref="G1454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59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28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42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152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17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79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19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134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25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18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32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52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185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188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41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82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189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38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34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190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53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191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192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49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193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194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196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195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44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21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94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12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155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123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42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47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185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91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25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45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63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17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19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140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134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75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10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31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135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64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25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4</v>
      </c>
      <c r="C1390" s="7" t="s">
        <v>18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</v>
      </c>
      <c r="H1390" s="10">
        <f>SUMIFS(_teams[draws_on_date],_teams[date],_stats[[#This Row],[date]],_teams[team_number],_stats[[#This Row],[team_number]])</f>
        <v>0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59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134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42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27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28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17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185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19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52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152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41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149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82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197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198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199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200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34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11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190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29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26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145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96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  <row r="1415" spans="1:15" x14ac:dyDescent="0.25">
      <c r="A1415" s="6">
        <v>46208</v>
      </c>
      <c r="B1415" s="7">
        <v>2</v>
      </c>
      <c r="C1415" s="7" t="s">
        <v>64</v>
      </c>
      <c r="D1415" s="10" t="str">
        <f>IFERROR(VLOOKUP(_stats[[#This Row],[player_id]],_players[[player_id]:[player_name]],2,0),"")</f>
        <v>Дима Сахаров</v>
      </c>
      <c r="E1415" s="7">
        <v>0</v>
      </c>
      <c r="F1415" s="8">
        <v>0</v>
      </c>
      <c r="G1415" s="10">
        <f>SUMIFS(_teams[wins_on_date],_teams[date],_stats[[#This Row],[date]],_teams[team_number],_stats[[#This Row],[team_number]])</f>
        <v>3</v>
      </c>
      <c r="H1415" s="10">
        <f>SUMIFS(_teams[draws_on_date],_teams[date],_stats[[#This Row],[date]],_teams[team_number],_stats[[#This Row],[team_number]])</f>
        <v>1</v>
      </c>
      <c r="I1415" s="10">
        <v>0</v>
      </c>
      <c r="J1415" s="10">
        <v>0</v>
      </c>
      <c r="K1415" s="10">
        <v>7</v>
      </c>
      <c r="L1415" s="55" t="str">
        <f>VLOOKUP(_stats[[#This Row],[tournament]],tournaments_n_rules[],2,0)</f>
        <v>УПК</v>
      </c>
      <c r="M1415" s="55" t="str">
        <f>VLOOKUP(_stats[[#This Row],[tournament]],tournaments_n_rules[],3,0)</f>
        <v>Лето 2026</v>
      </c>
      <c r="N1415" s="56">
        <f>VLOOKUP(_stats[[#This Row],[tournament]],tournaments_n_rules[],4,0)</f>
        <v>46194</v>
      </c>
      <c r="O1415" s="56">
        <f>VLOOKUP(_stats[[#This Row],[tournament]],tournaments_n_rules[],5,0)</f>
        <v>46265</v>
      </c>
    </row>
    <row r="1416" spans="1:15" x14ac:dyDescent="0.25">
      <c r="A1416" s="6">
        <v>46208</v>
      </c>
      <c r="B1416" s="7">
        <v>3</v>
      </c>
      <c r="C1416" s="7" t="s">
        <v>31</v>
      </c>
      <c r="D1416" s="10" t="str">
        <f>IFERROR(VLOOKUP(_stats[[#This Row],[player_id]],_players[[player_id]:[player_name]],2,0),"")</f>
        <v>Артем Ширяев</v>
      </c>
      <c r="E1416" s="7">
        <v>0</v>
      </c>
      <c r="F1416" s="8">
        <v>1</v>
      </c>
      <c r="G1416" s="10">
        <f>SUMIFS(_teams[wins_on_date],_teams[date],_stats[[#This Row],[date]],_teams[team_number],_stats[[#This Row],[team_number]])</f>
        <v>4</v>
      </c>
      <c r="H1416" s="10">
        <f>SUMIFS(_teams[draws_on_date],_teams[date],_stats[[#This Row],[date]],_teams[team_number],_stats[[#This Row],[team_number]])</f>
        <v>2</v>
      </c>
      <c r="I1416" s="10">
        <v>0</v>
      </c>
      <c r="J1416" s="10">
        <v>0</v>
      </c>
      <c r="K1416" s="10">
        <v>7</v>
      </c>
      <c r="L1416" s="55" t="str">
        <f>VLOOKUP(_stats[[#This Row],[tournament]],tournaments_n_rules[],2,0)</f>
        <v>УПК</v>
      </c>
      <c r="M1416" s="55" t="str">
        <f>VLOOKUP(_stats[[#This Row],[tournament]],tournaments_n_rules[],3,0)</f>
        <v>Лето 2026</v>
      </c>
      <c r="N1416" s="56">
        <f>VLOOKUP(_stats[[#This Row],[tournament]],tournaments_n_rules[],4,0)</f>
        <v>46194</v>
      </c>
      <c r="O1416" s="56">
        <f>VLOOKUP(_stats[[#This Row],[tournament]],tournaments_n_rules[],5,0)</f>
        <v>46265</v>
      </c>
    </row>
    <row r="1417" spans="1:15" x14ac:dyDescent="0.25">
      <c r="A1417" s="6">
        <v>46208</v>
      </c>
      <c r="B1417" s="7">
        <v>3</v>
      </c>
      <c r="C1417" s="7" t="s">
        <v>79</v>
      </c>
      <c r="D1417" s="10" t="str">
        <f>IFERROR(VLOOKUP(_stats[[#This Row],[player_id]],_players[[player_id]:[player_name]],2,0),"")</f>
        <v>Анашкин</v>
      </c>
      <c r="E1417" s="7">
        <v>0</v>
      </c>
      <c r="F1417" s="8">
        <v>0</v>
      </c>
      <c r="G1417" s="10">
        <f>SUMIFS(_teams[wins_on_date],_teams[date],_stats[[#This Row],[date]],_teams[team_number],_stats[[#This Row],[team_number]])</f>
        <v>4</v>
      </c>
      <c r="H1417" s="10">
        <f>SUMIFS(_teams[draws_on_date],_teams[date],_stats[[#This Row],[date]],_teams[team_number],_stats[[#This Row],[team_number]])</f>
        <v>2</v>
      </c>
      <c r="I1417" s="10">
        <v>2</v>
      </c>
      <c r="J1417" s="10">
        <v>0</v>
      </c>
      <c r="K1417" s="10">
        <v>7</v>
      </c>
      <c r="L1417" s="55" t="str">
        <f>VLOOKUP(_stats[[#This Row],[tournament]],tournaments_n_rules[],2,0)</f>
        <v>УПК</v>
      </c>
      <c r="M1417" s="55" t="str">
        <f>VLOOKUP(_stats[[#This Row],[tournament]],tournaments_n_rules[],3,0)</f>
        <v>Лето 2026</v>
      </c>
      <c r="N1417" s="56">
        <f>VLOOKUP(_stats[[#This Row],[tournament]],tournaments_n_rules[],4,0)</f>
        <v>46194</v>
      </c>
      <c r="O1417" s="56">
        <f>VLOOKUP(_stats[[#This Row],[tournament]],tournaments_n_rules[],5,0)</f>
        <v>46265</v>
      </c>
    </row>
    <row r="1418" spans="1:15" x14ac:dyDescent="0.25">
      <c r="A1418" s="6">
        <v>46208</v>
      </c>
      <c r="B1418" s="7">
        <v>3</v>
      </c>
      <c r="C1418" s="7" t="s">
        <v>59</v>
      </c>
      <c r="D1418" s="10" t="str">
        <f>IFERROR(VLOOKUP(_stats[[#This Row],[player_id]],_players[[player_id]:[player_name]],2,0),"")</f>
        <v>Юра Пименов</v>
      </c>
      <c r="E1418" s="7">
        <v>0</v>
      </c>
      <c r="F1418" s="8">
        <v>2</v>
      </c>
      <c r="G1418" s="10">
        <f>SUMIFS(_teams[wins_on_date],_teams[date],_stats[[#This Row],[date]],_teams[team_number],_stats[[#This Row],[team_number]])</f>
        <v>4</v>
      </c>
      <c r="H1418" s="10">
        <f>SUMIFS(_teams[draws_on_date],_teams[date],_stats[[#This Row],[date]],_teams[team_number],_stats[[#This Row],[team_number]])</f>
        <v>2</v>
      </c>
      <c r="I1418" s="10">
        <v>1</v>
      </c>
      <c r="J1418" s="10">
        <v>0</v>
      </c>
      <c r="K1418" s="10">
        <v>7</v>
      </c>
      <c r="L1418" s="55" t="str">
        <f>VLOOKUP(_stats[[#This Row],[tournament]],tournaments_n_rules[],2,0)</f>
        <v>УПК</v>
      </c>
      <c r="M1418" s="55" t="str">
        <f>VLOOKUP(_stats[[#This Row],[tournament]],tournaments_n_rules[],3,0)</f>
        <v>Лето 2026</v>
      </c>
      <c r="N1418" s="56">
        <f>VLOOKUP(_stats[[#This Row],[tournament]],tournaments_n_rules[],4,0)</f>
        <v>46194</v>
      </c>
      <c r="O1418" s="56">
        <f>VLOOKUP(_stats[[#This Row],[tournament]],tournaments_n_rules[],5,0)</f>
        <v>46265</v>
      </c>
    </row>
    <row r="1419" spans="1:15" x14ac:dyDescent="0.25">
      <c r="A1419" s="6">
        <v>46208</v>
      </c>
      <c r="B1419" s="7">
        <v>1</v>
      </c>
      <c r="C1419" s="7" t="s">
        <v>10</v>
      </c>
      <c r="D1419" s="10" t="str">
        <f>IFERROR(VLOOKUP(_stats[[#This Row],[player_id]],_players[[player_id]:[player_name]],2,0),"")</f>
        <v>Тёма</v>
      </c>
      <c r="E1419" s="7">
        <v>0</v>
      </c>
      <c r="F1419" s="8">
        <v>1</v>
      </c>
      <c r="G1419" s="10">
        <f>SUMIFS(_teams[wins_on_date],_teams[date],_stats[[#This Row],[date]],_teams[team_number],_stats[[#This Row],[team_number]])</f>
        <v>2</v>
      </c>
      <c r="H1419" s="10">
        <f>SUMIFS(_teams[draws_on_date],_teams[date],_stats[[#This Row],[date]],_teams[team_number],_stats[[#This Row],[team_number]])</f>
        <v>2</v>
      </c>
      <c r="I1419" s="10">
        <v>0</v>
      </c>
      <c r="J1419" s="10">
        <v>0</v>
      </c>
      <c r="K1419" s="10">
        <v>7</v>
      </c>
      <c r="L1419" s="55" t="str">
        <f>VLOOKUP(_stats[[#This Row],[tournament]],tournaments_n_rules[],2,0)</f>
        <v>УПК</v>
      </c>
      <c r="M1419" s="55" t="str">
        <f>VLOOKUP(_stats[[#This Row],[tournament]],tournaments_n_rules[],3,0)</f>
        <v>Лето 2026</v>
      </c>
      <c r="N1419" s="56">
        <f>VLOOKUP(_stats[[#This Row],[tournament]],tournaments_n_rules[],4,0)</f>
        <v>46194</v>
      </c>
      <c r="O1419" s="56">
        <f>VLOOKUP(_stats[[#This Row],[tournament]],tournaments_n_rules[],5,0)</f>
        <v>46265</v>
      </c>
    </row>
    <row r="1420" spans="1:15" x14ac:dyDescent="0.25">
      <c r="A1420" s="6">
        <v>46208</v>
      </c>
      <c r="B1420" s="7">
        <v>1</v>
      </c>
      <c r="C1420" s="7" t="s">
        <v>25</v>
      </c>
      <c r="D1420" s="10" t="str">
        <f>IFERROR(VLOOKUP(_stats[[#This Row],[player_id]],_players[[player_id]:[player_name]],2,0),"")</f>
        <v>Олег Шишкин</v>
      </c>
      <c r="E1420" s="7">
        <v>0</v>
      </c>
      <c r="F1420" s="8">
        <v>1</v>
      </c>
      <c r="G1420" s="10">
        <f>SUMIFS(_teams[wins_on_date],_teams[date],_stats[[#This Row],[date]],_teams[team_number],_stats[[#This Row],[team_number]])</f>
        <v>2</v>
      </c>
      <c r="H1420" s="10">
        <f>SUMIFS(_teams[draws_on_date],_teams[date],_stats[[#This Row],[date]],_teams[team_number],_stats[[#This Row],[team_number]])</f>
        <v>2</v>
      </c>
      <c r="I1420" s="10">
        <v>0</v>
      </c>
      <c r="J1420" s="10">
        <v>0</v>
      </c>
      <c r="K1420" s="10">
        <v>7</v>
      </c>
      <c r="L1420" s="55" t="str">
        <f>VLOOKUP(_stats[[#This Row],[tournament]],tournaments_n_rules[],2,0)</f>
        <v>УПК</v>
      </c>
      <c r="M1420" s="55" t="str">
        <f>VLOOKUP(_stats[[#This Row],[tournament]],tournaments_n_rules[],3,0)</f>
        <v>Лето 2026</v>
      </c>
      <c r="N1420" s="56">
        <f>VLOOKUP(_stats[[#This Row],[tournament]],tournaments_n_rules[],4,0)</f>
        <v>46194</v>
      </c>
      <c r="O1420" s="56">
        <f>VLOOKUP(_stats[[#This Row],[tournament]],tournaments_n_rules[],5,0)</f>
        <v>46265</v>
      </c>
    </row>
    <row r="1421" spans="1:15" x14ac:dyDescent="0.25">
      <c r="A1421" s="6">
        <v>46208</v>
      </c>
      <c r="B1421" s="7">
        <v>2</v>
      </c>
      <c r="C1421" s="7" t="s">
        <v>42</v>
      </c>
      <c r="D1421" s="10" t="str">
        <f>IFERROR(VLOOKUP(_stats[[#This Row],[player_id]],_players[[player_id]:[player_name]],2,0),"")</f>
        <v>Нурик</v>
      </c>
      <c r="E1421" s="7">
        <v>3</v>
      </c>
      <c r="F1421" s="8">
        <v>1</v>
      </c>
      <c r="G1421" s="10">
        <f>SUMIFS(_teams[wins_on_date],_teams[date],_stats[[#This Row],[date]],_teams[team_number],_stats[[#This Row],[team_number]])</f>
        <v>3</v>
      </c>
      <c r="H1421" s="10">
        <f>SUMIFS(_teams[draws_on_date],_teams[date],_stats[[#This Row],[date]],_teams[team_number],_stats[[#This Row],[team_number]])</f>
        <v>1</v>
      </c>
      <c r="I1421" s="10">
        <v>0</v>
      </c>
      <c r="J1421" s="10">
        <v>0</v>
      </c>
      <c r="K1421" s="10">
        <v>7</v>
      </c>
      <c r="L1421" s="55" t="str">
        <f>VLOOKUP(_stats[[#This Row],[tournament]],tournaments_n_rules[],2,0)</f>
        <v>УПК</v>
      </c>
      <c r="M1421" s="55" t="str">
        <f>VLOOKUP(_stats[[#This Row],[tournament]],tournaments_n_rules[],3,0)</f>
        <v>Лето 2026</v>
      </c>
      <c r="N1421" s="56">
        <f>VLOOKUP(_stats[[#This Row],[tournament]],tournaments_n_rules[],4,0)</f>
        <v>46194</v>
      </c>
      <c r="O1421" s="56">
        <f>VLOOKUP(_stats[[#This Row],[tournament]],tournaments_n_rules[],5,0)</f>
        <v>46265</v>
      </c>
    </row>
    <row r="1422" spans="1:15" x14ac:dyDescent="0.25">
      <c r="A1422" s="6">
        <v>46208</v>
      </c>
      <c r="B1422" s="7">
        <v>1</v>
      </c>
      <c r="C1422" s="7" t="s">
        <v>18</v>
      </c>
      <c r="D1422" s="10" t="str">
        <f>IFERROR(VLOOKUP(_stats[[#This Row],[player_id]],_players[[player_id]:[player_name]],2,0),"")</f>
        <v>Расул</v>
      </c>
      <c r="E1422" s="7">
        <v>0</v>
      </c>
      <c r="F1422" s="8">
        <v>1</v>
      </c>
      <c r="G1422" s="10">
        <f>SUMIFS(_teams[wins_on_date],_teams[date],_stats[[#This Row],[date]],_teams[team_number],_stats[[#This Row],[team_number]])</f>
        <v>2</v>
      </c>
      <c r="H1422" s="10">
        <f>SUMIFS(_teams[draws_on_date],_teams[date],_stats[[#This Row],[date]],_teams[team_number],_stats[[#This Row],[team_number]])</f>
        <v>2</v>
      </c>
      <c r="I1422" s="10">
        <v>0</v>
      </c>
      <c r="J1422" s="10">
        <v>0</v>
      </c>
      <c r="K1422" s="10">
        <v>7</v>
      </c>
      <c r="L1422" s="55" t="str">
        <f>VLOOKUP(_stats[[#This Row],[tournament]],tournaments_n_rules[],2,0)</f>
        <v>УПК</v>
      </c>
      <c r="M1422" s="55" t="str">
        <f>VLOOKUP(_stats[[#This Row],[tournament]],tournaments_n_rules[],3,0)</f>
        <v>Лето 2026</v>
      </c>
      <c r="N1422" s="56">
        <f>VLOOKUP(_stats[[#This Row],[tournament]],tournaments_n_rules[],4,0)</f>
        <v>46194</v>
      </c>
      <c r="O1422" s="56">
        <f>VLOOKUP(_stats[[#This Row],[tournament]],tournaments_n_rules[],5,0)</f>
        <v>46265</v>
      </c>
    </row>
    <row r="1423" spans="1:15" x14ac:dyDescent="0.25">
      <c r="A1423" s="6">
        <v>46208</v>
      </c>
      <c r="B1423" s="7">
        <v>1</v>
      </c>
      <c r="C1423" s="7" t="s">
        <v>22</v>
      </c>
      <c r="D1423" s="10" t="str">
        <f>IFERROR(VLOOKUP(_stats[[#This Row],[player_id]],_players[[player_id]:[player_name]],2,0),"")</f>
        <v>Женя (кипер)</v>
      </c>
      <c r="E1423" s="7">
        <v>0</v>
      </c>
      <c r="F1423" s="8">
        <v>0</v>
      </c>
      <c r="G1423" s="10">
        <f>SUMIFS(_teams[wins_on_date],_teams[date],_stats[[#This Row],[date]],_teams[team_number],_stats[[#This Row],[team_number]])</f>
        <v>2</v>
      </c>
      <c r="H1423" s="10">
        <f>SUMIFS(_teams[draws_on_date],_teams[date],_stats[[#This Row],[date]],_teams[team_number],_stats[[#This Row],[team_number]])</f>
        <v>2</v>
      </c>
      <c r="I1423" s="10">
        <v>1</v>
      </c>
      <c r="J1423" s="10">
        <v>0</v>
      </c>
      <c r="K1423" s="10">
        <v>7</v>
      </c>
      <c r="L1423" s="55" t="str">
        <f>VLOOKUP(_stats[[#This Row],[tournament]],tournaments_n_rules[],2,0)</f>
        <v>УПК</v>
      </c>
      <c r="M1423" s="55" t="str">
        <f>VLOOKUP(_stats[[#This Row],[tournament]],tournaments_n_rules[],3,0)</f>
        <v>Лето 2026</v>
      </c>
      <c r="N1423" s="56">
        <f>VLOOKUP(_stats[[#This Row],[tournament]],tournaments_n_rules[],4,0)</f>
        <v>46194</v>
      </c>
      <c r="O1423" s="56">
        <f>VLOOKUP(_stats[[#This Row],[tournament]],tournaments_n_rules[],5,0)</f>
        <v>46265</v>
      </c>
    </row>
    <row r="1424" spans="1:15" x14ac:dyDescent="0.25">
      <c r="A1424" s="6">
        <v>46208</v>
      </c>
      <c r="B1424" s="7">
        <v>3</v>
      </c>
      <c r="C1424" s="7" t="s">
        <v>63</v>
      </c>
      <c r="D1424" s="10" t="str">
        <f>IFERROR(VLOOKUP(_stats[[#This Row],[player_id]],_players[[player_id]:[player_name]],2,0),"")</f>
        <v>Александр Костюнин</v>
      </c>
      <c r="E1424" s="7">
        <v>4</v>
      </c>
      <c r="F1424" s="8">
        <v>0</v>
      </c>
      <c r="G1424" s="10">
        <f>SUMIFS(_teams[wins_on_date],_teams[date],_stats[[#This Row],[date]],_teams[team_number],_stats[[#This Row],[team_number]])</f>
        <v>4</v>
      </c>
      <c r="H1424" s="10">
        <f>SUMIFS(_teams[draws_on_date],_teams[date],_stats[[#This Row],[date]],_teams[team_number],_stats[[#This Row],[team_number]])</f>
        <v>2</v>
      </c>
      <c r="I1424" s="10">
        <v>0</v>
      </c>
      <c r="J1424" s="10">
        <v>0</v>
      </c>
      <c r="K1424" s="10">
        <v>7</v>
      </c>
      <c r="L1424" s="55" t="str">
        <f>VLOOKUP(_stats[[#This Row],[tournament]],tournaments_n_rules[],2,0)</f>
        <v>УПК</v>
      </c>
      <c r="M1424" s="55" t="str">
        <f>VLOOKUP(_stats[[#This Row],[tournament]],tournaments_n_rules[],3,0)</f>
        <v>Лето 2026</v>
      </c>
      <c r="N1424" s="56">
        <f>VLOOKUP(_stats[[#This Row],[tournament]],tournaments_n_rules[],4,0)</f>
        <v>46194</v>
      </c>
      <c r="O1424" s="56">
        <f>VLOOKUP(_stats[[#This Row],[tournament]],tournaments_n_rules[],5,0)</f>
        <v>46265</v>
      </c>
    </row>
    <row r="1425" spans="1:15" x14ac:dyDescent="0.25">
      <c r="A1425" s="6">
        <v>46208</v>
      </c>
      <c r="B1425" s="7">
        <v>3</v>
      </c>
      <c r="C1425" s="7" t="s">
        <v>17</v>
      </c>
      <c r="D1425" s="10" t="str">
        <f>IFERROR(VLOOKUP(_stats[[#This Row],[player_id]],_players[[player_id]:[player_name]],2,0),"")</f>
        <v>Костя</v>
      </c>
      <c r="E1425" s="7">
        <v>2</v>
      </c>
      <c r="F1425" s="8">
        <v>0</v>
      </c>
      <c r="G1425" s="10">
        <f>SUMIFS(_teams[wins_on_date],_teams[date],_stats[[#This Row],[date]],_teams[team_number],_stats[[#This Row],[team_number]])</f>
        <v>4</v>
      </c>
      <c r="H1425" s="10">
        <f>SUMIFS(_teams[draws_on_date],_teams[date],_stats[[#This Row],[date]],_teams[team_number],_stats[[#This Row],[team_number]])</f>
        <v>2</v>
      </c>
      <c r="I1425" s="10">
        <v>0</v>
      </c>
      <c r="J1425" s="10">
        <v>0</v>
      </c>
      <c r="K1425" s="10">
        <v>7</v>
      </c>
      <c r="L1425" s="55" t="str">
        <f>VLOOKUP(_stats[[#This Row],[tournament]],tournaments_n_rules[],2,0)</f>
        <v>УПК</v>
      </c>
      <c r="M1425" s="55" t="str">
        <f>VLOOKUP(_stats[[#This Row],[tournament]],tournaments_n_rules[],3,0)</f>
        <v>Лето 2026</v>
      </c>
      <c r="N1425" s="56">
        <f>VLOOKUP(_stats[[#This Row],[tournament]],tournaments_n_rules[],4,0)</f>
        <v>46194</v>
      </c>
      <c r="O1425" s="56">
        <f>VLOOKUP(_stats[[#This Row],[tournament]],tournaments_n_rules[],5,0)</f>
        <v>46265</v>
      </c>
    </row>
    <row r="1426" spans="1:15" x14ac:dyDescent="0.25">
      <c r="A1426" s="6">
        <v>46208</v>
      </c>
      <c r="B1426" s="7">
        <v>3</v>
      </c>
      <c r="C1426" s="7" t="s">
        <v>28</v>
      </c>
      <c r="D1426" s="10" t="str">
        <f>IFERROR(VLOOKUP(_stats[[#This Row],[player_id]],_players[[player_id]:[player_name]],2,0),"")</f>
        <v>Никита</v>
      </c>
      <c r="E1426" s="7">
        <v>0</v>
      </c>
      <c r="F1426" s="8">
        <v>0</v>
      </c>
      <c r="G1426" s="10">
        <f>SUMIFS(_teams[wins_on_date],_teams[date],_stats[[#This Row],[date]],_teams[team_number],_stats[[#This Row],[team_number]])</f>
        <v>4</v>
      </c>
      <c r="H1426" s="10">
        <f>SUMIFS(_teams[draws_on_date],_teams[date],_stats[[#This Row],[date]],_teams[team_number],_stats[[#This Row],[team_number]])</f>
        <v>2</v>
      </c>
      <c r="I1426" s="10">
        <v>0</v>
      </c>
      <c r="J1426" s="10">
        <v>0</v>
      </c>
      <c r="K1426" s="10">
        <v>7</v>
      </c>
      <c r="L1426" s="55" t="str">
        <f>VLOOKUP(_stats[[#This Row],[tournament]],tournaments_n_rules[],2,0)</f>
        <v>УПК</v>
      </c>
      <c r="M1426" s="55" t="str">
        <f>VLOOKUP(_stats[[#This Row],[tournament]],tournaments_n_rules[],3,0)</f>
        <v>Лето 2026</v>
      </c>
      <c r="N1426" s="56">
        <f>VLOOKUP(_stats[[#This Row],[tournament]],tournaments_n_rules[],4,0)</f>
        <v>46194</v>
      </c>
      <c r="O1426" s="56">
        <f>VLOOKUP(_stats[[#This Row],[tournament]],tournaments_n_rules[],5,0)</f>
        <v>46265</v>
      </c>
    </row>
    <row r="1427" spans="1:15" x14ac:dyDescent="0.25">
      <c r="A1427" s="6">
        <v>46208</v>
      </c>
      <c r="B1427" s="7">
        <v>2</v>
      </c>
      <c r="C1427" s="7" t="s">
        <v>134</v>
      </c>
      <c r="D1427" s="10" t="str">
        <f>IFERROR(VLOOKUP(_stats[[#This Row],[player_id]],_players[[player_id]:[player_name]],2,0),"")</f>
        <v>Арги</v>
      </c>
      <c r="E1427" s="7">
        <v>1</v>
      </c>
      <c r="F1427" s="8">
        <v>0</v>
      </c>
      <c r="G1427" s="10">
        <f>SUMIFS(_teams[wins_on_date],_teams[date],_stats[[#This Row],[date]],_teams[team_number],_stats[[#This Row],[team_number]])</f>
        <v>3</v>
      </c>
      <c r="H1427" s="10">
        <f>SUMIFS(_teams[draws_on_date],_teams[date],_stats[[#This Row],[date]],_teams[team_number],_stats[[#This Row],[team_number]])</f>
        <v>1</v>
      </c>
      <c r="I1427" s="10">
        <v>0</v>
      </c>
      <c r="J1427" s="10">
        <v>0</v>
      </c>
      <c r="K1427" s="10">
        <v>7</v>
      </c>
      <c r="L1427" s="55" t="str">
        <f>VLOOKUP(_stats[[#This Row],[tournament]],tournaments_n_rules[],2,0)</f>
        <v>УПК</v>
      </c>
      <c r="M1427" s="55" t="str">
        <f>VLOOKUP(_stats[[#This Row],[tournament]],tournaments_n_rules[],3,0)</f>
        <v>Лето 2026</v>
      </c>
      <c r="N1427" s="56">
        <f>VLOOKUP(_stats[[#This Row],[tournament]],tournaments_n_rules[],4,0)</f>
        <v>46194</v>
      </c>
      <c r="O1427" s="56">
        <f>VLOOKUP(_stats[[#This Row],[tournament]],tournaments_n_rules[],5,0)</f>
        <v>46265</v>
      </c>
    </row>
    <row r="1428" spans="1:15" x14ac:dyDescent="0.25">
      <c r="A1428" s="6">
        <v>46208</v>
      </c>
      <c r="B1428" s="7">
        <v>3</v>
      </c>
      <c r="C1428" s="7" t="s">
        <v>19</v>
      </c>
      <c r="D1428" s="10" t="str">
        <f>IFERROR(VLOOKUP(_stats[[#This Row],[player_id]],_players[[player_id]:[player_name]],2,0),"")</f>
        <v>Сергей Крюков</v>
      </c>
      <c r="E1428" s="7">
        <v>1</v>
      </c>
      <c r="F1428" s="8">
        <v>2</v>
      </c>
      <c r="G1428" s="10">
        <f>SUMIFS(_teams[wins_on_date],_teams[date],_stats[[#This Row],[date]],_teams[team_number],_stats[[#This Row],[team_number]])</f>
        <v>4</v>
      </c>
      <c r="H1428" s="10">
        <f>SUMIFS(_teams[draws_on_date],_teams[date],_stats[[#This Row],[date]],_teams[team_number],_stats[[#This Row],[team_number]])</f>
        <v>2</v>
      </c>
      <c r="I1428" s="10">
        <v>0</v>
      </c>
      <c r="J1428" s="10">
        <v>0</v>
      </c>
      <c r="K1428" s="10">
        <v>7</v>
      </c>
      <c r="L1428" s="55" t="str">
        <f>VLOOKUP(_stats[[#This Row],[tournament]],tournaments_n_rules[],2,0)</f>
        <v>УПК</v>
      </c>
      <c r="M1428" s="55" t="str">
        <f>VLOOKUP(_stats[[#This Row],[tournament]],tournaments_n_rules[],3,0)</f>
        <v>Лето 2026</v>
      </c>
      <c r="N1428" s="56">
        <f>VLOOKUP(_stats[[#This Row],[tournament]],tournaments_n_rules[],4,0)</f>
        <v>46194</v>
      </c>
      <c r="O1428" s="56">
        <f>VLOOKUP(_stats[[#This Row],[tournament]],tournaments_n_rules[],5,0)</f>
        <v>46265</v>
      </c>
    </row>
    <row r="1429" spans="1:15" x14ac:dyDescent="0.25">
      <c r="A1429" s="6">
        <v>46208</v>
      </c>
      <c r="B1429" s="7">
        <v>1</v>
      </c>
      <c r="C1429" s="7" t="s">
        <v>82</v>
      </c>
      <c r="D1429" s="10" t="str">
        <f>IFERROR(VLOOKUP(_stats[[#This Row],[player_id]],_players[[player_id]:[player_name]],2,0),"")</f>
        <v>Марат (Атай+1)</v>
      </c>
      <c r="E1429" s="7">
        <v>1</v>
      </c>
      <c r="F1429" s="8">
        <v>0</v>
      </c>
      <c r="G1429" s="10">
        <f>SUMIFS(_teams[wins_on_date],_teams[date],_stats[[#This Row],[date]],_teams[team_number],_stats[[#This Row],[team_number]])</f>
        <v>2</v>
      </c>
      <c r="H1429" s="10">
        <f>SUMIFS(_teams[draws_on_date],_teams[date],_stats[[#This Row],[date]],_teams[team_number],_stats[[#This Row],[team_number]])</f>
        <v>2</v>
      </c>
      <c r="I1429" s="10">
        <v>0</v>
      </c>
      <c r="J1429" s="10">
        <v>0</v>
      </c>
      <c r="K1429" s="10">
        <v>7</v>
      </c>
      <c r="L1429" s="55" t="str">
        <f>VLOOKUP(_stats[[#This Row],[tournament]],tournaments_n_rules[],2,0)</f>
        <v>УПК</v>
      </c>
      <c r="M1429" s="55" t="str">
        <f>VLOOKUP(_stats[[#This Row],[tournament]],tournaments_n_rules[],3,0)</f>
        <v>Лето 2026</v>
      </c>
      <c r="N1429" s="56">
        <f>VLOOKUP(_stats[[#This Row],[tournament]],tournaments_n_rules[],4,0)</f>
        <v>46194</v>
      </c>
      <c r="O1429" s="56">
        <f>VLOOKUP(_stats[[#This Row],[tournament]],tournaments_n_rules[],5,0)</f>
        <v>46265</v>
      </c>
    </row>
    <row r="1430" spans="1:15" x14ac:dyDescent="0.25">
      <c r="A1430" s="6">
        <v>46208</v>
      </c>
      <c r="B1430" s="7">
        <v>1</v>
      </c>
      <c r="C1430" s="7" t="s">
        <v>41</v>
      </c>
      <c r="D1430" s="10" t="str">
        <f>IFERROR(VLOOKUP(_stats[[#This Row],[player_id]],_players[[player_id]:[player_name]],2,0),"")</f>
        <v>Атай</v>
      </c>
      <c r="E1430" s="7">
        <v>0</v>
      </c>
      <c r="F1430" s="8">
        <v>1</v>
      </c>
      <c r="G1430" s="10">
        <f>SUMIFS(_teams[wins_on_date],_teams[date],_stats[[#This Row],[date]],_teams[team_number],_stats[[#This Row],[team_number]])</f>
        <v>2</v>
      </c>
      <c r="H1430" s="10">
        <f>SUMIFS(_teams[draws_on_date],_teams[date],_stats[[#This Row],[date]],_teams[team_number],_stats[[#This Row],[team_number]])</f>
        <v>2</v>
      </c>
      <c r="I1430" s="10">
        <v>0</v>
      </c>
      <c r="J1430" s="10">
        <v>0</v>
      </c>
      <c r="K1430" s="10">
        <v>7</v>
      </c>
      <c r="L1430" s="55" t="str">
        <f>VLOOKUP(_stats[[#This Row],[tournament]],tournaments_n_rules[],2,0)</f>
        <v>УПК</v>
      </c>
      <c r="M1430" s="55" t="str">
        <f>VLOOKUP(_stats[[#This Row],[tournament]],tournaments_n_rules[],3,0)</f>
        <v>Лето 2026</v>
      </c>
      <c r="N1430" s="56">
        <f>VLOOKUP(_stats[[#This Row],[tournament]],tournaments_n_rules[],4,0)</f>
        <v>46194</v>
      </c>
      <c r="O1430" s="56">
        <f>VLOOKUP(_stats[[#This Row],[tournament]],tournaments_n_rules[],5,0)</f>
        <v>46265</v>
      </c>
    </row>
    <row r="1431" spans="1:15" x14ac:dyDescent="0.25">
      <c r="A1431" s="6">
        <v>46208</v>
      </c>
      <c r="B1431" s="7">
        <v>3</v>
      </c>
      <c r="C1431" s="7" t="s">
        <v>52</v>
      </c>
      <c r="D1431" s="10" t="str">
        <f>IFERROR(VLOOKUP(_stats[[#This Row],[player_id]],_players[[player_id]:[player_name]],2,0),"")</f>
        <v>Игорь Фомичев</v>
      </c>
      <c r="E1431" s="7">
        <v>1</v>
      </c>
      <c r="F1431" s="8">
        <v>2</v>
      </c>
      <c r="G1431" s="10">
        <f>SUMIFS(_teams[wins_on_date],_teams[date],_stats[[#This Row],[date]],_teams[team_number],_stats[[#This Row],[team_number]])</f>
        <v>4</v>
      </c>
      <c r="H1431" s="10">
        <f>SUMIFS(_teams[draws_on_date],_teams[date],_stats[[#This Row],[date]],_teams[team_number],_stats[[#This Row],[team_number]])</f>
        <v>2</v>
      </c>
      <c r="I1431" s="10">
        <v>0</v>
      </c>
      <c r="J1431" s="10">
        <v>0</v>
      </c>
      <c r="K1431" s="10">
        <v>7</v>
      </c>
      <c r="L1431" s="55" t="str">
        <f>VLOOKUP(_stats[[#This Row],[tournament]],tournaments_n_rules[],2,0)</f>
        <v>УПК</v>
      </c>
      <c r="M1431" s="55" t="str">
        <f>VLOOKUP(_stats[[#This Row],[tournament]],tournaments_n_rules[],3,0)</f>
        <v>Лето 2026</v>
      </c>
      <c r="N1431" s="56">
        <f>VLOOKUP(_stats[[#This Row],[tournament]],tournaments_n_rules[],4,0)</f>
        <v>46194</v>
      </c>
      <c r="O1431" s="56">
        <f>VLOOKUP(_stats[[#This Row],[tournament]],tournaments_n_rules[],5,0)</f>
        <v>46265</v>
      </c>
    </row>
    <row r="1432" spans="1:15" x14ac:dyDescent="0.25">
      <c r="A1432" s="6">
        <v>46208</v>
      </c>
      <c r="B1432" s="7">
        <v>2</v>
      </c>
      <c r="C1432" s="7" t="s">
        <v>38</v>
      </c>
      <c r="D1432" s="10" t="str">
        <f>IFERROR(VLOOKUP(_stats[[#This Row],[player_id]],_players[[player_id]:[player_name]],2,0),"")</f>
        <v>Эд (Сэм)</v>
      </c>
      <c r="E1432" s="7">
        <v>0</v>
      </c>
      <c r="F1432" s="8">
        <v>2</v>
      </c>
      <c r="G1432" s="10">
        <f>SUMIFS(_teams[wins_on_date],_teams[date],_stats[[#This Row],[date]],_teams[team_number],_stats[[#This Row],[team_number]])</f>
        <v>3</v>
      </c>
      <c r="H1432" s="10">
        <f>SUMIFS(_teams[draws_on_date],_teams[date],_stats[[#This Row],[date]],_teams[team_number],_stats[[#This Row],[team_number]])</f>
        <v>1</v>
      </c>
      <c r="I1432" s="10">
        <v>0</v>
      </c>
      <c r="J1432" s="10">
        <v>0</v>
      </c>
      <c r="K1432" s="10">
        <v>7</v>
      </c>
      <c r="L1432" s="55" t="str">
        <f>VLOOKUP(_stats[[#This Row],[tournament]],tournaments_n_rules[],2,0)</f>
        <v>УПК</v>
      </c>
      <c r="M1432" s="55" t="str">
        <f>VLOOKUP(_stats[[#This Row],[tournament]],tournaments_n_rules[],3,0)</f>
        <v>Лето 2026</v>
      </c>
      <c r="N1432" s="56">
        <f>VLOOKUP(_stats[[#This Row],[tournament]],tournaments_n_rules[],4,0)</f>
        <v>46194</v>
      </c>
      <c r="O1432" s="56">
        <f>VLOOKUP(_stats[[#This Row],[tournament]],tournaments_n_rules[],5,0)</f>
        <v>46265</v>
      </c>
    </row>
    <row r="1433" spans="1:15" x14ac:dyDescent="0.25">
      <c r="A1433" s="6">
        <v>46208</v>
      </c>
      <c r="B1433" s="7">
        <v>2</v>
      </c>
      <c r="C1433" s="7" t="s">
        <v>152</v>
      </c>
      <c r="D1433" s="10" t="str">
        <f>IFERROR(VLOOKUP(_stats[[#This Row],[player_id]],_players[[player_id]:[player_name]],2,0),"")</f>
        <v>Сурэн</v>
      </c>
      <c r="E1433" s="7">
        <v>0</v>
      </c>
      <c r="F1433" s="8">
        <v>0</v>
      </c>
      <c r="G1433" s="10">
        <f>SUMIFS(_teams[wins_on_date],_teams[date],_stats[[#This Row],[date]],_teams[team_number],_stats[[#This Row],[team_number]])</f>
        <v>3</v>
      </c>
      <c r="H1433" s="10">
        <f>SUMIFS(_teams[draws_on_date],_teams[date],_stats[[#This Row],[date]],_teams[team_number],_stats[[#This Row],[team_number]])</f>
        <v>1</v>
      </c>
      <c r="I1433" s="10">
        <v>0</v>
      </c>
      <c r="J1433" s="10">
        <v>0</v>
      </c>
      <c r="K1433" s="10">
        <v>7</v>
      </c>
      <c r="L1433" s="55" t="str">
        <f>VLOOKUP(_stats[[#This Row],[tournament]],tournaments_n_rules[],2,0)</f>
        <v>УПК</v>
      </c>
      <c r="M1433" s="55" t="str">
        <f>VLOOKUP(_stats[[#This Row],[tournament]],tournaments_n_rules[],3,0)</f>
        <v>Лето 2026</v>
      </c>
      <c r="N1433" s="56">
        <f>VLOOKUP(_stats[[#This Row],[tournament]],tournaments_n_rules[],4,0)</f>
        <v>46194</v>
      </c>
      <c r="O1433" s="56">
        <f>VLOOKUP(_stats[[#This Row],[tournament]],tournaments_n_rules[],5,0)</f>
        <v>46265</v>
      </c>
    </row>
    <row r="1434" spans="1:15" x14ac:dyDescent="0.25">
      <c r="A1434" s="6">
        <v>46208</v>
      </c>
      <c r="B1434" s="7">
        <v>1</v>
      </c>
      <c r="C1434" s="7" t="s">
        <v>190</v>
      </c>
      <c r="D1434" s="10" t="str">
        <f>IFERROR(VLOOKUP(_stats[[#This Row],[player_id]],_players[[player_id]:[player_name]],2,0),"")</f>
        <v>Никита (Сурэн+1)</v>
      </c>
      <c r="E1434" s="7">
        <v>2</v>
      </c>
      <c r="F1434" s="8">
        <v>0</v>
      </c>
      <c r="G1434" s="10">
        <f>SUMIFS(_teams[wins_on_date],_teams[date],_stats[[#This Row],[date]],_teams[team_number],_stats[[#This Row],[team_number]])</f>
        <v>2</v>
      </c>
      <c r="H1434" s="10">
        <f>SUMIFS(_teams[draws_on_date],_teams[date],_stats[[#This Row],[date]],_teams[team_number],_stats[[#This Row],[team_number]])</f>
        <v>2</v>
      </c>
      <c r="I1434" s="10">
        <v>0</v>
      </c>
      <c r="J1434" s="10">
        <v>0</v>
      </c>
      <c r="K1434" s="10">
        <v>7</v>
      </c>
      <c r="L1434" s="55" t="str">
        <f>VLOOKUP(_stats[[#This Row],[tournament]],tournaments_n_rules[],2,0)</f>
        <v>УПК</v>
      </c>
      <c r="M1434" s="55" t="str">
        <f>VLOOKUP(_stats[[#This Row],[tournament]],tournaments_n_rules[],3,0)</f>
        <v>Лето 2026</v>
      </c>
      <c r="N1434" s="56">
        <f>VLOOKUP(_stats[[#This Row],[tournament]],tournaments_n_rules[],4,0)</f>
        <v>46194</v>
      </c>
      <c r="O1434" s="56">
        <f>VLOOKUP(_stats[[#This Row],[tournament]],tournaments_n_rules[],5,0)</f>
        <v>46265</v>
      </c>
    </row>
    <row r="1435" spans="1:15" x14ac:dyDescent="0.25">
      <c r="A1435" s="6">
        <v>46208</v>
      </c>
      <c r="B1435" s="7">
        <v>2</v>
      </c>
      <c r="C1435" s="7" t="s">
        <v>189</v>
      </c>
      <c r="D1435" s="10" t="str">
        <f>IFERROR(VLOOKUP(_stats[[#This Row],[player_id]],_players[[player_id]:[player_name]],2,0),"")</f>
        <v>Миша (Сурэн+1)</v>
      </c>
      <c r="E1435" s="7">
        <v>0</v>
      </c>
      <c r="F1435" s="8">
        <v>0</v>
      </c>
      <c r="G1435" s="10">
        <f>SUMIFS(_teams[wins_on_date],_teams[date],_stats[[#This Row],[date]],_teams[team_number],_stats[[#This Row],[team_number]])</f>
        <v>3</v>
      </c>
      <c r="H1435" s="10">
        <f>SUMIFS(_teams[draws_on_date],_teams[date],_stats[[#This Row],[date]],_teams[team_number],_stats[[#This Row],[team_number]])</f>
        <v>1</v>
      </c>
      <c r="I1435" s="10">
        <v>0</v>
      </c>
      <c r="J1435" s="10">
        <v>0</v>
      </c>
      <c r="K1435" s="10">
        <v>7</v>
      </c>
      <c r="L1435" s="55" t="str">
        <f>VLOOKUP(_stats[[#This Row],[tournament]],tournaments_n_rules[],2,0)</f>
        <v>УПК</v>
      </c>
      <c r="M1435" s="55" t="str">
        <f>VLOOKUP(_stats[[#This Row],[tournament]],tournaments_n_rules[],3,0)</f>
        <v>Лето 2026</v>
      </c>
      <c r="N1435" s="56">
        <f>VLOOKUP(_stats[[#This Row],[tournament]],tournaments_n_rules[],4,0)</f>
        <v>46194</v>
      </c>
      <c r="O1435" s="56">
        <f>VLOOKUP(_stats[[#This Row],[tournament]],tournaments_n_rules[],5,0)</f>
        <v>46265</v>
      </c>
    </row>
    <row r="1436" spans="1:15" x14ac:dyDescent="0.25">
      <c r="A1436" s="6">
        <v>46208</v>
      </c>
      <c r="B1436" s="7">
        <v>2</v>
      </c>
      <c r="C1436" s="7" t="s">
        <v>76</v>
      </c>
      <c r="D1436" s="10" t="str">
        <f>IFERROR(VLOOKUP(_stats[[#This Row],[player_id]],_players[[player_id]:[player_name]],2,0),"")</f>
        <v>Даниил</v>
      </c>
      <c r="E1436" s="7">
        <v>2</v>
      </c>
      <c r="F1436" s="8">
        <v>0</v>
      </c>
      <c r="G1436" s="10">
        <f>SUMIFS(_teams[wins_on_date],_teams[date],_stats[[#This Row],[date]],_teams[team_number],_stats[[#This Row],[team_number]])</f>
        <v>3</v>
      </c>
      <c r="H1436" s="10">
        <f>SUMIFS(_teams[draws_on_date],_teams[date],_stats[[#This Row],[date]],_teams[team_number],_stats[[#This Row],[team_number]])</f>
        <v>1</v>
      </c>
      <c r="I1436" s="10">
        <v>0</v>
      </c>
      <c r="J1436" s="10">
        <v>0</v>
      </c>
      <c r="K1436" s="10">
        <v>7</v>
      </c>
      <c r="L1436" s="55" t="str">
        <f>VLOOKUP(_stats[[#This Row],[tournament]],tournaments_n_rules[],2,0)</f>
        <v>УПК</v>
      </c>
      <c r="M1436" s="55" t="str">
        <f>VLOOKUP(_stats[[#This Row],[tournament]],tournaments_n_rules[],3,0)</f>
        <v>Лето 2026</v>
      </c>
      <c r="N1436" s="56">
        <f>VLOOKUP(_stats[[#This Row],[tournament]],tournaments_n_rules[],4,0)</f>
        <v>46194</v>
      </c>
      <c r="O1436" s="56">
        <f>VLOOKUP(_stats[[#This Row],[tournament]],tournaments_n_rules[],5,0)</f>
        <v>46265</v>
      </c>
    </row>
  </sheetData>
  <phoneticPr fontId="7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200"/>
  <sheetViews>
    <sheetView topLeftCell="A151" workbookViewId="0">
      <selection activeCell="E199" sqref="E199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  <row r="198" spans="1:9" x14ac:dyDescent="0.25">
      <c r="A198" s="13">
        <v>46208</v>
      </c>
      <c r="B198" s="7">
        <v>1</v>
      </c>
      <c r="C198" s="8">
        <v>2</v>
      </c>
      <c r="D198" s="8">
        <v>2</v>
      </c>
      <c r="E198" s="7">
        <v>7</v>
      </c>
      <c r="F198" s="55" t="str">
        <f>VLOOKUP(_teams[[#This Row],[tournament]],tournaments_n_rules[],2,0)</f>
        <v>УПК</v>
      </c>
      <c r="G198" s="55" t="str">
        <f>VLOOKUP(_teams[[#This Row],[tournament]],tournaments_n_rules[],3,0)</f>
        <v>Лето 2026</v>
      </c>
      <c r="H198" s="56">
        <f>VLOOKUP(_teams[[#This Row],[tournament]],tournaments_n_rules[],4,0)</f>
        <v>46194</v>
      </c>
      <c r="I198" s="56">
        <f>VLOOKUP(_teams[[#This Row],[tournament]],tournaments_n_rules[],5,0)</f>
        <v>46265</v>
      </c>
    </row>
    <row r="199" spans="1:9" x14ac:dyDescent="0.25">
      <c r="A199" s="13">
        <v>46208</v>
      </c>
      <c r="B199" s="7">
        <v>2</v>
      </c>
      <c r="C199" s="8">
        <v>3</v>
      </c>
      <c r="D199" s="8">
        <v>1</v>
      </c>
      <c r="E199" s="7">
        <v>7</v>
      </c>
      <c r="F199" s="55" t="str">
        <f>VLOOKUP(_teams[[#This Row],[tournament]],tournaments_n_rules[],2,0)</f>
        <v>УПК</v>
      </c>
      <c r="G199" s="55" t="str">
        <f>VLOOKUP(_teams[[#This Row],[tournament]],tournaments_n_rules[],3,0)</f>
        <v>Лето 2026</v>
      </c>
      <c r="H199" s="56">
        <f>VLOOKUP(_teams[[#This Row],[tournament]],tournaments_n_rules[],4,0)</f>
        <v>46194</v>
      </c>
      <c r="I199" s="56">
        <f>VLOOKUP(_teams[[#This Row],[tournament]],tournaments_n_rules[],5,0)</f>
        <v>46265</v>
      </c>
    </row>
    <row r="200" spans="1:9" x14ac:dyDescent="0.25">
      <c r="A200" s="13">
        <v>46208</v>
      </c>
      <c r="B200" s="7">
        <v>3</v>
      </c>
      <c r="C200" s="8">
        <v>4</v>
      </c>
      <c r="D200" s="8">
        <v>2</v>
      </c>
      <c r="E200" s="7">
        <v>7</v>
      </c>
      <c r="F200" s="55" t="str">
        <f>VLOOKUP(_teams[[#This Row],[tournament]],tournaments_n_rules[],2,0)</f>
        <v>УПК</v>
      </c>
      <c r="G200" s="55" t="str">
        <f>VLOOKUP(_teams[[#This Row],[tournament]],tournaments_n_rules[],3,0)</f>
        <v>Лето 2026</v>
      </c>
      <c r="H200" s="56">
        <f>VLOOKUP(_teams[[#This Row],[tournament]],tournaments_n_rules[],4,0)</f>
        <v>46194</v>
      </c>
      <c r="I200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200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8"/>
  <sheetViews>
    <sheetView workbookViewId="0">
      <selection activeCell="C13" sqref="C13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103</v>
      </c>
      <c r="C8" s="45" t="s">
        <v>187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foxhatenoobs</cp:lastModifiedBy>
  <dcterms:created xsi:type="dcterms:W3CDTF">2015-06-05T18:19:34Z</dcterms:created>
  <dcterms:modified xsi:type="dcterms:W3CDTF">2026-07-05T13:30:26Z</dcterms:modified>
</cp:coreProperties>
</file>