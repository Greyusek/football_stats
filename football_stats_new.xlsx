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v\football_stats\"/>
    </mc:Choice>
  </mc:AlternateContent>
  <xr:revisionPtr revIDLastSave="0" documentId="13_ncr:1_{13576261-350A-48A7-B66F-AE3F1C107AA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95" i="2" l="1"/>
  <c r="G1495" i="2"/>
  <c r="H1495" i="2"/>
  <c r="L1495" i="2"/>
  <c r="M1495" i="2"/>
  <c r="N1495" i="2"/>
  <c r="O1495" i="2"/>
  <c r="D1494" i="2"/>
  <c r="G1494" i="2"/>
  <c r="H1494" i="2"/>
  <c r="L1494" i="2"/>
  <c r="M1494" i="2"/>
  <c r="N1494" i="2"/>
  <c r="O1494" i="2"/>
  <c r="D1493" i="2"/>
  <c r="G1493" i="2"/>
  <c r="H1493" i="2"/>
  <c r="F178" i="1" s="1"/>
  <c r="L1493" i="2"/>
  <c r="M1493" i="2"/>
  <c r="N1493" i="2"/>
  <c r="O1493" i="2"/>
  <c r="D1492" i="2"/>
  <c r="G1492" i="2"/>
  <c r="H1492" i="2"/>
  <c r="L1492" i="2"/>
  <c r="M1492" i="2"/>
  <c r="N1492" i="2"/>
  <c r="O1492" i="2"/>
  <c r="D1491" i="2"/>
  <c r="G1491" i="2"/>
  <c r="H1491" i="2"/>
  <c r="L1491" i="2"/>
  <c r="M1491" i="2"/>
  <c r="N1491" i="2"/>
  <c r="O1491" i="2"/>
  <c r="D1490" i="2"/>
  <c r="G1490" i="2"/>
  <c r="H1490" i="2"/>
  <c r="L1490" i="2"/>
  <c r="M1490" i="2"/>
  <c r="N1490" i="2"/>
  <c r="O1490" i="2"/>
  <c r="D1489" i="2"/>
  <c r="G1489" i="2"/>
  <c r="H1489" i="2"/>
  <c r="L1489" i="2"/>
  <c r="M1489" i="2"/>
  <c r="N1489" i="2"/>
  <c r="O1489" i="2"/>
  <c r="D1488" i="2"/>
  <c r="G1488" i="2"/>
  <c r="H1488" i="2"/>
  <c r="L1488" i="2"/>
  <c r="M1488" i="2"/>
  <c r="N1488" i="2"/>
  <c r="O1488" i="2"/>
  <c r="D1487" i="2"/>
  <c r="G1487" i="2"/>
  <c r="H1487" i="2"/>
  <c r="L1487" i="2"/>
  <c r="M1487" i="2"/>
  <c r="N1487" i="2"/>
  <c r="O1487" i="2"/>
  <c r="D1486" i="2"/>
  <c r="G1486" i="2"/>
  <c r="H1486" i="2"/>
  <c r="L1486" i="2"/>
  <c r="M1486" i="2"/>
  <c r="N1486" i="2"/>
  <c r="O1486" i="2"/>
  <c r="D1485" i="2"/>
  <c r="G1485" i="2"/>
  <c r="H1485" i="2"/>
  <c r="L1485" i="2"/>
  <c r="M1485" i="2"/>
  <c r="N1485" i="2"/>
  <c r="O1485" i="2"/>
  <c r="D1484" i="2"/>
  <c r="G1484" i="2"/>
  <c r="H1484" i="2"/>
  <c r="L1484" i="2"/>
  <c r="M1484" i="2"/>
  <c r="N1484" i="2"/>
  <c r="O1484" i="2"/>
  <c r="D1483" i="2"/>
  <c r="G1483" i="2"/>
  <c r="H1483" i="2"/>
  <c r="L1483" i="2"/>
  <c r="M1483" i="2"/>
  <c r="N1483" i="2"/>
  <c r="O1483" i="2"/>
  <c r="D1482" i="2"/>
  <c r="G1482" i="2"/>
  <c r="H1482" i="2"/>
  <c r="L1482" i="2"/>
  <c r="M1482" i="2"/>
  <c r="N1482" i="2"/>
  <c r="O1482" i="2"/>
  <c r="D1481" i="2"/>
  <c r="G1481" i="2"/>
  <c r="H1481" i="2"/>
  <c r="L1481" i="2"/>
  <c r="M1481" i="2"/>
  <c r="N1481" i="2"/>
  <c r="O1481" i="2"/>
  <c r="D1480" i="2"/>
  <c r="G1480" i="2"/>
  <c r="H1480" i="2"/>
  <c r="L1480" i="2"/>
  <c r="M1480" i="2"/>
  <c r="N1480" i="2"/>
  <c r="O1480" i="2"/>
  <c r="D1479" i="2"/>
  <c r="G1479" i="2"/>
  <c r="H1479" i="2"/>
  <c r="L1479" i="2"/>
  <c r="M1479" i="2"/>
  <c r="N1479" i="2"/>
  <c r="O1479" i="2"/>
  <c r="D1478" i="2"/>
  <c r="G1478" i="2"/>
  <c r="H1478" i="2"/>
  <c r="L1478" i="2"/>
  <c r="M1478" i="2"/>
  <c r="N1478" i="2"/>
  <c r="O1478" i="2"/>
  <c r="D1477" i="2"/>
  <c r="G1477" i="2"/>
  <c r="H1477" i="2"/>
  <c r="L1477" i="2"/>
  <c r="M1477" i="2"/>
  <c r="N1477" i="2"/>
  <c r="O1477" i="2"/>
  <c r="D1476" i="2"/>
  <c r="G1476" i="2"/>
  <c r="H1476" i="2"/>
  <c r="L1476" i="2"/>
  <c r="M1476" i="2"/>
  <c r="N1476" i="2"/>
  <c r="O1476" i="2"/>
  <c r="D1475" i="2"/>
  <c r="G1475" i="2"/>
  <c r="H1475" i="2"/>
  <c r="L1475" i="2"/>
  <c r="M1475" i="2"/>
  <c r="N1475" i="2"/>
  <c r="O1475" i="2"/>
  <c r="D1474" i="2"/>
  <c r="G1474" i="2"/>
  <c r="H1474" i="2"/>
  <c r="L1474" i="2"/>
  <c r="M1474" i="2"/>
  <c r="N1474" i="2"/>
  <c r="O1474" i="2"/>
  <c r="C180" i="1"/>
  <c r="D180" i="1"/>
  <c r="E180" i="1"/>
  <c r="F180" i="1"/>
  <c r="G180" i="1"/>
  <c r="C179" i="1"/>
  <c r="D179" i="1"/>
  <c r="E179" i="1"/>
  <c r="F179" i="1"/>
  <c r="G179" i="1"/>
  <c r="C178" i="1"/>
  <c r="D178" i="1"/>
  <c r="E178" i="1"/>
  <c r="G178" i="1"/>
  <c r="F208" i="3"/>
  <c r="G208" i="3"/>
  <c r="H208" i="3"/>
  <c r="I208" i="3"/>
  <c r="F207" i="3"/>
  <c r="G207" i="3"/>
  <c r="H207" i="3"/>
  <c r="I207" i="3"/>
  <c r="F206" i="3"/>
  <c r="G206" i="3"/>
  <c r="H206" i="3"/>
  <c r="I206" i="3"/>
  <c r="D1473" i="2"/>
  <c r="G1473" i="2"/>
  <c r="H1473" i="2"/>
  <c r="L1473" i="2"/>
  <c r="M1473" i="2"/>
  <c r="N1473" i="2"/>
  <c r="O1473" i="2"/>
  <c r="C177" i="1"/>
  <c r="D177" i="1"/>
  <c r="G177" i="1"/>
  <c r="C176" i="1"/>
  <c r="D176" i="1"/>
  <c r="G176" i="1"/>
  <c r="C175" i="1"/>
  <c r="D175" i="1"/>
  <c r="G175" i="1"/>
  <c r="D1472" i="2"/>
  <c r="G1472" i="2"/>
  <c r="H1472" i="2"/>
  <c r="L1472" i="2"/>
  <c r="M1472" i="2"/>
  <c r="N1472" i="2"/>
  <c r="O1472" i="2"/>
  <c r="D1471" i="2"/>
  <c r="G1471" i="2"/>
  <c r="H1471" i="2"/>
  <c r="L1471" i="2"/>
  <c r="M1471" i="2"/>
  <c r="N1471" i="2"/>
  <c r="O1471" i="2"/>
  <c r="D1470" i="2"/>
  <c r="G1470" i="2"/>
  <c r="E173" i="1" s="1"/>
  <c r="H1470" i="2"/>
  <c r="F173" i="1" s="1"/>
  <c r="L1470" i="2"/>
  <c r="M1470" i="2"/>
  <c r="N1470" i="2"/>
  <c r="O1470" i="2"/>
  <c r="D1469" i="2"/>
  <c r="G1469" i="2"/>
  <c r="H1469" i="2"/>
  <c r="L1469" i="2"/>
  <c r="M1469" i="2"/>
  <c r="N1469" i="2"/>
  <c r="O1469" i="2"/>
  <c r="D1468" i="2"/>
  <c r="G1468" i="2"/>
  <c r="E171" i="1" s="1"/>
  <c r="H1468" i="2"/>
  <c r="F171" i="1" s="1"/>
  <c r="L1468" i="2"/>
  <c r="M1468" i="2"/>
  <c r="N1468" i="2"/>
  <c r="O1468" i="2"/>
  <c r="D1467" i="2"/>
  <c r="G1467" i="2"/>
  <c r="E170" i="1" s="1"/>
  <c r="H1467" i="2"/>
  <c r="F170" i="1" s="1"/>
  <c r="L1467" i="2"/>
  <c r="M1467" i="2"/>
  <c r="N1467" i="2"/>
  <c r="O1467" i="2"/>
  <c r="D1466" i="2"/>
  <c r="G1466" i="2"/>
  <c r="E169" i="1" s="1"/>
  <c r="H1466" i="2"/>
  <c r="F169" i="1" s="1"/>
  <c r="L1466" i="2"/>
  <c r="M1466" i="2"/>
  <c r="N1466" i="2"/>
  <c r="O1466" i="2"/>
  <c r="D1465" i="2"/>
  <c r="G1465" i="2"/>
  <c r="H1465" i="2"/>
  <c r="F168" i="1" s="1"/>
  <c r="L1465" i="2"/>
  <c r="M1465" i="2"/>
  <c r="N1465" i="2"/>
  <c r="O1465" i="2"/>
  <c r="D1464" i="2"/>
  <c r="G1464" i="2"/>
  <c r="E177" i="1" s="1"/>
  <c r="H1464" i="2"/>
  <c r="F177" i="1" s="1"/>
  <c r="L1464" i="2"/>
  <c r="M1464" i="2"/>
  <c r="N1464" i="2"/>
  <c r="O1464" i="2"/>
  <c r="D1463" i="2"/>
  <c r="G1463" i="2"/>
  <c r="E176" i="1" s="1"/>
  <c r="H1463" i="2"/>
  <c r="F176" i="1" s="1"/>
  <c r="L1463" i="2"/>
  <c r="M1463" i="2"/>
  <c r="N1463" i="2"/>
  <c r="O1463" i="2"/>
  <c r="D1462" i="2"/>
  <c r="G1462" i="2"/>
  <c r="E175" i="1" s="1"/>
  <c r="H1462" i="2"/>
  <c r="F175" i="1" s="1"/>
  <c r="L1462" i="2"/>
  <c r="M1462" i="2"/>
  <c r="N1462" i="2"/>
  <c r="O1462" i="2"/>
  <c r="D1461" i="2"/>
  <c r="G1461" i="2"/>
  <c r="E167" i="1" s="1"/>
  <c r="H1461" i="2"/>
  <c r="L1461" i="2"/>
  <c r="M1461" i="2"/>
  <c r="N1461" i="2"/>
  <c r="O1461" i="2"/>
  <c r="D1460" i="2"/>
  <c r="G1460" i="2"/>
  <c r="E166" i="1" s="1"/>
  <c r="H1460" i="2"/>
  <c r="F166" i="1" s="1"/>
  <c r="L1460" i="2"/>
  <c r="M1460" i="2"/>
  <c r="N1460" i="2"/>
  <c r="O1460" i="2"/>
  <c r="D1459" i="2"/>
  <c r="G1459" i="2"/>
  <c r="H1459" i="2"/>
  <c r="L1459" i="2"/>
  <c r="M1459" i="2"/>
  <c r="N1459" i="2"/>
  <c r="O1459" i="2"/>
  <c r="D1458" i="2"/>
  <c r="G1458" i="2"/>
  <c r="H1458" i="2"/>
  <c r="L1458" i="2"/>
  <c r="M1458" i="2"/>
  <c r="N1458" i="2"/>
  <c r="O1458" i="2"/>
  <c r="D1457" i="2"/>
  <c r="G1457" i="2"/>
  <c r="H1457" i="2"/>
  <c r="L1457" i="2"/>
  <c r="M1457" i="2"/>
  <c r="N1457" i="2"/>
  <c r="O1457" i="2"/>
  <c r="D1456" i="2"/>
  <c r="G1456" i="2"/>
  <c r="H1456" i="2"/>
  <c r="L1456" i="2"/>
  <c r="M1456" i="2"/>
  <c r="N1456" i="2"/>
  <c r="O1456" i="2"/>
  <c r="D1455" i="2"/>
  <c r="G1455" i="2"/>
  <c r="E165" i="1" s="1"/>
  <c r="H1455" i="2"/>
  <c r="L1455" i="2"/>
  <c r="M1455" i="2"/>
  <c r="N1455" i="2"/>
  <c r="O1455" i="2"/>
  <c r="D1454" i="2"/>
  <c r="G1454" i="2"/>
  <c r="E164" i="1" s="1"/>
  <c r="H1454" i="2"/>
  <c r="F164" i="1" s="1"/>
  <c r="L1454" i="2"/>
  <c r="M1454" i="2"/>
  <c r="N1454" i="2"/>
  <c r="O1454" i="2"/>
  <c r="D1453" i="2"/>
  <c r="G1453" i="2"/>
  <c r="H1453" i="2"/>
  <c r="L1453" i="2"/>
  <c r="M1453" i="2"/>
  <c r="N1453" i="2"/>
  <c r="O1453" i="2"/>
  <c r="D1452" i="2"/>
  <c r="G1452" i="2"/>
  <c r="H1452" i="2"/>
  <c r="L1452" i="2"/>
  <c r="M1452" i="2"/>
  <c r="N1452" i="2"/>
  <c r="O1452" i="2"/>
  <c r="D1451" i="2"/>
  <c r="G1451" i="2"/>
  <c r="H1451" i="2"/>
  <c r="L1451" i="2"/>
  <c r="M1451" i="2"/>
  <c r="N1451" i="2"/>
  <c r="O1451" i="2"/>
  <c r="D1450" i="2"/>
  <c r="G1450" i="2"/>
  <c r="H1450" i="2"/>
  <c r="L1450" i="2"/>
  <c r="M1450" i="2"/>
  <c r="N1450" i="2"/>
  <c r="O1450" i="2"/>
  <c r="D1449" i="2"/>
  <c r="G1449" i="2"/>
  <c r="H1449" i="2"/>
  <c r="L1449" i="2"/>
  <c r="M1449" i="2"/>
  <c r="N1449" i="2"/>
  <c r="O1449" i="2"/>
  <c r="D1448" i="2"/>
  <c r="G1448" i="2"/>
  <c r="H1448" i="2"/>
  <c r="L1448" i="2"/>
  <c r="M1448" i="2"/>
  <c r="N1448" i="2"/>
  <c r="O1448" i="2"/>
  <c r="D1447" i="2"/>
  <c r="G1447" i="2"/>
  <c r="H1447" i="2"/>
  <c r="L1447" i="2"/>
  <c r="M1447" i="2"/>
  <c r="N1447" i="2"/>
  <c r="O1447" i="2"/>
  <c r="D1446" i="2"/>
  <c r="G1446" i="2"/>
  <c r="H1446" i="2"/>
  <c r="L1446" i="2"/>
  <c r="M1446" i="2"/>
  <c r="N1446" i="2"/>
  <c r="O1446" i="2"/>
  <c r="D1445" i="2"/>
  <c r="G1445" i="2"/>
  <c r="H1445" i="2"/>
  <c r="L1445" i="2"/>
  <c r="M1445" i="2"/>
  <c r="N1445" i="2"/>
  <c r="O1445" i="2"/>
  <c r="D1444" i="2"/>
  <c r="G1444" i="2"/>
  <c r="H1444" i="2"/>
  <c r="L1444" i="2"/>
  <c r="M1444" i="2"/>
  <c r="N1444" i="2"/>
  <c r="O1444" i="2"/>
  <c r="D1443" i="2"/>
  <c r="G1443" i="2"/>
  <c r="H1443" i="2"/>
  <c r="L1443" i="2"/>
  <c r="M1443" i="2"/>
  <c r="N1443" i="2"/>
  <c r="O1443" i="2"/>
  <c r="D1442" i="2"/>
  <c r="G1442" i="2"/>
  <c r="E163" i="1" s="1"/>
  <c r="H1442" i="2"/>
  <c r="F163" i="1" s="1"/>
  <c r="L1442" i="2"/>
  <c r="M1442" i="2"/>
  <c r="N1442" i="2"/>
  <c r="O1442" i="2"/>
  <c r="D1441" i="2"/>
  <c r="G1441" i="2"/>
  <c r="H1441" i="2"/>
  <c r="L1441" i="2"/>
  <c r="M1441" i="2"/>
  <c r="N1441" i="2"/>
  <c r="O1441" i="2"/>
  <c r="D1440" i="2"/>
  <c r="G1440" i="2"/>
  <c r="H1440" i="2"/>
  <c r="L1440" i="2"/>
  <c r="M1440" i="2"/>
  <c r="N1440" i="2"/>
  <c r="O1440" i="2"/>
  <c r="D1439" i="2"/>
  <c r="G1439" i="2"/>
  <c r="H1439" i="2"/>
  <c r="L1439" i="2"/>
  <c r="M1439" i="2"/>
  <c r="N1439" i="2"/>
  <c r="O1439" i="2"/>
  <c r="D1438" i="2"/>
  <c r="G1438" i="2"/>
  <c r="H1438" i="2"/>
  <c r="L1438" i="2"/>
  <c r="M1438" i="2"/>
  <c r="N1438" i="2"/>
  <c r="O1438" i="2"/>
  <c r="D1437" i="2"/>
  <c r="G1437" i="2"/>
  <c r="H1437" i="2"/>
  <c r="L1437" i="2"/>
  <c r="M1437" i="2"/>
  <c r="N1437" i="2"/>
  <c r="O1437" i="2"/>
  <c r="C174" i="1"/>
  <c r="D174" i="1"/>
  <c r="E174" i="1"/>
  <c r="F174" i="1"/>
  <c r="G174" i="1"/>
  <c r="C173" i="1"/>
  <c r="D173" i="1"/>
  <c r="G173" i="1"/>
  <c r="C172" i="1"/>
  <c r="D172" i="1"/>
  <c r="E172" i="1"/>
  <c r="F172" i="1"/>
  <c r="G172" i="1"/>
  <c r="C171" i="1"/>
  <c r="D171" i="1"/>
  <c r="G171" i="1"/>
  <c r="C170" i="1"/>
  <c r="D170" i="1"/>
  <c r="G170" i="1"/>
  <c r="C169" i="1"/>
  <c r="D169" i="1"/>
  <c r="G169" i="1"/>
  <c r="C168" i="1"/>
  <c r="D168" i="1"/>
  <c r="E168" i="1"/>
  <c r="G168" i="1"/>
  <c r="C167" i="1"/>
  <c r="D167" i="1"/>
  <c r="F167" i="1"/>
  <c r="G167" i="1"/>
  <c r="C166" i="1"/>
  <c r="D166" i="1"/>
  <c r="G166" i="1"/>
  <c r="C165" i="1"/>
  <c r="D165" i="1"/>
  <c r="F165" i="1"/>
  <c r="G165" i="1"/>
  <c r="C164" i="1"/>
  <c r="D164" i="1"/>
  <c r="G164" i="1"/>
  <c r="C163" i="1"/>
  <c r="D163" i="1"/>
  <c r="G163" i="1"/>
  <c r="F205" i="3"/>
  <c r="G205" i="3"/>
  <c r="H205" i="3"/>
  <c r="I205" i="3"/>
  <c r="F204" i="3"/>
  <c r="G204" i="3"/>
  <c r="H204" i="3"/>
  <c r="I204" i="3"/>
  <c r="F203" i="3"/>
  <c r="G203" i="3"/>
  <c r="H203" i="3"/>
  <c r="I203" i="3"/>
  <c r="F202" i="3"/>
  <c r="G202" i="3"/>
  <c r="H202" i="3"/>
  <c r="I202" i="3"/>
  <c r="F201" i="3"/>
  <c r="G201" i="3"/>
  <c r="H201" i="3"/>
  <c r="I201" i="3"/>
  <c r="D1436" i="2"/>
  <c r="G1436" i="2"/>
  <c r="H1436" i="2"/>
  <c r="L1436" i="2"/>
  <c r="M1436" i="2"/>
  <c r="N1436" i="2"/>
  <c r="O1436" i="2"/>
  <c r="D1435" i="2"/>
  <c r="G1435" i="2"/>
  <c r="H1435" i="2"/>
  <c r="L1435" i="2"/>
  <c r="M1435" i="2"/>
  <c r="N1435" i="2"/>
  <c r="O1435" i="2"/>
  <c r="D1434" i="2"/>
  <c r="G1434" i="2"/>
  <c r="H1434" i="2"/>
  <c r="L1434" i="2"/>
  <c r="M1434" i="2"/>
  <c r="N1434" i="2"/>
  <c r="O1434" i="2"/>
  <c r="D1433" i="2"/>
  <c r="G1433" i="2"/>
  <c r="H1433" i="2"/>
  <c r="L1433" i="2"/>
  <c r="M1433" i="2"/>
  <c r="N1433" i="2"/>
  <c r="O1433" i="2"/>
  <c r="D1432" i="2"/>
  <c r="G1432" i="2"/>
  <c r="H1432" i="2"/>
  <c r="L1432" i="2"/>
  <c r="M1432" i="2"/>
  <c r="N1432" i="2"/>
  <c r="O1432" i="2"/>
  <c r="D1431" i="2"/>
  <c r="G1431" i="2"/>
  <c r="H1431" i="2"/>
  <c r="L1431" i="2"/>
  <c r="M1431" i="2"/>
  <c r="N1431" i="2"/>
  <c r="O1431" i="2"/>
  <c r="D1430" i="2"/>
  <c r="G1430" i="2"/>
  <c r="H1430" i="2"/>
  <c r="L1430" i="2"/>
  <c r="M1430" i="2"/>
  <c r="N1430" i="2"/>
  <c r="O1430" i="2"/>
  <c r="D1429" i="2"/>
  <c r="G1429" i="2"/>
  <c r="H1429" i="2"/>
  <c r="L1429" i="2"/>
  <c r="M1429" i="2"/>
  <c r="N1429" i="2"/>
  <c r="O1429" i="2"/>
  <c r="D1428" i="2"/>
  <c r="G1428" i="2"/>
  <c r="H1428" i="2"/>
  <c r="L1428" i="2"/>
  <c r="M1428" i="2"/>
  <c r="N1428" i="2"/>
  <c r="O1428" i="2"/>
  <c r="D1427" i="2"/>
  <c r="G1427" i="2"/>
  <c r="H1427" i="2"/>
  <c r="L1427" i="2"/>
  <c r="M1427" i="2"/>
  <c r="N1427" i="2"/>
  <c r="O1427" i="2"/>
  <c r="D1426" i="2"/>
  <c r="G1426" i="2"/>
  <c r="H1426" i="2"/>
  <c r="L1426" i="2"/>
  <c r="M1426" i="2"/>
  <c r="N1426" i="2"/>
  <c r="O1426" i="2"/>
  <c r="D1425" i="2"/>
  <c r="G1425" i="2"/>
  <c r="H1425" i="2"/>
  <c r="L1425" i="2"/>
  <c r="M1425" i="2"/>
  <c r="N1425" i="2"/>
  <c r="O1425" i="2"/>
  <c r="D1424" i="2"/>
  <c r="G1424" i="2"/>
  <c r="H1424" i="2"/>
  <c r="L1424" i="2"/>
  <c r="M1424" i="2"/>
  <c r="N1424" i="2"/>
  <c r="O1424" i="2"/>
  <c r="D1423" i="2"/>
  <c r="G1423" i="2"/>
  <c r="H1423" i="2"/>
  <c r="L1423" i="2"/>
  <c r="M1423" i="2"/>
  <c r="N1423" i="2"/>
  <c r="O1423" i="2"/>
  <c r="D1422" i="2"/>
  <c r="G1422" i="2"/>
  <c r="H1422" i="2"/>
  <c r="L1422" i="2"/>
  <c r="M1422" i="2"/>
  <c r="N1422" i="2"/>
  <c r="O1422" i="2"/>
  <c r="D1421" i="2"/>
  <c r="G1421" i="2"/>
  <c r="H1421" i="2"/>
  <c r="L1421" i="2"/>
  <c r="M1421" i="2"/>
  <c r="N1421" i="2"/>
  <c r="O1421" i="2"/>
  <c r="D1420" i="2"/>
  <c r="G1420" i="2"/>
  <c r="H1420" i="2"/>
  <c r="L1420" i="2"/>
  <c r="M1420" i="2"/>
  <c r="N1420" i="2"/>
  <c r="O1420" i="2"/>
  <c r="D1419" i="2"/>
  <c r="G1419" i="2"/>
  <c r="H1419" i="2"/>
  <c r="L1419" i="2"/>
  <c r="M1419" i="2"/>
  <c r="N1419" i="2"/>
  <c r="O1419" i="2"/>
  <c r="D1418" i="2"/>
  <c r="G1418" i="2"/>
  <c r="H1418" i="2"/>
  <c r="L1418" i="2"/>
  <c r="M1418" i="2"/>
  <c r="N1418" i="2"/>
  <c r="O1418" i="2"/>
  <c r="D1417" i="2"/>
  <c r="G1417" i="2"/>
  <c r="H1417" i="2"/>
  <c r="L1417" i="2"/>
  <c r="M1417" i="2"/>
  <c r="N1417" i="2"/>
  <c r="O1417" i="2"/>
  <c r="D1416" i="2"/>
  <c r="G1416" i="2"/>
  <c r="H1416" i="2"/>
  <c r="L1416" i="2"/>
  <c r="M1416" i="2"/>
  <c r="N1416" i="2"/>
  <c r="O1416" i="2"/>
  <c r="D1415" i="2"/>
  <c r="G1415" i="2"/>
  <c r="H1415" i="2"/>
  <c r="L1415" i="2"/>
  <c r="M1415" i="2"/>
  <c r="N1415" i="2"/>
  <c r="O1415" i="2"/>
  <c r="F200" i="3"/>
  <c r="G200" i="3"/>
  <c r="H200" i="3"/>
  <c r="I200" i="3"/>
  <c r="F199" i="3"/>
  <c r="G199" i="3"/>
  <c r="H199" i="3"/>
  <c r="I199" i="3"/>
  <c r="F198" i="3"/>
  <c r="G198" i="3"/>
  <c r="H198" i="3"/>
  <c r="I198" i="3"/>
  <c r="D1414" i="2"/>
  <c r="G1414" i="2"/>
  <c r="H1414" i="2"/>
  <c r="L1414" i="2"/>
  <c r="M1414" i="2"/>
  <c r="N1414" i="2"/>
  <c r="O1414" i="2"/>
  <c r="D1413" i="2"/>
  <c r="G1413" i="2"/>
  <c r="H1413" i="2"/>
  <c r="L1413" i="2"/>
  <c r="M1413" i="2"/>
  <c r="N1413" i="2"/>
  <c r="O1413" i="2"/>
  <c r="D1412" i="2"/>
  <c r="G1412" i="2"/>
  <c r="H1412" i="2"/>
  <c r="L1412" i="2"/>
  <c r="M1412" i="2"/>
  <c r="N1412" i="2"/>
  <c r="O1412" i="2"/>
  <c r="D1411" i="2"/>
  <c r="G1411" i="2"/>
  <c r="H1411" i="2"/>
  <c r="L1411" i="2"/>
  <c r="M1411" i="2"/>
  <c r="N1411" i="2"/>
  <c r="O1411" i="2"/>
  <c r="D1410" i="2"/>
  <c r="G1410" i="2"/>
  <c r="H1410" i="2"/>
  <c r="L1410" i="2"/>
  <c r="M1410" i="2"/>
  <c r="N1410" i="2"/>
  <c r="O1410" i="2"/>
  <c r="D1409" i="2"/>
  <c r="G1409" i="2"/>
  <c r="H1409" i="2"/>
  <c r="L1409" i="2"/>
  <c r="M1409" i="2"/>
  <c r="N1409" i="2"/>
  <c r="O1409" i="2"/>
  <c r="D1408" i="2"/>
  <c r="G1408" i="2"/>
  <c r="H1408" i="2"/>
  <c r="L1408" i="2"/>
  <c r="M1408" i="2"/>
  <c r="N1408" i="2"/>
  <c r="O1408" i="2"/>
  <c r="D1407" i="2"/>
  <c r="G1407" i="2"/>
  <c r="E162" i="1" s="1"/>
  <c r="H1407" i="2"/>
  <c r="F162" i="1" s="1"/>
  <c r="L1407" i="2"/>
  <c r="M1407" i="2"/>
  <c r="N1407" i="2"/>
  <c r="O1407" i="2"/>
  <c r="D1406" i="2"/>
  <c r="G1406" i="2"/>
  <c r="E161" i="1" s="1"/>
  <c r="H1406" i="2"/>
  <c r="F161" i="1" s="1"/>
  <c r="L1406" i="2"/>
  <c r="M1406" i="2"/>
  <c r="N1406" i="2"/>
  <c r="O1406" i="2"/>
  <c r="D1405" i="2"/>
  <c r="G1405" i="2"/>
  <c r="E160" i="1" s="1"/>
  <c r="H1405" i="2"/>
  <c r="F160" i="1" s="1"/>
  <c r="L1405" i="2"/>
  <c r="M1405" i="2"/>
  <c r="N1405" i="2"/>
  <c r="O1405" i="2"/>
  <c r="D1404" i="2"/>
  <c r="G1404" i="2"/>
  <c r="E159" i="1" s="1"/>
  <c r="H1404" i="2"/>
  <c r="F159" i="1" s="1"/>
  <c r="L1404" i="2"/>
  <c r="M1404" i="2"/>
  <c r="N1404" i="2"/>
  <c r="O1404" i="2"/>
  <c r="D1403" i="2"/>
  <c r="G1403" i="2"/>
  <c r="H1403" i="2"/>
  <c r="L1403" i="2"/>
  <c r="M1403" i="2"/>
  <c r="N1403" i="2"/>
  <c r="O1403" i="2"/>
  <c r="D1402" i="2"/>
  <c r="G1402" i="2"/>
  <c r="H1402" i="2"/>
  <c r="L1402" i="2"/>
  <c r="M1402" i="2"/>
  <c r="N1402" i="2"/>
  <c r="O1402" i="2"/>
  <c r="D1401" i="2"/>
  <c r="G1401" i="2"/>
  <c r="H1401" i="2"/>
  <c r="L1401" i="2"/>
  <c r="M1401" i="2"/>
  <c r="N1401" i="2"/>
  <c r="O1401" i="2"/>
  <c r="D1400" i="2"/>
  <c r="G1400" i="2"/>
  <c r="H1400" i="2"/>
  <c r="L1400" i="2"/>
  <c r="M1400" i="2"/>
  <c r="N1400" i="2"/>
  <c r="O1400" i="2"/>
  <c r="D1399" i="2"/>
  <c r="G1399" i="2"/>
  <c r="H1399" i="2"/>
  <c r="L1399" i="2"/>
  <c r="M1399" i="2"/>
  <c r="N1399" i="2"/>
  <c r="O1399" i="2"/>
  <c r="D1398" i="2"/>
  <c r="G1398" i="2"/>
  <c r="H1398" i="2"/>
  <c r="L1398" i="2"/>
  <c r="M1398" i="2"/>
  <c r="N1398" i="2"/>
  <c r="O1398" i="2"/>
  <c r="D1397" i="2"/>
  <c r="G1397" i="2"/>
  <c r="H1397" i="2"/>
  <c r="L1397" i="2"/>
  <c r="M1397" i="2"/>
  <c r="N1397" i="2"/>
  <c r="O1397" i="2"/>
  <c r="D1396" i="2"/>
  <c r="G1396" i="2"/>
  <c r="H1396" i="2"/>
  <c r="L1396" i="2"/>
  <c r="M1396" i="2"/>
  <c r="N1396" i="2"/>
  <c r="O1396" i="2"/>
  <c r="D1395" i="2"/>
  <c r="G1395" i="2"/>
  <c r="H1395" i="2"/>
  <c r="L1395" i="2"/>
  <c r="M1395" i="2"/>
  <c r="N1395" i="2"/>
  <c r="O1395" i="2"/>
  <c r="D1394" i="2"/>
  <c r="G1394" i="2"/>
  <c r="H1394" i="2"/>
  <c r="L1394" i="2"/>
  <c r="M1394" i="2"/>
  <c r="N1394" i="2"/>
  <c r="O1394" i="2"/>
  <c r="D1393" i="2"/>
  <c r="G1393" i="2"/>
  <c r="H1393" i="2"/>
  <c r="L1393" i="2"/>
  <c r="M1393" i="2"/>
  <c r="N1393" i="2"/>
  <c r="O1393" i="2"/>
  <c r="D1392" i="2"/>
  <c r="G1392" i="2"/>
  <c r="H1392" i="2"/>
  <c r="L1392" i="2"/>
  <c r="M1392" i="2"/>
  <c r="N1392" i="2"/>
  <c r="O1392" i="2"/>
  <c r="D1391" i="2"/>
  <c r="G1391" i="2"/>
  <c r="H1391" i="2"/>
  <c r="L1391" i="2"/>
  <c r="M1391" i="2"/>
  <c r="N1391" i="2"/>
  <c r="O1391" i="2"/>
  <c r="D1390" i="2"/>
  <c r="G1390" i="2"/>
  <c r="H1390" i="2"/>
  <c r="L1390" i="2"/>
  <c r="M1390" i="2"/>
  <c r="N1390" i="2"/>
  <c r="O1390" i="2"/>
  <c r="D1389" i="2"/>
  <c r="G1389" i="2"/>
  <c r="H1389" i="2"/>
  <c r="L1389" i="2"/>
  <c r="M1389" i="2"/>
  <c r="N1389" i="2"/>
  <c r="O1389" i="2"/>
  <c r="D1388" i="2"/>
  <c r="G1388" i="2"/>
  <c r="H1388" i="2"/>
  <c r="L1388" i="2"/>
  <c r="M1388" i="2"/>
  <c r="N1388" i="2"/>
  <c r="O1388" i="2"/>
  <c r="D1387" i="2"/>
  <c r="G1387" i="2"/>
  <c r="H1387" i="2"/>
  <c r="L1387" i="2"/>
  <c r="M1387" i="2"/>
  <c r="N1387" i="2"/>
  <c r="O1387" i="2"/>
  <c r="D1386" i="2"/>
  <c r="G1386" i="2"/>
  <c r="H1386" i="2"/>
  <c r="L1386" i="2"/>
  <c r="M1386" i="2"/>
  <c r="N1386" i="2"/>
  <c r="O1386" i="2"/>
  <c r="D1385" i="2"/>
  <c r="G1385" i="2"/>
  <c r="H1385" i="2"/>
  <c r="L1385" i="2"/>
  <c r="M1385" i="2"/>
  <c r="N1385" i="2"/>
  <c r="O1385" i="2"/>
  <c r="F197" i="3"/>
  <c r="G197" i="3"/>
  <c r="H197" i="3"/>
  <c r="I197" i="3"/>
  <c r="F196" i="3"/>
  <c r="G196" i="3"/>
  <c r="H196" i="3"/>
  <c r="I196" i="3"/>
  <c r="F195" i="3"/>
  <c r="G195" i="3"/>
  <c r="H195" i="3"/>
  <c r="I195" i="3"/>
  <c r="F194" i="3"/>
  <c r="G194" i="3"/>
  <c r="H194" i="3"/>
  <c r="I194" i="3"/>
  <c r="C162" i="1"/>
  <c r="D162" i="1"/>
  <c r="G162" i="1"/>
  <c r="C161" i="1"/>
  <c r="D161" i="1"/>
  <c r="G161" i="1"/>
  <c r="C160" i="1"/>
  <c r="D160" i="1"/>
  <c r="G160" i="1"/>
  <c r="C159" i="1"/>
  <c r="D159" i="1"/>
  <c r="G159" i="1"/>
  <c r="D1384" i="2"/>
  <c r="G1384" i="2"/>
  <c r="H1384" i="2"/>
  <c r="L1384" i="2"/>
  <c r="M1384" i="2"/>
  <c r="N1384" i="2"/>
  <c r="O1384" i="2"/>
  <c r="D1383" i="2"/>
  <c r="G1383" i="2"/>
  <c r="H1383" i="2"/>
  <c r="L1383" i="2"/>
  <c r="M1383" i="2"/>
  <c r="N1383" i="2"/>
  <c r="O1383" i="2"/>
  <c r="D1382" i="2"/>
  <c r="G1382" i="2"/>
  <c r="H1382" i="2"/>
  <c r="L1382" i="2"/>
  <c r="M1382" i="2"/>
  <c r="N1382" i="2"/>
  <c r="O1382" i="2"/>
  <c r="D1381" i="2"/>
  <c r="G1381" i="2"/>
  <c r="H1381" i="2"/>
  <c r="L1381" i="2"/>
  <c r="M1381" i="2"/>
  <c r="N1381" i="2"/>
  <c r="O1381" i="2"/>
  <c r="D1380" i="2"/>
  <c r="G1380" i="2"/>
  <c r="H1380" i="2"/>
  <c r="L1380" i="2"/>
  <c r="M1380" i="2"/>
  <c r="N1380" i="2"/>
  <c r="O1380" i="2"/>
  <c r="D1379" i="2"/>
  <c r="G1379" i="2"/>
  <c r="H1379" i="2"/>
  <c r="L1379" i="2"/>
  <c r="M1379" i="2"/>
  <c r="N1379" i="2"/>
  <c r="O1379" i="2"/>
  <c r="D1378" i="2"/>
  <c r="G1378" i="2"/>
  <c r="H1378" i="2"/>
  <c r="L1378" i="2"/>
  <c r="M1378" i="2"/>
  <c r="N1378" i="2"/>
  <c r="O1378" i="2"/>
  <c r="D1377" i="2"/>
  <c r="G1377" i="2"/>
  <c r="H1377" i="2"/>
  <c r="L1377" i="2"/>
  <c r="M1377" i="2"/>
  <c r="N1377" i="2"/>
  <c r="O1377" i="2"/>
  <c r="D1376" i="2"/>
  <c r="G1376" i="2"/>
  <c r="H1376" i="2"/>
  <c r="L1376" i="2"/>
  <c r="M1376" i="2"/>
  <c r="N1376" i="2"/>
  <c r="O1376" i="2"/>
  <c r="D1375" i="2"/>
  <c r="G1375" i="2"/>
  <c r="H1375" i="2"/>
  <c r="L1375" i="2"/>
  <c r="M1375" i="2"/>
  <c r="N1375" i="2"/>
  <c r="O1375" i="2"/>
  <c r="D1374" i="2"/>
  <c r="G1374" i="2"/>
  <c r="H1374" i="2"/>
  <c r="L1374" i="2"/>
  <c r="M1374" i="2"/>
  <c r="N1374" i="2"/>
  <c r="O1374" i="2"/>
  <c r="D1373" i="2"/>
  <c r="G1373" i="2"/>
  <c r="H1373" i="2"/>
  <c r="L1373" i="2"/>
  <c r="M1373" i="2"/>
  <c r="N1373" i="2"/>
  <c r="O1373" i="2"/>
  <c r="D1372" i="2"/>
  <c r="G1372" i="2"/>
  <c r="H1372" i="2"/>
  <c r="L1372" i="2"/>
  <c r="M1372" i="2"/>
  <c r="N1372" i="2"/>
  <c r="O1372" i="2"/>
  <c r="D1371" i="2"/>
  <c r="G1371" i="2"/>
  <c r="H1371" i="2"/>
  <c r="L1371" i="2"/>
  <c r="M1371" i="2"/>
  <c r="N1371" i="2"/>
  <c r="O1371" i="2"/>
  <c r="D1370" i="2"/>
  <c r="G1370" i="2"/>
  <c r="H1370" i="2"/>
  <c r="L1370" i="2"/>
  <c r="M1370" i="2"/>
  <c r="N1370" i="2"/>
  <c r="O1370" i="2"/>
  <c r="D1369" i="2"/>
  <c r="G1369" i="2"/>
  <c r="H1369" i="2"/>
  <c r="L1369" i="2"/>
  <c r="M1369" i="2"/>
  <c r="N1369" i="2"/>
  <c r="O1369" i="2"/>
  <c r="D1368" i="2"/>
  <c r="G1368" i="2"/>
  <c r="H1368" i="2"/>
  <c r="L1368" i="2"/>
  <c r="M1368" i="2"/>
  <c r="N1368" i="2"/>
  <c r="O1368" i="2"/>
  <c r="D1367" i="2"/>
  <c r="G1367" i="2"/>
  <c r="H1367" i="2"/>
  <c r="L1367" i="2"/>
  <c r="M1367" i="2"/>
  <c r="N1367" i="2"/>
  <c r="O1367" i="2"/>
  <c r="D1366" i="2"/>
  <c r="G1366" i="2"/>
  <c r="E157" i="1" s="1"/>
  <c r="H1366" i="2"/>
  <c r="F157" i="1" s="1"/>
  <c r="L1366" i="2"/>
  <c r="M1366" i="2"/>
  <c r="N1366" i="2"/>
  <c r="O1366" i="2"/>
  <c r="D1365" i="2"/>
  <c r="G1365" i="2"/>
  <c r="E158" i="1" s="1"/>
  <c r="H1365" i="2"/>
  <c r="F158" i="1" s="1"/>
  <c r="L1365" i="2"/>
  <c r="M1365" i="2"/>
  <c r="N1365" i="2"/>
  <c r="O1365" i="2"/>
  <c r="D1364" i="2"/>
  <c r="G1364" i="2"/>
  <c r="E156" i="1" s="1"/>
  <c r="H1364" i="2"/>
  <c r="F156" i="1" s="1"/>
  <c r="L1364" i="2"/>
  <c r="M1364" i="2"/>
  <c r="N1364" i="2"/>
  <c r="O1364" i="2"/>
  <c r="C158" i="1"/>
  <c r="D158" i="1"/>
  <c r="G158" i="1"/>
  <c r="C157" i="1"/>
  <c r="D157" i="1"/>
  <c r="G157" i="1"/>
  <c r="C156" i="1"/>
  <c r="D156" i="1"/>
  <c r="G156" i="1"/>
  <c r="F193" i="3"/>
  <c r="G193" i="3"/>
  <c r="H193" i="3"/>
  <c r="I193" i="3"/>
  <c r="F192" i="3"/>
  <c r="G192" i="3"/>
  <c r="H192" i="3"/>
  <c r="I192" i="3"/>
  <c r="F191" i="3"/>
  <c r="G191" i="3"/>
  <c r="H191" i="3"/>
  <c r="I191" i="3"/>
  <c r="C155" i="1"/>
  <c r="D155" i="1"/>
  <c r="G155" i="1"/>
  <c r="C154" i="1"/>
  <c r="D154" i="1"/>
  <c r="G154" i="1"/>
  <c r="C153" i="1"/>
  <c r="D153" i="1"/>
  <c r="G153" i="1"/>
  <c r="D1363" i="2"/>
  <c r="G1363" i="2"/>
  <c r="E155" i="1" s="1"/>
  <c r="H1363" i="2"/>
  <c r="F155" i="1" s="1"/>
  <c r="L1363" i="2"/>
  <c r="M1363" i="2"/>
  <c r="N1363" i="2"/>
  <c r="O1363" i="2"/>
  <c r="D1362" i="2"/>
  <c r="G1362" i="2"/>
  <c r="H1362" i="2"/>
  <c r="L1362" i="2"/>
  <c r="M1362" i="2"/>
  <c r="N1362" i="2"/>
  <c r="O1362" i="2"/>
  <c r="D1361" i="2"/>
  <c r="G1361" i="2"/>
  <c r="E154" i="1" s="1"/>
  <c r="H1361" i="2"/>
  <c r="F154" i="1" s="1"/>
  <c r="L1361" i="2"/>
  <c r="M1361" i="2"/>
  <c r="N1361" i="2"/>
  <c r="O1361" i="2"/>
  <c r="D1358" i="2"/>
  <c r="C152" i="1"/>
  <c r="D152" i="1"/>
  <c r="G152" i="1"/>
  <c r="C151" i="1"/>
  <c r="D151" i="1"/>
  <c r="G151" i="1"/>
  <c r="C150" i="1"/>
  <c r="D150" i="1"/>
  <c r="G150" i="1"/>
  <c r="D1360" i="2"/>
  <c r="G1360" i="2"/>
  <c r="E153" i="1" s="1"/>
  <c r="H1360" i="2"/>
  <c r="F153" i="1" s="1"/>
  <c r="L1360" i="2"/>
  <c r="M1360" i="2"/>
  <c r="N1360" i="2"/>
  <c r="O1360" i="2"/>
  <c r="D1359" i="2"/>
  <c r="G1359" i="2"/>
  <c r="H1359" i="2"/>
  <c r="L1359" i="2"/>
  <c r="M1359" i="2"/>
  <c r="N1359" i="2"/>
  <c r="O1359" i="2"/>
  <c r="G1358" i="2"/>
  <c r="H1358" i="2"/>
  <c r="L1358" i="2"/>
  <c r="M1358" i="2"/>
  <c r="N1358" i="2"/>
  <c r="O1358" i="2"/>
  <c r="D1357" i="2"/>
  <c r="G1357" i="2"/>
  <c r="H1357" i="2"/>
  <c r="L1357" i="2"/>
  <c r="M1357" i="2"/>
  <c r="N1357" i="2"/>
  <c r="O1357" i="2"/>
  <c r="D1356" i="2"/>
  <c r="G1356" i="2"/>
  <c r="H1356" i="2"/>
  <c r="L1356" i="2"/>
  <c r="M1356" i="2"/>
  <c r="N1356" i="2"/>
  <c r="O1356" i="2"/>
  <c r="D1355" i="2"/>
  <c r="G1355" i="2"/>
  <c r="H1355" i="2"/>
  <c r="L1355" i="2"/>
  <c r="M1355" i="2"/>
  <c r="N1355" i="2"/>
  <c r="O1355" i="2"/>
  <c r="D1354" i="2"/>
  <c r="G1354" i="2"/>
  <c r="H1354" i="2"/>
  <c r="L1354" i="2"/>
  <c r="M1354" i="2"/>
  <c r="N1354" i="2"/>
  <c r="O1354" i="2"/>
  <c r="D1353" i="2"/>
  <c r="G1353" i="2"/>
  <c r="H1353" i="2"/>
  <c r="L1353" i="2"/>
  <c r="M1353" i="2"/>
  <c r="N1353" i="2"/>
  <c r="O1353" i="2"/>
  <c r="D1352" i="2"/>
  <c r="G1352" i="2"/>
  <c r="E150" i="1" s="1"/>
  <c r="H1352" i="2"/>
  <c r="F150" i="1" s="1"/>
  <c r="L1352" i="2"/>
  <c r="M1352" i="2"/>
  <c r="N1352" i="2"/>
  <c r="O1352" i="2"/>
  <c r="D1351" i="2"/>
  <c r="G1351" i="2"/>
  <c r="H1351" i="2"/>
  <c r="L1351" i="2"/>
  <c r="M1351" i="2"/>
  <c r="N1351" i="2"/>
  <c r="O1351" i="2"/>
  <c r="D1350" i="2"/>
  <c r="G1350" i="2"/>
  <c r="H1350" i="2"/>
  <c r="L1350" i="2"/>
  <c r="M1350" i="2"/>
  <c r="N1350" i="2"/>
  <c r="O1350" i="2"/>
  <c r="D1349" i="2"/>
  <c r="G1349" i="2"/>
  <c r="H1349" i="2"/>
  <c r="L1349" i="2"/>
  <c r="M1349" i="2"/>
  <c r="N1349" i="2"/>
  <c r="O1349" i="2"/>
  <c r="D1348" i="2"/>
  <c r="G1348" i="2"/>
  <c r="H1348" i="2"/>
  <c r="L1348" i="2"/>
  <c r="M1348" i="2"/>
  <c r="N1348" i="2"/>
  <c r="O1348" i="2"/>
  <c r="D1347" i="2"/>
  <c r="G1347" i="2"/>
  <c r="H1347" i="2"/>
  <c r="L1347" i="2"/>
  <c r="M1347" i="2"/>
  <c r="N1347" i="2"/>
  <c r="O1347" i="2"/>
  <c r="D1346" i="2"/>
  <c r="G1346" i="2"/>
  <c r="H1346" i="2"/>
  <c r="L1346" i="2"/>
  <c r="M1346" i="2"/>
  <c r="N1346" i="2"/>
  <c r="O1346" i="2"/>
  <c r="D1345" i="2"/>
  <c r="G1345" i="2"/>
  <c r="H1345" i="2"/>
  <c r="L1345" i="2"/>
  <c r="M1345" i="2"/>
  <c r="N1345" i="2"/>
  <c r="O1345" i="2"/>
  <c r="D1344" i="2"/>
  <c r="G1344" i="2"/>
  <c r="H1344" i="2"/>
  <c r="L1344" i="2"/>
  <c r="M1344" i="2"/>
  <c r="N1344" i="2"/>
  <c r="O1344" i="2"/>
  <c r="D1343" i="2"/>
  <c r="G1343" i="2"/>
  <c r="H1343" i="2"/>
  <c r="L1343" i="2"/>
  <c r="M1343" i="2"/>
  <c r="N1343" i="2"/>
  <c r="O1343" i="2"/>
  <c r="D1342" i="2"/>
  <c r="G1342" i="2"/>
  <c r="H1342" i="2"/>
  <c r="L1342" i="2"/>
  <c r="M1342" i="2"/>
  <c r="N1342" i="2"/>
  <c r="O1342" i="2"/>
  <c r="D1341" i="2"/>
  <c r="G1341" i="2"/>
  <c r="H1341" i="2"/>
  <c r="L1341" i="2"/>
  <c r="M1341" i="2"/>
  <c r="N1341" i="2"/>
  <c r="O1341" i="2"/>
  <c r="D1340" i="2"/>
  <c r="G1340" i="2"/>
  <c r="H1340" i="2"/>
  <c r="L1340" i="2"/>
  <c r="M1340" i="2"/>
  <c r="N1340" i="2"/>
  <c r="O1340" i="2"/>
  <c r="D1339" i="2"/>
  <c r="G1339" i="2"/>
  <c r="H1339" i="2"/>
  <c r="L1339" i="2"/>
  <c r="M1339" i="2"/>
  <c r="N1339" i="2"/>
  <c r="O1339" i="2"/>
  <c r="F190" i="3"/>
  <c r="G190" i="3"/>
  <c r="H190" i="3"/>
  <c r="I190" i="3"/>
  <c r="F189" i="3"/>
  <c r="G189" i="3"/>
  <c r="H189" i="3"/>
  <c r="I189" i="3"/>
  <c r="F188" i="3"/>
  <c r="G188" i="3"/>
  <c r="H188" i="3"/>
  <c r="I188" i="3"/>
  <c r="A8" i="4"/>
  <c r="G1311" i="2"/>
  <c r="C149" i="1"/>
  <c r="D149" i="1"/>
  <c r="G149" i="1"/>
  <c r="C148" i="1"/>
  <c r="D148" i="1"/>
  <c r="G148" i="1"/>
  <c r="D1307" i="2"/>
  <c r="G1307" i="2"/>
  <c r="H1307" i="2"/>
  <c r="L1307" i="2"/>
  <c r="M1307" i="2"/>
  <c r="N1307" i="2"/>
  <c r="O1307" i="2"/>
  <c r="D1308" i="2"/>
  <c r="G1308" i="2"/>
  <c r="H1308" i="2"/>
  <c r="L1308" i="2"/>
  <c r="M1308" i="2"/>
  <c r="N1308" i="2"/>
  <c r="O1308" i="2"/>
  <c r="D1309" i="2"/>
  <c r="G1309" i="2"/>
  <c r="H1309" i="2"/>
  <c r="L1309" i="2"/>
  <c r="M1309" i="2"/>
  <c r="N1309" i="2"/>
  <c r="O1309" i="2"/>
  <c r="D1310" i="2"/>
  <c r="G1310" i="2"/>
  <c r="H1310" i="2"/>
  <c r="L1310" i="2"/>
  <c r="M1310" i="2"/>
  <c r="N1310" i="2"/>
  <c r="O1310" i="2"/>
  <c r="D1311" i="2"/>
  <c r="H1311" i="2"/>
  <c r="L1311" i="2"/>
  <c r="M1311" i="2"/>
  <c r="N1311" i="2"/>
  <c r="O1311" i="2"/>
  <c r="D1312" i="2"/>
  <c r="G1312" i="2"/>
  <c r="H1312" i="2"/>
  <c r="L1312" i="2"/>
  <c r="M1312" i="2"/>
  <c r="N1312" i="2"/>
  <c r="O1312" i="2"/>
  <c r="D1313" i="2"/>
  <c r="G1313" i="2"/>
  <c r="H1313" i="2"/>
  <c r="L1313" i="2"/>
  <c r="M1313" i="2"/>
  <c r="N1313" i="2"/>
  <c r="O1313" i="2"/>
  <c r="D1314" i="2"/>
  <c r="G1314" i="2"/>
  <c r="H1314" i="2"/>
  <c r="L1314" i="2"/>
  <c r="M1314" i="2"/>
  <c r="N1314" i="2"/>
  <c r="O1314" i="2"/>
  <c r="D1315" i="2"/>
  <c r="G1315" i="2"/>
  <c r="H1315" i="2"/>
  <c r="L1315" i="2"/>
  <c r="M1315" i="2"/>
  <c r="N1315" i="2"/>
  <c r="O1315" i="2"/>
  <c r="D1316" i="2"/>
  <c r="G1316" i="2"/>
  <c r="H1316" i="2"/>
  <c r="L1316" i="2"/>
  <c r="M1316" i="2"/>
  <c r="N1316" i="2"/>
  <c r="O1316" i="2"/>
  <c r="D1317" i="2"/>
  <c r="G1317" i="2"/>
  <c r="H1317" i="2"/>
  <c r="L1317" i="2"/>
  <c r="M1317" i="2"/>
  <c r="N1317" i="2"/>
  <c r="O1317" i="2"/>
  <c r="D1318" i="2"/>
  <c r="G1318" i="2"/>
  <c r="H1318" i="2"/>
  <c r="L1318" i="2"/>
  <c r="M1318" i="2"/>
  <c r="N1318" i="2"/>
  <c r="O1318" i="2"/>
  <c r="D1319" i="2"/>
  <c r="G1319" i="2"/>
  <c r="H1319" i="2"/>
  <c r="L1319" i="2"/>
  <c r="M1319" i="2"/>
  <c r="N1319" i="2"/>
  <c r="O1319" i="2"/>
  <c r="D1320" i="2"/>
  <c r="G1320" i="2"/>
  <c r="H1320" i="2"/>
  <c r="L1320" i="2"/>
  <c r="M1320" i="2"/>
  <c r="N1320" i="2"/>
  <c r="O1320" i="2"/>
  <c r="D1321" i="2"/>
  <c r="G1321" i="2"/>
  <c r="H1321" i="2"/>
  <c r="L1321" i="2"/>
  <c r="M1321" i="2"/>
  <c r="N1321" i="2"/>
  <c r="O1321" i="2"/>
  <c r="D1322" i="2"/>
  <c r="G1322" i="2"/>
  <c r="H1322" i="2"/>
  <c r="L1322" i="2"/>
  <c r="M1322" i="2"/>
  <c r="N1322" i="2"/>
  <c r="O1322" i="2"/>
  <c r="D1323" i="2"/>
  <c r="G1323" i="2"/>
  <c r="H1323" i="2"/>
  <c r="L1323" i="2"/>
  <c r="M1323" i="2"/>
  <c r="N1323" i="2"/>
  <c r="O1323" i="2"/>
  <c r="D1324" i="2"/>
  <c r="G1324" i="2"/>
  <c r="H1324" i="2"/>
  <c r="L1324" i="2"/>
  <c r="M1324" i="2"/>
  <c r="N1324" i="2"/>
  <c r="O1324" i="2"/>
  <c r="D1325" i="2"/>
  <c r="G1325" i="2"/>
  <c r="H1325" i="2"/>
  <c r="L1325" i="2"/>
  <c r="M1325" i="2"/>
  <c r="N1325" i="2"/>
  <c r="O1325" i="2"/>
  <c r="D1326" i="2"/>
  <c r="G1326" i="2"/>
  <c r="H1326" i="2"/>
  <c r="L1326" i="2"/>
  <c r="M1326" i="2"/>
  <c r="N1326" i="2"/>
  <c r="O1326" i="2"/>
  <c r="D1327" i="2"/>
  <c r="G1327" i="2"/>
  <c r="H1327" i="2"/>
  <c r="L1327" i="2"/>
  <c r="M1327" i="2"/>
  <c r="N1327" i="2"/>
  <c r="O1327" i="2"/>
  <c r="D1328" i="2"/>
  <c r="G1328" i="2"/>
  <c r="H1328" i="2"/>
  <c r="L1328" i="2"/>
  <c r="M1328" i="2"/>
  <c r="N1328" i="2"/>
  <c r="O1328" i="2"/>
  <c r="D1329" i="2"/>
  <c r="G1329" i="2"/>
  <c r="H1329" i="2"/>
  <c r="L1329" i="2"/>
  <c r="M1329" i="2"/>
  <c r="N1329" i="2"/>
  <c r="O1329" i="2"/>
  <c r="D1330" i="2"/>
  <c r="G1330" i="2"/>
  <c r="H1330" i="2"/>
  <c r="L1330" i="2"/>
  <c r="M1330" i="2"/>
  <c r="N1330" i="2"/>
  <c r="O1330" i="2"/>
  <c r="D1331" i="2"/>
  <c r="G1331" i="2"/>
  <c r="H1331" i="2"/>
  <c r="L1331" i="2"/>
  <c r="M1331" i="2"/>
  <c r="N1331" i="2"/>
  <c r="O1331" i="2"/>
  <c r="D1332" i="2"/>
  <c r="G1332" i="2"/>
  <c r="H1332" i="2"/>
  <c r="L1332" i="2"/>
  <c r="M1332" i="2"/>
  <c r="N1332" i="2"/>
  <c r="O1332" i="2"/>
  <c r="D1333" i="2"/>
  <c r="G1333" i="2"/>
  <c r="H1333" i="2"/>
  <c r="L1333" i="2"/>
  <c r="M1333" i="2"/>
  <c r="N1333" i="2"/>
  <c r="O1333" i="2"/>
  <c r="D1334" i="2"/>
  <c r="G1334" i="2"/>
  <c r="H1334" i="2"/>
  <c r="L1334" i="2"/>
  <c r="M1334" i="2"/>
  <c r="N1334" i="2"/>
  <c r="O1334" i="2"/>
  <c r="D1335" i="2"/>
  <c r="G1335" i="2"/>
  <c r="H1335" i="2"/>
  <c r="L1335" i="2"/>
  <c r="M1335" i="2"/>
  <c r="N1335" i="2"/>
  <c r="O1335" i="2"/>
  <c r="D1336" i="2"/>
  <c r="G1336" i="2"/>
  <c r="H1336" i="2"/>
  <c r="L1336" i="2"/>
  <c r="M1336" i="2"/>
  <c r="N1336" i="2"/>
  <c r="O1336" i="2"/>
  <c r="D1338" i="2"/>
  <c r="G1338" i="2"/>
  <c r="E149" i="1" s="1"/>
  <c r="H1338" i="2"/>
  <c r="F149" i="1" s="1"/>
  <c r="L1338" i="2"/>
  <c r="M1338" i="2"/>
  <c r="N1338" i="2"/>
  <c r="O1338" i="2"/>
  <c r="D1337" i="2"/>
  <c r="G1337" i="2"/>
  <c r="H1337" i="2"/>
  <c r="L1337" i="2"/>
  <c r="M1337" i="2"/>
  <c r="N1337" i="2"/>
  <c r="O1337" i="2"/>
  <c r="D1306" i="2"/>
  <c r="G1306" i="2"/>
  <c r="H1306" i="2"/>
  <c r="L1306" i="2"/>
  <c r="M1306" i="2"/>
  <c r="N1306" i="2"/>
  <c r="O1306" i="2"/>
  <c r="D1305" i="2"/>
  <c r="G1305" i="2"/>
  <c r="H1305" i="2"/>
  <c r="L1305" i="2"/>
  <c r="M1305" i="2"/>
  <c r="N1305" i="2"/>
  <c r="O1305" i="2"/>
  <c r="F187" i="3"/>
  <c r="G187" i="3"/>
  <c r="H187" i="3"/>
  <c r="I187" i="3"/>
  <c r="F186" i="3"/>
  <c r="G186" i="3"/>
  <c r="H186" i="3"/>
  <c r="I186" i="3"/>
  <c r="F185" i="3"/>
  <c r="G185" i="3"/>
  <c r="H185" i="3"/>
  <c r="I185" i="3"/>
  <c r="F184" i="3"/>
  <c r="G184" i="3"/>
  <c r="H184" i="3"/>
  <c r="I184" i="3"/>
  <c r="D1304" i="2"/>
  <c r="G1304" i="2"/>
  <c r="H1304" i="2"/>
  <c r="L1304" i="2"/>
  <c r="M1304" i="2"/>
  <c r="N1304" i="2"/>
  <c r="O1304" i="2"/>
  <c r="D1303" i="2"/>
  <c r="G1303" i="2"/>
  <c r="H1303" i="2"/>
  <c r="L1303" i="2"/>
  <c r="M1303" i="2"/>
  <c r="N1303" i="2"/>
  <c r="O1303" i="2"/>
  <c r="D1302" i="2"/>
  <c r="G1302" i="2"/>
  <c r="H1302" i="2"/>
  <c r="L1302" i="2"/>
  <c r="M1302" i="2"/>
  <c r="N1302" i="2"/>
  <c r="O1302" i="2"/>
  <c r="D1301" i="2"/>
  <c r="G1301" i="2"/>
  <c r="H1301" i="2"/>
  <c r="L1301" i="2"/>
  <c r="M1301" i="2"/>
  <c r="N1301" i="2"/>
  <c r="O1301" i="2"/>
  <c r="D1300" i="2"/>
  <c r="G1300" i="2"/>
  <c r="H1300" i="2"/>
  <c r="L1300" i="2"/>
  <c r="M1300" i="2"/>
  <c r="N1300" i="2"/>
  <c r="O1300" i="2"/>
  <c r="D1299" i="2"/>
  <c r="G1299" i="2"/>
  <c r="H1299" i="2"/>
  <c r="L1299" i="2"/>
  <c r="M1299" i="2"/>
  <c r="N1299" i="2"/>
  <c r="O1299" i="2"/>
  <c r="D1298" i="2"/>
  <c r="G1298" i="2"/>
  <c r="H1298" i="2"/>
  <c r="L1298" i="2"/>
  <c r="M1298" i="2"/>
  <c r="N1298" i="2"/>
  <c r="O1298" i="2"/>
  <c r="D1297" i="2"/>
  <c r="G1297" i="2"/>
  <c r="H1297" i="2"/>
  <c r="L1297" i="2"/>
  <c r="M1297" i="2"/>
  <c r="N1297" i="2"/>
  <c r="O1297" i="2"/>
  <c r="D1296" i="2"/>
  <c r="G1296" i="2"/>
  <c r="H1296" i="2"/>
  <c r="L1296" i="2"/>
  <c r="M1296" i="2"/>
  <c r="N1296" i="2"/>
  <c r="O1296" i="2"/>
  <c r="D1295" i="2"/>
  <c r="G1295" i="2"/>
  <c r="H1295" i="2"/>
  <c r="L1295" i="2"/>
  <c r="M1295" i="2"/>
  <c r="N1295" i="2"/>
  <c r="O1295" i="2"/>
  <c r="D1294" i="2"/>
  <c r="G1294" i="2"/>
  <c r="H1294" i="2"/>
  <c r="L1294" i="2"/>
  <c r="M1294" i="2"/>
  <c r="N1294" i="2"/>
  <c r="O1294" i="2"/>
  <c r="D1293" i="2"/>
  <c r="G1293" i="2"/>
  <c r="H1293" i="2"/>
  <c r="L1293" i="2"/>
  <c r="M1293" i="2"/>
  <c r="N1293" i="2"/>
  <c r="O1293" i="2"/>
  <c r="D1292" i="2"/>
  <c r="G1292" i="2"/>
  <c r="H1292" i="2"/>
  <c r="L1292" i="2"/>
  <c r="M1292" i="2"/>
  <c r="N1292" i="2"/>
  <c r="O1292" i="2"/>
  <c r="D1291" i="2"/>
  <c r="G1291" i="2"/>
  <c r="H1291" i="2"/>
  <c r="L1291" i="2"/>
  <c r="M1291" i="2"/>
  <c r="N1291" i="2"/>
  <c r="O1291" i="2"/>
  <c r="D1290" i="2"/>
  <c r="G1290" i="2"/>
  <c r="H1290" i="2"/>
  <c r="L1290" i="2"/>
  <c r="M1290" i="2"/>
  <c r="N1290" i="2"/>
  <c r="O1290" i="2"/>
  <c r="D1289" i="2"/>
  <c r="G1289" i="2"/>
  <c r="H1289" i="2"/>
  <c r="L1289" i="2"/>
  <c r="M1289" i="2"/>
  <c r="N1289" i="2"/>
  <c r="O1289" i="2"/>
  <c r="D1288" i="2"/>
  <c r="G1288" i="2"/>
  <c r="H1288" i="2"/>
  <c r="L1288" i="2"/>
  <c r="M1288" i="2"/>
  <c r="N1288" i="2"/>
  <c r="O1288" i="2"/>
  <c r="D1287" i="2"/>
  <c r="G1287" i="2"/>
  <c r="H1287" i="2"/>
  <c r="L1287" i="2"/>
  <c r="M1287" i="2"/>
  <c r="N1287" i="2"/>
  <c r="O1287" i="2"/>
  <c r="D1286" i="2"/>
  <c r="G1286" i="2"/>
  <c r="H1286" i="2"/>
  <c r="L1286" i="2"/>
  <c r="M1286" i="2"/>
  <c r="N1286" i="2"/>
  <c r="O1286" i="2"/>
  <c r="D1285" i="2"/>
  <c r="G1285" i="2"/>
  <c r="H1285" i="2"/>
  <c r="L1285" i="2"/>
  <c r="M1285" i="2"/>
  <c r="N1285" i="2"/>
  <c r="O1285" i="2"/>
  <c r="D1284" i="2"/>
  <c r="G1284" i="2"/>
  <c r="H1284" i="2"/>
  <c r="L1284" i="2"/>
  <c r="M1284" i="2"/>
  <c r="N1284" i="2"/>
  <c r="O1284" i="2"/>
  <c r="D1283" i="2"/>
  <c r="G1283" i="2"/>
  <c r="H1283" i="2"/>
  <c r="L1283" i="2"/>
  <c r="M1283" i="2"/>
  <c r="N1283" i="2"/>
  <c r="O1283" i="2"/>
  <c r="D1282" i="2"/>
  <c r="G1282" i="2"/>
  <c r="H1282" i="2"/>
  <c r="L1282" i="2"/>
  <c r="M1282" i="2"/>
  <c r="N1282" i="2"/>
  <c r="O1282" i="2"/>
  <c r="D1281" i="2"/>
  <c r="G1281" i="2"/>
  <c r="H1281" i="2"/>
  <c r="L1281" i="2"/>
  <c r="M1281" i="2"/>
  <c r="N1281" i="2"/>
  <c r="O1281" i="2"/>
  <c r="D1280" i="2"/>
  <c r="G1280" i="2"/>
  <c r="H1280" i="2"/>
  <c r="L1280" i="2"/>
  <c r="M1280" i="2"/>
  <c r="N1280" i="2"/>
  <c r="O1280" i="2"/>
  <c r="F183" i="3"/>
  <c r="G183" i="3"/>
  <c r="H183" i="3"/>
  <c r="I183" i="3"/>
  <c r="F182" i="3"/>
  <c r="G182" i="3"/>
  <c r="H182" i="3"/>
  <c r="I182" i="3"/>
  <c r="F181" i="3"/>
  <c r="G181" i="3"/>
  <c r="H181" i="3"/>
  <c r="I181" i="3"/>
  <c r="C147" i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H1257" i="2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H1218" i="2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D1200" i="2"/>
  <c r="G1200" i="2"/>
  <c r="H1200" i="2"/>
  <c r="D1199" i="2"/>
  <c r="G1199" i="2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E135" i="1" s="1"/>
  <c r="H1098" i="2"/>
  <c r="F135" i="1" s="1"/>
  <c r="C135" i="1"/>
  <c r="D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51" i="1" l="1"/>
  <c r="E151" i="1"/>
  <c r="E152" i="1"/>
  <c r="F152" i="1"/>
  <c r="F130" i="1"/>
  <c r="F147" i="1"/>
  <c r="E147" i="1"/>
  <c r="E130" i="1"/>
  <c r="E148" i="1"/>
  <c r="F148" i="1"/>
  <c r="F144" i="1"/>
  <c r="E124" i="1"/>
  <c r="F131" i="1"/>
  <c r="E145" i="1"/>
  <c r="F145" i="1"/>
  <c r="E142" i="1"/>
  <c r="F143" i="1"/>
  <c r="E144" i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<sst xmlns="http://schemas.openxmlformats.org/spreadsheetml/2006/main" count="1908" uniqueCount="219">
  <si>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</si>
  <si>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</si>
  <si>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</si>
  <si>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</si>
  <si>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</si>
  <si>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</si>
  <si>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</si>
  <si>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</si>
  <si>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</si>
  <si>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</si>
  <si>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</si>
  <si>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</si>
  <si>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</si>
  <si>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</si>
  <si>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</si>
  <si>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</si>
  <si>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</si>
  <si>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</si>
  <si>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</si>
  <si>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</si>
  <si>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</si>
  <si>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</si>
  <si>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</si>
  <si>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</si>
  <si>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</si>
  <si>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</si>
  <si>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</si>
  <si>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</si>
  <si>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</si>
  <si>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</si>
  <si>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</si>
  <si>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</si>
  <si>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</si>
  <si>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</si>
  <si>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</si>
  <si>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</si>
  <si>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</si>
  <si>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</si>
  <si>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</si>
  <si>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</si>
  <si>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</si>
  <si>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</si>
  <si>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</si>
  <si>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</si>
  <si>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</si>
  <si>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</si>
  <si>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</si>
  <si>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</si>
  <si>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</si>
  <si>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</si>
  <si>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</si>
  <si>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</si>
  <si>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</si>
  <si>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</si>
  <si>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</si>
  <si>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</si>
  <si>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</si>
  <si>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</si>
  <si>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</si>
  <si>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</si>
  <si>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</si>
  <si>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</si>
  <si>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</si>
  <si>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</si>
  <si>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</si>
  <si>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</si>
  <si>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</si>
  <si>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</si>
  <si>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</si>
  <si>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</si>
  <si>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</si>
  <si>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</si>
  <si>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</si>
  <si>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</si>
  <si>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</si>
  <si>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</si>
  <si>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</si>
  <si>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</si>
  <si>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</si>
  <si>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</si>
  <si>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</si>
  <si>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</si>
  <si>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</si>
  <si>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</si>
  <si>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</si>
  <si>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</si>
  <si>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</si>
  <si>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</si>
  <si>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</si>
  <si>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</si>
  <si>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</si>
  <si>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</si>
  <si>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</si>
  <si>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</si>
  <si>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</si>
  <si>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</si>
  <si>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</si>
  <si>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</si>
  <si>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</si>
  <si>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</si>
  <si>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</si>
  <si>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</si>
  <si>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</si>
  <si>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</si>
  <si>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</si>
  <si>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</si>
  <si>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</si>
  <si>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</si>
  <si>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</si>
  <si>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</si>
  <si>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</si>
  <si>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</si>
  <si>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</si>
  <si>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</si>
  <si>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</si>
  <si>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</si>
  <si>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</si>
  <si>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</si>
  <si>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</si>
  <si>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</si>
  <si>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</si>
  <si>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</si>
  <si>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</si>
  <si>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</si>
  <si>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</si>
  <si>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</si>
  <si>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</si>
  <si>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</si>
  <si>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</si>
  <si>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</si>
  <si>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</si>
  <si>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</si>
  <si>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</si>
  <si>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</si>
  <si>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</si>
  <si>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</si>
  <si>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</si>
  <si>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</si>
  <si>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</si>
  <si>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</si>
  <si>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</si>
  <si>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</si>
  <si>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</si>
  <si>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</si>
  <si>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</si>
  <si>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</si>
  <si>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</si>
  <si>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</si>
  <si>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</si>
  <si>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</si>
  <si>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</si>
  <si>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</si>
  <si>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</si>
  <si>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</si>
  <si>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</si>
  <si>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</si>
  <si>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</si>
  <si>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</si>
  <si>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</si>
  <si>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</si>
  <si>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</si>
  <si>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</si>
  <si>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</si>
  <si>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</si>
  <si>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</si>
  <si>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</si>
  <si>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</si>
  <si>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</si>
  <si>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</si>
  <si>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</si>
  <si>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</si>
  <si>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</si>
  <si>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</si>
  <si>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</si>
  <si>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</si>
  <si>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</si>
  <si>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</si>
  <si>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</si>
  <si>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</si>
  <si>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</si>
  <si>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</si>
  <si>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</si>
  <si>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</si>
  <si>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</si>
  <si>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</si>
  <si>
    <t>Богдан</t>
  </si>
  <si>
    <t>Анар</t>
  </si>
  <si>
    <t>Лето 2026</t>
  </si>
  <si>
    <t>Сулейман (Нур+1)</t>
  </si>
  <si>
    <t>Миша (Сурэн+1)</t>
  </si>
  <si>
    <t>Никита (Сурэн+1)</t>
  </si>
  <si>
    <t>Артём (АК+1)</t>
  </si>
  <si>
    <t>Мотя (АК+1)</t>
  </si>
  <si>
    <t>Ваня кипер (АК+1)</t>
  </si>
  <si>
    <t>Федя Бохан</t>
  </si>
  <si>
    <t>Женя Ионов</t>
  </si>
  <si>
    <t>Никита Лунев</t>
  </si>
  <si>
    <t>Дима (Логинов+1)</t>
  </si>
  <si>
    <t>Арсен (Логинов+1)</t>
  </si>
  <si>
    <t>Артур (Логинов+1)</t>
  </si>
  <si>
    <t>Остап (Логинов+1)</t>
  </si>
  <si>
    <t>Паша (1747)</t>
  </si>
  <si>
    <t>Вадим (1747)</t>
  </si>
  <si>
    <t>Саша (1747)</t>
  </si>
  <si>
    <t>Ваге (УПК)</t>
  </si>
  <si>
    <t>Родион (УПК)</t>
  </si>
  <si>
    <t>Костя (УПК)</t>
  </si>
  <si>
    <t>Жора (УПК)</t>
  </si>
  <si>
    <t>Тиран (УПК)</t>
  </si>
  <si>
    <t>Егор К (УПК)</t>
  </si>
  <si>
    <t>Эд (УПК)</t>
  </si>
  <si>
    <t>Степан (УПК)</t>
  </si>
  <si>
    <t>Георгий (УПК)</t>
  </si>
  <si>
    <t>Кирилл (УПК)</t>
  </si>
  <si>
    <t>Женя (УПК)</t>
  </si>
  <si>
    <t>Егор (УПК)</t>
  </si>
  <si>
    <t>Глеб (УПК)</t>
  </si>
  <si>
    <t>Эдгар (УПК)</t>
  </si>
  <si>
    <t>Саша (Коля 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</si>
</sst>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5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0" fillId="0" borderId="6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0"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80" totalsRowShown="0" headerRowDxfId="10" headerRowBorderDxfId="8" tableBorderDxfId="9" totalsRowBorderDxfId="7">
  <autoFilter ref="A1:G180" xr:uid="{CC58E8C5-7B8B-42F7-9BFF-85AAC284233D}"/>
  <tableColumns count="7">
    <tableColumn id="1" xr3:uid="{72D5507B-3E56-45F9-949A-1B810B89614D}" name="player_id" dataDxfId="6"/>
    <tableColumn id="2" xr3:uid="{9B600E03-F10C-49A9-BD9C-050BEA58FF6E}" name="player_name" dataDxfId="5"/>
    <tableColumn id="3" xr3:uid="{8F857898-2667-4829-90AD-3A28B8E44AF3}" name="goals" dataDxfId="4">
      <calculatedColumnFormula>SUMIFS(_stats[goals_on_date],_stats[player_id],_players[[#This Row],[player_id]])</calculatedColumnFormula>
    </tableColumn>
    <tableColumn id="4" xr3:uid="{81B9F6B2-D5CC-4D13-9EE3-73B39091AD58}" name="assists" dataDxfId="3">
      <calculatedColumnFormula>SUMIFS(_stats[assists_on_date],_stats[player_id],_players[[#This Row],[player_id]])</calculatedColumnFormula>
    </tableColumn>
    <tableColumn id="5" xr3:uid="{1C26950D-761D-4C94-B228-1824773DE1A0}" name="wins" dataDxfId="2">
      <calculatedColumnFormula>SUMIFS(_stats[wins_on_date],_stats[player_id],_players[[#This Row],[player_id]])</calculatedColumnFormula>
    </tableColumn>
    <tableColumn id="7" xr3:uid="{7B92C955-C277-4BCF-B8AB-BC8A08DD3F98}" name="draws" dataDxfId="1">
      <calculatedColumnFormula>SUMIFS(_stats[draws_on_date],_stats[player_id],_players[[#This Row],[player_id]])</calculatedColumnFormula>
    </tableColumn>
    <tableColumn id="8" xr3:uid="{83A39928-DADF-478C-8EEB-8BB7EDD9B3F6}" name="foul" dataDxfId="0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495" totalsRowShown="0" headerRowDxfId="59" dataDxfId="57" headerRowBorderDxfId="58" tableBorderDxfId="56" totalsRowBorderDxfId="55">
  <autoFilter ref="A1:O1495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54"/>
    <tableColumn id="2" xr3:uid="{686C940A-87F8-43A1-ADFF-9CF607E801B5}" name="team_number" dataDxfId="53"/>
    <tableColumn id="3" xr3:uid="{1C13D6CA-8B0C-4849-B32C-A77EF9C52B42}" name="player_id" dataDxfId="52"/>
    <tableColumn id="4" xr3:uid="{C2384479-71AA-40DA-A7B2-E30ECBA1AF99}" name="player_name" dataDxfId="51">
      <calculatedColumnFormula>IFERROR(VLOOKUP(_stats[[#This Row],[player_id]],_players[[player_id]:[player_name]],2,0),"")</calculatedColumnFormula>
    </tableColumn>
    <tableColumn id="5" xr3:uid="{09AE1D8B-DCB8-4F87-ABB5-372822B0D6BF}" name="goals_on_date" dataDxfId="50"/>
    <tableColumn id="6" xr3:uid="{7FD24496-81EB-47BB-8B89-26AB97C686CA}" name="assists_on_date" dataDxfId="49"/>
    <tableColumn id="7" xr3:uid="{39F202A0-49EF-45EE-9054-882F18FBDF31}" name="wins_on_date" dataDxfId="48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47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46"/>
    <tableColumn id="11" xr3:uid="{F63E3F90-CE47-4270-AB10-578EF27B95D4}" name="foul_on_date" dataDxfId="45"/>
    <tableColumn id="10" xr3:uid="{60255463-9C5A-4356-83C8-4B8F5C0D84CC}" name="tournament" dataDxfId="44"/>
    <tableColumn id="15" xr3:uid="{7F376ADC-280C-4F2A-9A32-E1868B930ACF}" name="check_tournament_name" dataDxfId="43">
      <calculatedColumnFormula>VLOOKUP(_stats[[#This Row],[tournament]],tournaments_n_rules[],2,0)</calculatedColumnFormula>
    </tableColumn>
    <tableColumn id="16" xr3:uid="{FD462710-B233-41D3-A7F4-D0A7C67E8BD7}" name="check_tournament_season" dataDxfId="42">
      <calculatedColumnFormula>VLOOKUP(_stats[[#This Row],[tournament]],tournaments_n_rules[],3,0)</calculatedColumnFormula>
    </tableColumn>
    <tableColumn id="17" xr3:uid="{FC392FCF-0703-4BAE-A849-B5A17D89FC21}" name="check_tournament_start" dataDxfId="41">
      <calculatedColumnFormula>VLOOKUP(_stats[[#This Row],[tournament]],tournaments_n_rules[],4,0)</calculatedColumnFormula>
    </tableColumn>
    <tableColumn id="18" xr3:uid="{27C989FF-B801-496B-AC34-686429C3CF2E}" name="check_tournament_stop" dataDxfId="40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208" totalsRowShown="0" headerRowDxfId="24" dataDxfId="23" headerRowBorderDxfId="21" tableBorderDxfId="22" totalsRowBorderDxfId="20">
  <autoFilter ref="A1:I208" xr:uid="{B6423DC2-EC3F-4914-9E08-BC4E7C6626C9}"/>
  <tableColumns count="9">
    <tableColumn id="1" xr3:uid="{92BE0DCE-EF0C-43B2-937D-640EBFF087A6}" name="date" dataDxfId="19"/>
    <tableColumn id="2" xr3:uid="{B497FB59-180E-4B72-9ECD-E25C88173489}" name="team_number" dataDxfId="18"/>
    <tableColumn id="3" xr3:uid="{02A8A062-9D85-4980-948F-E89B2B2D08DF}" name="wins_on_date" dataDxfId="17"/>
    <tableColumn id="4" xr3:uid="{E0D3B2C4-0D10-4724-9583-EAA87E6A8BF5}" name="draws_on_date" dataDxfId="16"/>
    <tableColumn id="5" xr3:uid="{767C7E87-2BC0-427C-9555-EA488841AAAB}" name="tournament" dataDxfId="15"/>
    <tableColumn id="6" xr3:uid="{66D67E98-3764-4ECA-9F20-5B5D73B509B6}" name="check_tournament_name" dataDxfId="14">
      <calculatedColumnFormula>VLOOKUP(_teams[[#This Row],[tournament]],tournaments_n_rules[],2,0)</calculatedColumnFormula>
    </tableColumn>
    <tableColumn id="7" xr3:uid="{CA9C9E4C-39CD-4FED-BE6B-DC0186C66D05}" name="check_tournament_season" dataDxfId="13">
      <calculatedColumnFormula>VLOOKUP(_teams[[#This Row],[tournament]],tournaments_n_rules[],3,0)</calculatedColumnFormula>
    </tableColumn>
    <tableColumn id="8" xr3:uid="{C7ABE14A-A328-40B7-B865-90403A3A0555}" name="check_tournament_start" dataDxfId="12">
      <calculatedColumnFormula>VLOOKUP(_teams[[#This Row],[tournament]],tournaments_n_rules[],4,0)</calculatedColumnFormula>
    </tableColumn>
    <tableColumn id="9" xr3:uid="{7927A572-D944-4B6E-A2B5-383C0CB0B713}" name="check_tournament_stop" dataDxfId="11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8" totalsRowShown="0" headerRowDxfId="39" headerRowBorderDxfId="38" tableBorderDxfId="37" totalsRowBorderDxfId="36">
  <autoFilter ref="A1:K8" xr:uid="{BF253B66-23E6-43E6-B434-6BE21AA4DEBC}"/>
  <tableColumns count="11">
    <tableColumn id="1" xr3:uid="{6B933049-D090-4881-8423-76EBCF6F9C40}" name="tournament_id" dataDxfId="35">
      <calculatedColumnFormula>ROW()-1</calculatedColumnFormula>
    </tableColumn>
    <tableColumn id="2" xr3:uid="{37DDB493-473B-438A-BF16-ED5571D93B2D}" name="tournament_name" dataDxfId="34"/>
    <tableColumn id="11" xr3:uid="{93E7381D-185A-4B0F-836F-832791C984B4}" name="season" dataDxfId="33"/>
    <tableColumn id="3" xr3:uid="{FAAF31D4-70DC-4EA5-875C-04AC9E3A568F}" name="start" dataDxfId="32"/>
    <tableColumn id="4" xr3:uid="{FF338632-27CE-4F49-93E5-BE847FEFCCF1}" name="end" dataDxfId="31"/>
    <tableColumn id="5" xr3:uid="{B187E53B-A67C-4710-AC44-00CC5126A08C}" name="goals_coefficient" dataDxfId="30"/>
    <tableColumn id="6" xr3:uid="{A685A3A6-3568-4BFF-BC83-901416CF1337}" name="assists_coefficient" dataDxfId="29"/>
    <tableColumn id="7" xr3:uid="{AE1B915D-DCF6-4C2F-A613-11C35813F72E}" name="wins_coefficient" dataDxfId="28"/>
    <tableColumn id="8" xr3:uid="{48B0E9A3-3641-4038-A405-0616D787B749}" name="draws_coefficient" dataDxfId="27"/>
    <tableColumn id="9" xr3:uid="{4F4FCB37-77EB-4A98-90B5-C2DEF39A70C5}" name="saves_coefficient" dataDxfId="26"/>
    <tableColumn id="10" xr3:uid="{055A30D6-329F-4585-8DE1-892A0C6A60F7}" name="foul_coefficient" dataDxfId="2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80"/>
  <sheetViews>
    <sheetView topLeftCell="A136" workbookViewId="0">
      <selection activeCell="B172" sqref="B172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102</v>
      </c>
      <c r="D2" s="19">
        <f>SUMIFS(_stats[assists_on_date],_stats[player_id],_players[[#This Row],[player_id]])</f>
        <v>40</v>
      </c>
      <c r="E2" s="19">
        <f>SUMIFS(_stats[wins_on_date],_stats[player_id],_players[[#This Row],[player_id]])</f>
        <v>125</v>
      </c>
      <c r="F2" s="20">
        <f>SUMIFS(_stats[draws_on_date],_stats[player_id],_players[[#This Row],[player_id]])</f>
        <v>20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71</v>
      </c>
      <c r="D3" s="11">
        <f>SUMIFS(_stats[assists_on_date],_stats[player_id],_players[[#This Row],[player_id]])</f>
        <v>46</v>
      </c>
      <c r="E3" s="11">
        <f>SUMIFS(_stats[wins_on_date],_stats[player_id],_players[[#This Row],[player_id]])</f>
        <v>192</v>
      </c>
      <c r="F3" s="12">
        <f>SUMIFS(_stats[draws_on_date],_stats[player_id],_players[[#This Row],[player_id]])</f>
        <v>45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34</v>
      </c>
      <c r="E5" s="21">
        <f>SUMIFS(_stats[wins_on_date],_stats[player_id],_players[[#This Row],[player_id]])</f>
        <v>117</v>
      </c>
      <c r="F5" s="22">
        <f>SUMIFS(_stats[draws_on_date],_stats[player_id],_players[[#This Row],[player_id]])</f>
        <v>22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33</v>
      </c>
      <c r="D6" s="16">
        <f>SUMIFS(_stats[assists_on_date],_stats[player_id],_players[[#This Row],[player_id]])</f>
        <v>20</v>
      </c>
      <c r="E6" s="16">
        <f>SUMIFS(_stats[wins_on_date],_stats[player_id],_players[[#This Row],[player_id]])</f>
        <v>209</v>
      </c>
      <c r="F6" s="17">
        <f>SUMIFS(_stats[draws_on_date],_stats[player_id],_players[[#This Row],[player_id]])</f>
        <v>54</v>
      </c>
      <c r="G6" s="17">
        <f>SUMIFS(_stats[foul_on_date],_stats[player_id],_players[[#This Row],[player_id]])</f>
        <v>1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66</v>
      </c>
      <c r="D7" s="11">
        <f>SUMIFS(_stats[assists_on_date],_stats[player_id],_players[[#This Row],[player_id]])</f>
        <v>45</v>
      </c>
      <c r="E7" s="11">
        <f>SUMIFS(_stats[wins_on_date],_stats[player_id],_players[[#This Row],[player_id]])</f>
        <v>113</v>
      </c>
      <c r="F7" s="12">
        <f>SUMIFS(_stats[draws_on_date],_stats[player_id],_players[[#This Row],[player_id]])</f>
        <v>31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47</v>
      </c>
      <c r="D8" s="11">
        <f>SUMIFS(_stats[assists_on_date],_stats[player_id],_players[[#This Row],[player_id]])</f>
        <v>27</v>
      </c>
      <c r="E8" s="11">
        <f>SUMIFS(_stats[wins_on_date],_stats[player_id],_players[[#This Row],[player_id]])</f>
        <v>165</v>
      </c>
      <c r="F8" s="12">
        <f>SUMIFS(_stats[draws_on_date],_stats[player_id],_players[[#This Row],[player_id]])</f>
        <v>48</v>
      </c>
      <c r="G8" s="12">
        <f>SUMIFS(_stats[foul_on_date],_stats[player_id],_players[[#This Row],[player_id]])</f>
        <v>2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5</v>
      </c>
      <c r="E10" s="16">
        <f>SUMIFS(_stats[wins_on_date],_stats[player_id],_players[[#This Row],[player_id]])</f>
        <v>77</v>
      </c>
      <c r="F10" s="17">
        <f>SUMIFS(_stats[draws_on_date],_stats[player_id],_players[[#This Row],[player_id]])</f>
        <v>20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79</v>
      </c>
      <c r="D12" s="16">
        <f>SUMIFS(_stats[assists_on_date],_stats[player_id],_players[[#This Row],[player_id]])</f>
        <v>84</v>
      </c>
      <c r="E12" s="16">
        <f>SUMIFS(_stats[wins_on_date],_stats[player_id],_players[[#This Row],[player_id]])</f>
        <v>158</v>
      </c>
      <c r="F12" s="17">
        <f>SUMIFS(_stats[draws_on_date],_stats[player_id],_players[[#This Row],[player_id]])</f>
        <v>50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28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51</v>
      </c>
      <c r="F13" s="12">
        <f>SUMIFS(_stats[draws_on_date],_stats[player_id],_players[[#This Row],[player_id]])</f>
        <v>12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11</v>
      </c>
      <c r="D14" s="11">
        <f>SUMIFS(_stats[assists_on_date],_stats[player_id],_players[[#This Row],[player_id]])</f>
        <v>11</v>
      </c>
      <c r="E14" s="11">
        <f>SUMIFS(_stats[wins_on_date],_stats[player_id],_players[[#This Row],[player_id]])</f>
        <v>176</v>
      </c>
      <c r="F14" s="12">
        <f>SUMIFS(_stats[draws_on_date],_stats[player_id],_players[[#This Row],[player_id]])</f>
        <v>49</v>
      </c>
      <c r="G14" s="12">
        <f>SUMIFS(_stats[foul_on_date],_stats[player_id],_players[[#This Row],[player_id]])</f>
        <v>1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26</v>
      </c>
      <c r="D15" s="11">
        <f>SUMIFS(_stats[assists_on_date],_stats[player_id],_players[[#This Row],[player_id]])</f>
        <v>44</v>
      </c>
      <c r="E15" s="11">
        <f>SUMIFS(_stats[wins_on_date],_stats[player_id],_players[[#This Row],[player_id]])</f>
        <v>87</v>
      </c>
      <c r="F15" s="12">
        <f>SUMIFS(_stats[draws_on_date],_stats[player_id],_players[[#This Row],[player_id]])</f>
        <v>17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21</v>
      </c>
      <c r="D16" s="11">
        <f>SUMIFS(_stats[assists_on_date],_stats[player_id],_players[[#This Row],[player_id]])</f>
        <v>36</v>
      </c>
      <c r="E16" s="11">
        <f>SUMIFS(_stats[wins_on_date],_stats[player_id],_players[[#This Row],[player_id]])</f>
        <v>72</v>
      </c>
      <c r="F16" s="12">
        <f>SUMIFS(_stats[draws_on_date],_stats[player_id],_players[[#This Row],[player_id]])</f>
        <v>11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10</v>
      </c>
      <c r="D17" s="11">
        <f>SUMIFS(_stats[assists_on_date],_stats[player_id],_players[[#This Row],[player_id]])</f>
        <v>23</v>
      </c>
      <c r="E17" s="11">
        <f>SUMIFS(_stats[wins_on_date],_stats[player_id],_players[[#This Row],[player_id]])</f>
        <v>68</v>
      </c>
      <c r="F17" s="12">
        <f>SUMIFS(_stats[draws_on_date],_stats[player_id],_players[[#This Row],[player_id]])</f>
        <v>17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21</v>
      </c>
      <c r="D20" s="11">
        <f>SUMIFS(_stats[assists_on_date],_stats[player_id],_players[[#This Row],[player_id]])</f>
        <v>21</v>
      </c>
      <c r="E20" s="11">
        <f>SUMIFS(_stats[wins_on_date],_stats[player_id],_players[[#This Row],[player_id]])</f>
        <v>121</v>
      </c>
      <c r="F20" s="12">
        <f>SUMIFS(_stats[draws_on_date],_stats[player_id],_players[[#This Row],[player_id]])</f>
        <v>26</v>
      </c>
      <c r="G20" s="12">
        <f>SUMIFS(_stats[foul_on_date],_stats[player_id],_players[[#This Row],[player_id]])</f>
        <v>2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41</v>
      </c>
      <c r="D21" s="11">
        <f>SUMIFS(_stats[assists_on_date],_stats[player_id],_players[[#This Row],[player_id]])</f>
        <v>52</v>
      </c>
      <c r="E21" s="11">
        <f>SUMIFS(_stats[wins_on_date],_stats[player_id],_players[[#This Row],[player_id]])</f>
        <v>139</v>
      </c>
      <c r="F21" s="12">
        <f>SUMIFS(_stats[draws_on_date],_stats[player_id],_players[[#This Row],[player_id]])</f>
        <v>38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129</v>
      </c>
      <c r="F22" s="17">
        <f>SUMIFS(_stats[draws_on_date],_stats[player_id],_players[[#This Row],[player_id]])</f>
        <v>29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38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128</v>
      </c>
      <c r="F23" s="12">
        <f>SUMIFS(_stats[draws_on_date],_stats[player_id],_players[[#This Row],[player_id]])</f>
        <v>28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17</v>
      </c>
      <c r="D25" s="11">
        <f>SUMIFS(_stats[assists_on_date],_stats[player_id],_players[[#This Row],[player_id]])</f>
        <v>26</v>
      </c>
      <c r="E25" s="11">
        <f>SUMIFS(_stats[wins_on_date],_stats[player_id],_players[[#This Row],[player_id]])</f>
        <v>121</v>
      </c>
      <c r="F25" s="12">
        <f>SUMIFS(_stats[draws_on_date],_stats[player_id],_players[[#This Row],[player_id]])</f>
        <v>38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16</v>
      </c>
      <c r="D27" s="11">
        <f>SUMIFS(_stats[assists_on_date],_stats[player_id],_players[[#This Row],[player_id]])</f>
        <v>24</v>
      </c>
      <c r="E27" s="11">
        <f>SUMIFS(_stats[wins_on_date],_stats[player_id],_players[[#This Row],[player_id]])</f>
        <v>98</v>
      </c>
      <c r="F27" s="12">
        <f>SUMIFS(_stats[draws_on_date],_stats[player_id],_players[[#This Row],[player_id]])</f>
        <v>22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4</v>
      </c>
      <c r="E28" s="11">
        <f>SUMIFS(_stats[wins_on_date],_stats[player_id],_players[[#This Row],[player_id]])</f>
        <v>69</v>
      </c>
      <c r="F28" s="12">
        <f>SUMIFS(_stats[draws_on_date],_stats[player_id],_players[[#This Row],[player_id]])</f>
        <v>27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50</v>
      </c>
      <c r="F30" s="17">
        <f>SUMIFS(_stats[draws_on_date],_stats[player_id],_players[[#This Row],[player_id]])</f>
        <v>11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9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31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79</v>
      </c>
      <c r="F37" s="12">
        <f>SUMIFS(_stats[draws_on_date],_stats[player_id],_players[[#This Row],[player_id]])</f>
        <v>23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16</v>
      </c>
      <c r="D38" s="11">
        <f>SUMIFS(_stats[assists_on_date],_stats[player_id],_players[[#This Row],[player_id]])</f>
        <v>20</v>
      </c>
      <c r="E38" s="11">
        <f>SUMIFS(_stats[wins_on_date],_stats[player_id],_players[[#This Row],[player_id]])</f>
        <v>74</v>
      </c>
      <c r="F38" s="12">
        <f>SUMIFS(_stats[draws_on_date],_stats[player_id],_players[[#This Row],[player_id]])</f>
        <v>27</v>
      </c>
      <c r="G38" s="12">
        <f>SUMIFS(_stats[foul_on_date],_stats[player_id],_players[[#This Row],[player_id]])</f>
        <v>2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167</v>
      </c>
      <c r="F39" s="12">
        <f>SUMIFS(_stats[draws_on_date],_stats[player_id],_players[[#This Row],[player_id]])</f>
        <v>64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29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84</v>
      </c>
      <c r="F41" s="12">
        <f>SUMIFS(_stats[draws_on_date],_stats[player_id],_players[[#This Row],[player_id]])</f>
        <v>28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17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71</v>
      </c>
      <c r="F42" s="17">
        <f>SUMIFS(_stats[draws_on_date],_stats[player_id],_players[[#This Row],[player_id]])</f>
        <v>21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9</v>
      </c>
      <c r="D43" s="11">
        <f>SUMIFS(_stats[assists_on_date],_stats[player_id],_players[[#This Row],[player_id]])</f>
        <v>11</v>
      </c>
      <c r="E43" s="11">
        <f>SUMIFS(_stats[wins_on_date],_stats[player_id],_players[[#This Row],[player_id]])</f>
        <v>50</v>
      </c>
      <c r="F43" s="12">
        <f>SUMIFS(_stats[draws_on_date],_stats[player_id],_players[[#This Row],[player_id]])</f>
        <v>21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27</v>
      </c>
      <c r="F44" s="12">
        <f>SUMIFS(_stats[draws_on_date],_stats[player_id],_players[[#This Row],[player_id]])</f>
        <v>1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4</v>
      </c>
      <c r="D45" s="16">
        <f>SUMIFS(_stats[assists_on_date],_stats[player_id],_players[[#This Row],[player_id]])</f>
        <v>6</v>
      </c>
      <c r="E45" s="16">
        <f>SUMIFS(_stats[wins_on_date],_stats[player_id],_players[[#This Row],[player_id]])</f>
        <v>25</v>
      </c>
      <c r="F45" s="17">
        <f>SUMIFS(_stats[draws_on_date],_stats[player_id],_players[[#This Row],[player_id]])</f>
        <v>5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72</v>
      </c>
      <c r="F48" s="17">
        <f>SUMIFS(_stats[draws_on_date],_stats[player_id],_players[[#This Row],[player_id]])</f>
        <v>19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4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13</v>
      </c>
      <c r="F55" s="8">
        <f>SUMIFS(_stats[draws_on_date],_stats[player_id],_players[[#This Row],[player_id]])</f>
        <v>6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19</v>
      </c>
      <c r="D59" s="10">
        <f>SUMIFS(_stats[assists_on_date],_stats[player_id],_players[[#This Row],[player_id]])</f>
        <v>7</v>
      </c>
      <c r="E59" s="10">
        <f>SUMIFS(_stats[wins_on_date],_stats[player_id],_players[[#This Row],[player_id]])</f>
        <v>50</v>
      </c>
      <c r="F59" s="18">
        <f>SUMIFS(_stats[draws_on_date],_stats[player_id],_players[[#This Row],[player_id]])</f>
        <v>16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6</v>
      </c>
      <c r="D60" s="10">
        <f>SUMIFS(_stats[assists_on_date],_stats[player_id],_players[[#This Row],[player_id]])</f>
        <v>3</v>
      </c>
      <c r="E60" s="10">
        <f>SUMIFS(_stats[wins_on_date],_stats[player_id],_players[[#This Row],[player_id]])</f>
        <v>14</v>
      </c>
      <c r="F60" s="18">
        <f>SUMIFS(_stats[draws_on_date],_stats[player_id],_players[[#This Row],[player_id]])</f>
        <v>3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21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120</v>
      </c>
      <c r="F64" s="18">
        <f>SUMIFS(_stats[draws_on_date],_stats[player_id],_players[[#This Row],[player_id]])</f>
        <v>39</v>
      </c>
      <c r="G64" s="18">
        <f>SUMIFS(_stats[foul_on_date],_stats[player_id],_players[[#This Row],[player_id]])</f>
        <v>1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15</v>
      </c>
      <c r="D66" s="10">
        <f>SUMIFS(_stats[assists_on_date],_stats[player_id],_players[[#This Row],[player_id]])</f>
        <v>9</v>
      </c>
      <c r="E66" s="10">
        <f>SUMIFS(_stats[wins_on_date],_stats[player_id],_players[[#This Row],[player_id]])</f>
        <v>19</v>
      </c>
      <c r="F66" s="18">
        <f>SUMIFS(_stats[draws_on_date],_stats[player_id],_players[[#This Row],[player_id]])</f>
        <v>4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48</v>
      </c>
      <c r="F68" s="8">
        <f>SUMIFS(_stats[draws_on_date],_stats[player_id],_players[[#This Row],[player_id]])</f>
        <v>11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3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24</v>
      </c>
      <c r="E79" s="10">
        <f>SUMIFS(_stats[wins_on_date],_stats[player_id],_players[[#This Row],[player_id]])</f>
        <v>76</v>
      </c>
      <c r="F79" s="18">
        <f>SUMIFS(_stats[draws_on_date],_stats[player_id],_players[[#This Row],[player_id]])</f>
        <v>21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22</v>
      </c>
      <c r="F84" s="18">
        <f>SUMIFS(_stats[draws_on_date],_stats[player_id],_players[[#This Row],[player_id]])</f>
        <v>4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22</v>
      </c>
      <c r="D87" s="10">
        <f>SUMIFS(_stats[assists_on_date],_stats[player_id],_players[[#This Row],[player_id]])</f>
        <v>10</v>
      </c>
      <c r="E87" s="10">
        <f>SUMIFS(_stats[wins_on_date],_stats[player_id],_players[[#This Row],[player_id]])</f>
        <v>39</v>
      </c>
      <c r="F87" s="18">
        <f>SUMIFS(_stats[draws_on_date],_stats[player_id],_players[[#This Row],[player_id]])</f>
        <v>14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15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8</v>
      </c>
      <c r="F109" s="18">
        <f>SUMIFS(_stats[draws_on_date],_stats[player_id],_players[[#This Row],[player_id]])</f>
        <v>6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45</v>
      </c>
      <c r="F110" s="18">
        <f>SUMIFS(_stats[draws_on_date],_stats[player_id],_players[[#This Row],[player_id]])</f>
        <v>19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15</v>
      </c>
      <c r="D120" s="10">
        <f>SUMIFS(_stats[assists_on_date],_stats[player_id],_players[[#This Row],[player_id]])</f>
        <v>8</v>
      </c>
      <c r="E120" s="10">
        <f>SUMIFS(_stats[wins_on_date],_stats[player_id],_players[[#This Row],[player_id]])</f>
        <v>47</v>
      </c>
      <c r="F120" s="18">
        <f>SUMIFS(_stats[draws_on_date],_stats[player_id],_players[[#This Row],[player_id]])</f>
        <v>20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18</v>
      </c>
      <c r="E121" s="10">
        <f>SUMIFS(_stats[wins_on_date],_stats[player_id],_players[[#This Row],[player_id]])</f>
        <v>67</v>
      </c>
      <c r="F121" s="18">
        <f>SUMIFS(_stats[draws_on_date],_stats[player_id],_players[[#This Row],[player_id]])</f>
        <v>25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13</v>
      </c>
      <c r="D126" s="10">
        <f>SUMIFS(_stats[assists_on_date],_stats[player_id],_players[[#This Row],[player_id]])</f>
        <v>6</v>
      </c>
      <c r="E126" s="10">
        <f>SUMIFS(_stats[wins_on_date],_stats[player_id],_players[[#This Row],[player_id]])</f>
        <v>31</v>
      </c>
      <c r="F126" s="18">
        <f>SUMIFS(_stats[draws_on_date],_stats[player_id],_players[[#This Row],[player_id]])</f>
        <v>17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6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13</v>
      </c>
      <c r="F134" s="18">
        <f>SUMIFS(_stats[draws_on_date],_stats[player_id],_players[[#This Row],[player_id]])</f>
        <v>4</v>
      </c>
      <c r="G134" s="18">
        <f>SUMIFS(_stats[foul_on_date],_stats[player_id],_players[[#This Row],[player_id]])</f>
        <v>2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2</v>
      </c>
      <c r="D137" s="10">
        <f>SUMIFS(_stats[assists_on_date],_stats[player_id],_players[[#This Row],[player_id]])</f>
        <v>2</v>
      </c>
      <c r="E137" s="10">
        <f>SUMIFS(_stats[wins_on_date],_stats[player_id],_players[[#This Row],[player_id]])</f>
        <v>23</v>
      </c>
      <c r="F137" s="18">
        <f>SUMIFS(_stats[draws_on_date],_stats[player_id],_players[[#This Row],[player_id]])</f>
        <v>7</v>
      </c>
      <c r="G137" s="18">
        <f>SUMIFS(_stats[foul_on_date],_stats[player_id],_players[[#This Row],[player_id]])</f>
        <v>1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9</v>
      </c>
      <c r="D140" s="10">
        <f>SUMIFS(_stats[assists_on_date],_stats[player_id],_players[[#This Row],[player_id]])</f>
        <v>2</v>
      </c>
      <c r="E140" s="10">
        <f>SUMIFS(_stats[wins_on_date],_stats[player_id],_players[[#This Row],[player_id]])</f>
        <v>8</v>
      </c>
      <c r="F140" s="18">
        <f>SUMIFS(_stats[draws_on_date],_stats[player_id],_players[[#This Row],[player_id]])</f>
        <v>10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1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5</v>
      </c>
      <c r="D145" s="10">
        <f>SUMIFS(_stats[assists_on_date],_stats[player_id],_players[[#This Row],[player_id]])</f>
        <v>4</v>
      </c>
      <c r="E145" s="10">
        <f>SUMIFS(_stats[wins_on_date],_stats[player_id],_players[[#This Row],[player_id]])</f>
        <v>17</v>
      </c>
      <c r="F145" s="18">
        <f>SUMIFS(_stats[draws_on_date],_stats[player_id],_players[[#This Row],[player_id]])</f>
        <v>8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184</v>
      </c>
      <c r="B147" s="36" t="s">
        <v>184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185</v>
      </c>
      <c r="B148" s="36" t="s">
        <v>185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18</v>
      </c>
      <c r="F148" s="18">
        <f>SUMIFS(_stats[draws_on_date],_stats[player_id],_players[[#This Row],[player_id]])</f>
        <v>14</v>
      </c>
      <c r="G148" s="18">
        <f>SUMIFS(_stats[foul_on_date],_stats[player_id],_players[[#This Row],[player_id]])</f>
        <v>2</v>
      </c>
    </row>
    <row r="149" spans="1:7" x14ac:dyDescent="0.25">
      <c r="A149" s="36" t="s">
        <v>186</v>
      </c>
      <c r="B149" s="36" t="s">
        <v>186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  <row r="150" spans="1:7" x14ac:dyDescent="0.25">
      <c r="A150" s="36" t="s">
        <v>188</v>
      </c>
      <c r="B150" s="36" t="s">
        <v>188</v>
      </c>
      <c r="C150" s="10">
        <f>SUMIFS(_stats[goals_on_date],_stats[player_id],_players[[#This Row],[player_id]])</f>
        <v>0</v>
      </c>
      <c r="D150" s="10">
        <f>SUMIFS(_stats[assists_on_date],_stats[player_id],_players[[#This Row],[player_id]])</f>
        <v>0</v>
      </c>
      <c r="E150" s="10">
        <f>SUMIFS(_stats[wins_on_date],_stats[player_id],_players[[#This Row],[player_id]])</f>
        <v>0</v>
      </c>
      <c r="F150" s="18">
        <f>SUMIFS(_stats[draws_on_date],_stats[player_id],_players[[#This Row],[player_id]])</f>
        <v>2</v>
      </c>
      <c r="G150" s="18">
        <f>SUMIFS(_stats[foul_on_date],_stats[player_id],_players[[#This Row],[player_id]])</f>
        <v>0</v>
      </c>
    </row>
    <row r="151" spans="1:7" x14ac:dyDescent="0.25">
      <c r="A151" s="36" t="s">
        <v>189</v>
      </c>
      <c r="B151" s="36" t="s">
        <v>189</v>
      </c>
      <c r="C151" s="10">
        <f>SUMIFS(_stats[goals_on_date],_stats[player_id],_players[[#This Row],[player_id]])</f>
        <v>0</v>
      </c>
      <c r="D151" s="10">
        <f>SUMIFS(_stats[assists_on_date],_stats[player_id],_players[[#This Row],[player_id]])</f>
        <v>0</v>
      </c>
      <c r="E151" s="10">
        <f>SUMIFS(_stats[wins_on_date],_stats[player_id],_players[[#This Row],[player_id]])</f>
        <v>3</v>
      </c>
      <c r="F151" s="18">
        <f>SUMIFS(_stats[draws_on_date],_stats[player_id],_players[[#This Row],[player_id]])</f>
        <v>3</v>
      </c>
      <c r="G151" s="18">
        <f>SUMIFS(_stats[foul_on_date],_stats[player_id],_players[[#This Row],[player_id]])</f>
        <v>1</v>
      </c>
    </row>
    <row r="152" spans="1:7" x14ac:dyDescent="0.25">
      <c r="A152" s="36" t="s">
        <v>190</v>
      </c>
      <c r="B152" s="36" t="s">
        <v>190</v>
      </c>
      <c r="C152" s="10">
        <f>SUMIFS(_stats[goals_on_date],_stats[player_id],_players[[#This Row],[player_id]])</f>
        <v>6</v>
      </c>
      <c r="D152" s="10">
        <f>SUMIFS(_stats[assists_on_date],_stats[player_id],_players[[#This Row],[player_id]])</f>
        <v>2</v>
      </c>
      <c r="E152" s="10">
        <f>SUMIFS(_stats[wins_on_date],_stats[player_id],_players[[#This Row],[player_id]])</f>
        <v>19</v>
      </c>
      <c r="F152" s="18">
        <f>SUMIFS(_stats[draws_on_date],_stats[player_id],_players[[#This Row],[player_id]])</f>
        <v>4</v>
      </c>
      <c r="G152" s="18">
        <f>SUMIFS(_stats[foul_on_date],_stats[player_id],_players[[#This Row],[player_id]])</f>
        <v>0</v>
      </c>
    </row>
    <row r="153" spans="1:7" x14ac:dyDescent="0.25">
      <c r="A153" s="36" t="s">
        <v>191</v>
      </c>
      <c r="B153" s="36" t="s">
        <v>191</v>
      </c>
      <c r="C153" s="10">
        <f>SUMIFS(_stats[goals_on_date],_stats[player_id],_players[[#This Row],[player_id]])</f>
        <v>0</v>
      </c>
      <c r="D153" s="10">
        <f>SUMIFS(_stats[assists_on_date],_stats[player_id],_players[[#This Row],[player_id]])</f>
        <v>0</v>
      </c>
      <c r="E153" s="10">
        <f>SUMIFS(_stats[wins_on_date],_stats[player_id],_players[[#This Row],[player_id]])</f>
        <v>4</v>
      </c>
      <c r="F153" s="18">
        <f>SUMIFS(_stats[draws_on_date],_stats[player_id],_players[[#This Row],[player_id]])</f>
        <v>1</v>
      </c>
      <c r="G153" s="18">
        <f>SUMIFS(_stats[foul_on_date],_stats[player_id],_players[[#This Row],[player_id]])</f>
        <v>0</v>
      </c>
    </row>
    <row r="154" spans="1:7" x14ac:dyDescent="0.25">
      <c r="A154" s="36" t="s">
        <v>192</v>
      </c>
      <c r="B154" s="36" t="s">
        <v>192</v>
      </c>
      <c r="C154" s="10">
        <f>SUMIFS(_stats[goals_on_date],_stats[player_id],_players[[#This Row],[player_id]])</f>
        <v>1</v>
      </c>
      <c r="D154" s="10">
        <f>SUMIFS(_stats[assists_on_date],_stats[player_id],_players[[#This Row],[player_id]])</f>
        <v>1</v>
      </c>
      <c r="E154" s="10">
        <f>SUMIFS(_stats[wins_on_date],_stats[player_id],_players[[#This Row],[player_id]])</f>
        <v>7</v>
      </c>
      <c r="F154" s="18">
        <f>SUMIFS(_stats[draws_on_date],_stats[player_id],_players[[#This Row],[player_id]])</f>
        <v>1</v>
      </c>
      <c r="G154" s="18">
        <f>SUMIFS(_stats[foul_on_date],_stats[player_id],_players[[#This Row],[player_id]])</f>
        <v>0</v>
      </c>
    </row>
    <row r="155" spans="1:7" x14ac:dyDescent="0.25">
      <c r="A155" s="36" t="s">
        <v>193</v>
      </c>
      <c r="B155" s="36" t="s">
        <v>193</v>
      </c>
      <c r="C155" s="10">
        <f>SUMIFS(_stats[goals_on_date],_stats[player_id],_players[[#This Row],[player_id]])</f>
        <v>0</v>
      </c>
      <c r="D155" s="10">
        <f>SUMIFS(_stats[assists_on_date],_stats[player_id],_players[[#This Row],[player_id]])</f>
        <v>0</v>
      </c>
      <c r="E155" s="10">
        <f>SUMIFS(_stats[wins_on_date],_stats[player_id],_players[[#This Row],[player_id]])</f>
        <v>0</v>
      </c>
      <c r="F155" s="18">
        <f>SUMIFS(_stats[draws_on_date],_stats[player_id],_players[[#This Row],[player_id]])</f>
        <v>2</v>
      </c>
      <c r="G155" s="18">
        <f>SUMIFS(_stats[foul_on_date],_stats[player_id],_players[[#This Row],[player_id]])</f>
        <v>0</v>
      </c>
    </row>
    <row r="156" spans="1:7" x14ac:dyDescent="0.25">
      <c r="A156" s="36" t="s">
        <v>194</v>
      </c>
      <c r="B156" s="36" t="s">
        <v>194</v>
      </c>
      <c r="C156" s="10">
        <f>SUMIFS(_stats[goals_on_date],_stats[player_id],_players[[#This Row],[player_id]])</f>
        <v>0</v>
      </c>
      <c r="D156" s="10">
        <f>SUMIFS(_stats[assists_on_date],_stats[player_id],_players[[#This Row],[player_id]])</f>
        <v>0</v>
      </c>
      <c r="E156" s="10">
        <f>SUMIFS(_stats[wins_on_date],_stats[player_id],_players[[#This Row],[player_id]])</f>
        <v>2</v>
      </c>
      <c r="F156" s="18">
        <f>SUMIFS(_stats[draws_on_date],_stats[player_id],_players[[#This Row],[player_id]])</f>
        <v>3</v>
      </c>
      <c r="G156" s="18">
        <f>SUMIFS(_stats[foul_on_date],_stats[player_id],_players[[#This Row],[player_id]])</f>
        <v>0</v>
      </c>
    </row>
    <row r="157" spans="1:7" x14ac:dyDescent="0.25">
      <c r="A157" s="36" t="s">
        <v>195</v>
      </c>
      <c r="B157" s="36" t="s">
        <v>195</v>
      </c>
      <c r="C157" s="10">
        <f>SUMIFS(_stats[goals_on_date],_stats[player_id],_players[[#This Row],[player_id]])</f>
        <v>0</v>
      </c>
      <c r="D157" s="10">
        <f>SUMIFS(_stats[assists_on_date],_stats[player_id],_players[[#This Row],[player_id]])</f>
        <v>2</v>
      </c>
      <c r="E157" s="10">
        <f>SUMIFS(_stats[wins_on_date],_stats[player_id],_players[[#This Row],[player_id]])</f>
        <v>2</v>
      </c>
      <c r="F157" s="18">
        <f>SUMIFS(_stats[draws_on_date],_stats[player_id],_players[[#This Row],[player_id]])</f>
        <v>3</v>
      </c>
      <c r="G157" s="18">
        <f>SUMIFS(_stats[foul_on_date],_stats[player_id],_players[[#This Row],[player_id]])</f>
        <v>0</v>
      </c>
    </row>
    <row r="158" spans="1:7" x14ac:dyDescent="0.25">
      <c r="A158" s="36" t="s">
        <v>196</v>
      </c>
      <c r="B158" s="36" t="s">
        <v>196</v>
      </c>
      <c r="C158" s="10">
        <f>SUMIFS(_stats[goals_on_date],_stats[player_id],_players[[#This Row],[player_id]])</f>
        <v>1</v>
      </c>
      <c r="D158" s="10">
        <f>SUMIFS(_stats[assists_on_date],_stats[player_id],_players[[#This Row],[player_id]])</f>
        <v>1</v>
      </c>
      <c r="E158" s="10">
        <f>SUMIFS(_stats[wins_on_date],_stats[player_id],_players[[#This Row],[player_id]])</f>
        <v>4</v>
      </c>
      <c r="F158" s="18">
        <f>SUMIFS(_stats[draws_on_date],_stats[player_id],_players[[#This Row],[player_id]])</f>
        <v>2</v>
      </c>
      <c r="G158" s="18">
        <f>SUMIFS(_stats[foul_on_date],_stats[player_id],_players[[#This Row],[player_id]])</f>
        <v>0</v>
      </c>
    </row>
    <row r="159" spans="1:7" x14ac:dyDescent="0.25">
      <c r="A159" s="36" t="s">
        <v>197</v>
      </c>
      <c r="B159" s="36" t="s">
        <v>197</v>
      </c>
      <c r="C159" s="10">
        <f>SUMIFS(_stats[goals_on_date],_stats[player_id],_players[[#This Row],[player_id]])</f>
        <v>0</v>
      </c>
      <c r="D159" s="10">
        <f>SUMIFS(_stats[assists_on_date],_stats[player_id],_players[[#This Row],[player_id]])</f>
        <v>0</v>
      </c>
      <c r="E159" s="10">
        <f>SUMIFS(_stats[wins_on_date],_stats[player_id],_players[[#This Row],[player_id]])</f>
        <v>10</v>
      </c>
      <c r="F159" s="18">
        <f>SUMIFS(_stats[draws_on_date],_stats[player_id],_players[[#This Row],[player_id]])</f>
        <v>1</v>
      </c>
      <c r="G159" s="18">
        <f>SUMIFS(_stats[foul_on_date],_stats[player_id],_players[[#This Row],[player_id]])</f>
        <v>0</v>
      </c>
    </row>
    <row r="160" spans="1:7" x14ac:dyDescent="0.25">
      <c r="A160" s="36" t="s">
        <v>198</v>
      </c>
      <c r="B160" s="36" t="s">
        <v>198</v>
      </c>
      <c r="C160" s="10">
        <f>SUMIFS(_stats[goals_on_date],_stats[player_id],_players[[#This Row],[player_id]])</f>
        <v>2</v>
      </c>
      <c r="D160" s="10">
        <f>SUMIFS(_stats[assists_on_date],_stats[player_id],_players[[#This Row],[player_id]])</f>
        <v>0</v>
      </c>
      <c r="E160" s="10">
        <f>SUMIFS(_stats[wins_on_date],_stats[player_id],_players[[#This Row],[player_id]])</f>
        <v>10</v>
      </c>
      <c r="F160" s="18">
        <f>SUMIFS(_stats[draws_on_date],_stats[player_id],_players[[#This Row],[player_id]])</f>
        <v>1</v>
      </c>
      <c r="G160" s="18">
        <f>SUMIFS(_stats[foul_on_date],_stats[player_id],_players[[#This Row],[player_id]])</f>
        <v>0</v>
      </c>
    </row>
    <row r="161" spans="1:7" x14ac:dyDescent="0.25">
      <c r="A161" s="36" t="s">
        <v>199</v>
      </c>
      <c r="B161" s="36" t="s">
        <v>199</v>
      </c>
      <c r="C161" s="10">
        <f>SUMIFS(_stats[goals_on_date],_stats[player_id],_players[[#This Row],[player_id]])</f>
        <v>4</v>
      </c>
      <c r="D161" s="10">
        <f>SUMIFS(_stats[assists_on_date],_stats[player_id],_players[[#This Row],[player_id]])</f>
        <v>3</v>
      </c>
      <c r="E161" s="10">
        <f>SUMIFS(_stats[wins_on_date],_stats[player_id],_players[[#This Row],[player_id]])</f>
        <v>10</v>
      </c>
      <c r="F161" s="18">
        <f>SUMIFS(_stats[draws_on_date],_stats[player_id],_players[[#This Row],[player_id]])</f>
        <v>1</v>
      </c>
      <c r="G161" s="18">
        <f>SUMIFS(_stats[foul_on_date],_stats[player_id],_players[[#This Row],[player_id]])</f>
        <v>0</v>
      </c>
    </row>
    <row r="162" spans="1:7" x14ac:dyDescent="0.25">
      <c r="A162" s="36" t="s">
        <v>200</v>
      </c>
      <c r="B162" s="36" t="s">
        <v>200</v>
      </c>
      <c r="C162" s="10">
        <f>SUMIFS(_stats[goals_on_date],_stats[player_id],_players[[#This Row],[player_id]])</f>
        <v>5</v>
      </c>
      <c r="D162" s="10">
        <f>SUMIFS(_stats[assists_on_date],_stats[player_id],_players[[#This Row],[player_id]])</f>
        <v>3</v>
      </c>
      <c r="E162" s="10">
        <f>SUMIFS(_stats[wins_on_date],_stats[player_id],_players[[#This Row],[player_id]])</f>
        <v>10</v>
      </c>
      <c r="F162" s="18">
        <f>SUMIFS(_stats[draws_on_date],_stats[player_id],_players[[#This Row],[player_id]])</f>
        <v>1</v>
      </c>
      <c r="G162" s="18">
        <f>SUMIFS(_stats[foul_on_date],_stats[player_id],_players[[#This Row],[player_id]])</f>
        <v>0</v>
      </c>
    </row>
    <row r="163" spans="1:7" x14ac:dyDescent="0.25">
      <c r="A163" s="36" t="s">
        <v>201</v>
      </c>
      <c r="B163" s="36" t="s">
        <v>201</v>
      </c>
      <c r="C163" s="10">
        <f>SUMIFS(_stats[goals_on_date],_stats[player_id],_players[[#This Row],[player_id]])</f>
        <v>3</v>
      </c>
      <c r="D163" s="10">
        <f>SUMIFS(_stats[assists_on_date],_stats[player_id],_players[[#This Row],[player_id]])</f>
        <v>3</v>
      </c>
      <c r="E163" s="10">
        <f>SUMIFS(_stats[wins_on_date],_stats[player_id],_players[[#This Row],[player_id]])</f>
        <v>5</v>
      </c>
      <c r="F163" s="18">
        <f>SUMIFS(_stats[draws_on_date],_stats[player_id],_players[[#This Row],[player_id]])</f>
        <v>1</v>
      </c>
      <c r="G163" s="18">
        <f>SUMIFS(_stats[foul_on_date],_stats[player_id],_players[[#This Row],[player_id]])</f>
        <v>0</v>
      </c>
    </row>
    <row r="164" spans="1:7" x14ac:dyDescent="0.25">
      <c r="A164" s="36" t="s">
        <v>202</v>
      </c>
      <c r="B164" s="36" t="s">
        <v>202</v>
      </c>
      <c r="C164" s="10">
        <f>SUMIFS(_stats[goals_on_date],_stats[player_id],_players[[#This Row],[player_id]])</f>
        <v>1</v>
      </c>
      <c r="D164" s="10">
        <f>SUMIFS(_stats[assists_on_date],_stats[player_id],_players[[#This Row],[player_id]])</f>
        <v>1</v>
      </c>
      <c r="E164" s="10">
        <f>SUMIFS(_stats[wins_on_date],_stats[player_id],_players[[#This Row],[player_id]])</f>
        <v>5</v>
      </c>
      <c r="F164" s="18">
        <f>SUMIFS(_stats[draws_on_date],_stats[player_id],_players[[#This Row],[player_id]])</f>
        <v>1</v>
      </c>
      <c r="G164" s="18">
        <f>SUMIFS(_stats[foul_on_date],_stats[player_id],_players[[#This Row],[player_id]])</f>
        <v>0</v>
      </c>
    </row>
    <row r="165" spans="1:7" x14ac:dyDescent="0.25">
      <c r="A165" s="36" t="s">
        <v>203</v>
      </c>
      <c r="B165" s="36" t="s">
        <v>203</v>
      </c>
      <c r="C165" s="10">
        <f>SUMIFS(_stats[goals_on_date],_stats[player_id],_players[[#This Row],[player_id]])</f>
        <v>1</v>
      </c>
      <c r="D165" s="10">
        <f>SUMIFS(_stats[assists_on_date],_stats[player_id],_players[[#This Row],[player_id]])</f>
        <v>0</v>
      </c>
      <c r="E165" s="10">
        <f>SUMIFS(_stats[wins_on_date],_stats[player_id],_players[[#This Row],[player_id]])</f>
        <v>10</v>
      </c>
      <c r="F165" s="18">
        <f>SUMIFS(_stats[draws_on_date],_stats[player_id],_players[[#This Row],[player_id]])</f>
        <v>5</v>
      </c>
      <c r="G165" s="18">
        <f>SUMIFS(_stats[foul_on_date],_stats[player_id],_players[[#This Row],[player_id]])</f>
        <v>0</v>
      </c>
    </row>
    <row r="166" spans="1:7" x14ac:dyDescent="0.25">
      <c r="A166" s="36" t="s">
        <v>204</v>
      </c>
      <c r="B166" s="36" t="s">
        <v>204</v>
      </c>
      <c r="C166" s="10">
        <f>SUMIFS(_stats[goals_on_date],_stats[player_id],_players[[#This Row],[player_id]])</f>
        <v>1</v>
      </c>
      <c r="D166" s="10">
        <f>SUMIFS(_stats[assists_on_date],_stats[player_id],_players[[#This Row],[player_id]])</f>
        <v>0</v>
      </c>
      <c r="E166" s="10">
        <f>SUMIFS(_stats[wins_on_date],_stats[player_id],_players[[#This Row],[player_id]])</f>
        <v>5</v>
      </c>
      <c r="F166" s="18">
        <f>SUMIFS(_stats[draws_on_date],_stats[player_id],_players[[#This Row],[player_id]])</f>
        <v>1</v>
      </c>
      <c r="G166" s="18">
        <f>SUMIFS(_stats[foul_on_date],_stats[player_id],_players[[#This Row],[player_id]])</f>
        <v>0</v>
      </c>
    </row>
    <row r="167" spans="1:7" x14ac:dyDescent="0.25">
      <c r="A167" s="36" t="s">
        <v>205</v>
      </c>
      <c r="B167" s="36" t="s">
        <v>205</v>
      </c>
      <c r="C167" s="10">
        <f>SUMIFS(_stats[goals_on_date],_stats[player_id],_players[[#This Row],[player_id]])</f>
        <v>0</v>
      </c>
      <c r="D167" s="10">
        <f>SUMIFS(_stats[assists_on_date],_stats[player_id],_players[[#This Row],[player_id]])</f>
        <v>0</v>
      </c>
      <c r="E167" s="10">
        <f>SUMIFS(_stats[wins_on_date],_stats[player_id],_players[[#This Row],[player_id]])</f>
        <v>5</v>
      </c>
      <c r="F167" s="18">
        <f>SUMIFS(_stats[draws_on_date],_stats[player_id],_players[[#This Row],[player_id]])</f>
        <v>1</v>
      </c>
      <c r="G167" s="18">
        <f>SUMIFS(_stats[foul_on_date],_stats[player_id],_players[[#This Row],[player_id]])</f>
        <v>0</v>
      </c>
    </row>
    <row r="168" spans="1:7" x14ac:dyDescent="0.25">
      <c r="A168" s="36" t="s">
        <v>206</v>
      </c>
      <c r="B168" s="36" t="s">
        <v>206</v>
      </c>
      <c r="C168" s="10">
        <f>SUMIFS(_stats[goals_on_date],_stats[player_id],_players[[#This Row],[player_id]])</f>
        <v>0</v>
      </c>
      <c r="D168" s="10">
        <f>SUMIFS(_stats[assists_on_date],_stats[player_id],_players[[#This Row],[player_id]])</f>
        <v>0</v>
      </c>
      <c r="E168" s="10">
        <f>SUMIFS(_stats[wins_on_date],_stats[player_id],_players[[#This Row],[player_id]])</f>
        <v>1</v>
      </c>
      <c r="F168" s="18">
        <f>SUMIFS(_stats[draws_on_date],_stats[player_id],_players[[#This Row],[player_id]])</f>
        <v>0</v>
      </c>
      <c r="G168" s="18">
        <f>SUMIFS(_stats[foul_on_date],_stats[player_id],_players[[#This Row],[player_id]])</f>
        <v>0</v>
      </c>
    </row>
    <row r="169" spans="1:7" x14ac:dyDescent="0.25">
      <c r="A169" s="36" t="s">
        <v>207</v>
      </c>
      <c r="B169" s="36" t="s">
        <v>207</v>
      </c>
      <c r="C169" s="10">
        <f>SUMIFS(_stats[goals_on_date],_stats[player_id],_players[[#This Row],[player_id]])</f>
        <v>0</v>
      </c>
      <c r="D169" s="10">
        <f>SUMIFS(_stats[assists_on_date],_stats[player_id],_players[[#This Row],[player_id]])</f>
        <v>0</v>
      </c>
      <c r="E169" s="10">
        <f>SUMIFS(_stats[wins_on_date],_stats[player_id],_players[[#This Row],[player_id]])</f>
        <v>1</v>
      </c>
      <c r="F169" s="18">
        <f>SUMIFS(_stats[draws_on_date],_stats[player_id],_players[[#This Row],[player_id]])</f>
        <v>0</v>
      </c>
      <c r="G169" s="18">
        <f>SUMIFS(_stats[foul_on_date],_stats[player_id],_players[[#This Row],[player_id]])</f>
        <v>0</v>
      </c>
    </row>
    <row r="170" spans="1:7" x14ac:dyDescent="0.25">
      <c r="A170" s="36" t="s">
        <v>208</v>
      </c>
      <c r="B170" s="36" t="s">
        <v>208</v>
      </c>
      <c r="C170" s="10">
        <f>SUMIFS(_stats[goals_on_date],_stats[player_id],_players[[#This Row],[player_id]])</f>
        <v>0</v>
      </c>
      <c r="D170" s="10">
        <f>SUMIFS(_stats[assists_on_date],_stats[player_id],_players[[#This Row],[player_id]])</f>
        <v>0</v>
      </c>
      <c r="E170" s="10">
        <f>SUMIFS(_stats[wins_on_date],_stats[player_id],_players[[#This Row],[player_id]])</f>
        <v>1</v>
      </c>
      <c r="F170" s="18">
        <f>SUMIFS(_stats[draws_on_date],_stats[player_id],_players[[#This Row],[player_id]])</f>
        <v>0</v>
      </c>
      <c r="G170" s="18">
        <f>SUMIFS(_stats[foul_on_date],_stats[player_id],_players[[#This Row],[player_id]])</f>
        <v>0</v>
      </c>
    </row>
    <row r="171" spans="1:7" x14ac:dyDescent="0.25">
      <c r="A171" s="36" t="s">
        <v>209</v>
      </c>
      <c r="B171" s="36" t="s">
        <v>209</v>
      </c>
      <c r="C171" s="10">
        <f>SUMIFS(_stats[goals_on_date],_stats[player_id],_players[[#This Row],[player_id]])</f>
        <v>0</v>
      </c>
      <c r="D171" s="10">
        <f>SUMIFS(_stats[assists_on_date],_stats[player_id],_players[[#This Row],[player_id]])</f>
        <v>0</v>
      </c>
      <c r="E171" s="10">
        <f>SUMIFS(_stats[wins_on_date],_stats[player_id],_players[[#This Row],[player_id]])</f>
        <v>1</v>
      </c>
      <c r="F171" s="18">
        <f>SUMIFS(_stats[draws_on_date],_stats[player_id],_players[[#This Row],[player_id]])</f>
        <v>0</v>
      </c>
      <c r="G171" s="18">
        <f>SUMIFS(_stats[foul_on_date],_stats[player_id],_players[[#This Row],[player_id]])</f>
        <v>0</v>
      </c>
    </row>
    <row r="172" spans="1:7" x14ac:dyDescent="0.25">
      <c r="A172" s="36" t="s">
        <v>210</v>
      </c>
      <c r="B172" s="36" t="s">
        <v>210</v>
      </c>
      <c r="C172" s="10">
        <f>SUMIFS(_stats[goals_on_date],_stats[player_id],_players[[#This Row],[player_id]])</f>
        <v>1</v>
      </c>
      <c r="D172" s="10">
        <f>SUMIFS(_stats[assists_on_date],_stats[player_id],_players[[#This Row],[player_id]])</f>
        <v>0</v>
      </c>
      <c r="E172" s="10">
        <f>SUMIFS(_stats[wins_on_date],_stats[player_id],_players[[#This Row],[player_id]])</f>
        <v>2</v>
      </c>
      <c r="F172" s="18">
        <f>SUMIFS(_stats[draws_on_date],_stats[player_id],_players[[#This Row],[player_id]])</f>
        <v>1</v>
      </c>
      <c r="G172" s="18">
        <f>SUMIFS(_stats[foul_on_date],_stats[player_id],_players[[#This Row],[player_id]])</f>
        <v>0</v>
      </c>
    </row>
    <row r="173" spans="1:7" x14ac:dyDescent="0.25">
      <c r="A173" s="36" t="s">
        <v>211</v>
      </c>
      <c r="B173" s="36" t="s">
        <v>211</v>
      </c>
      <c r="C173" s="10">
        <f>SUMIFS(_stats[goals_on_date],_stats[player_id],_players[[#This Row],[player_id]])</f>
        <v>0</v>
      </c>
      <c r="D173" s="10">
        <f>SUMIFS(_stats[assists_on_date],_stats[player_id],_players[[#This Row],[player_id]])</f>
        <v>0</v>
      </c>
      <c r="E173" s="10">
        <f>SUMIFS(_stats[wins_on_date],_stats[player_id],_players[[#This Row],[player_id]])</f>
        <v>1</v>
      </c>
      <c r="F173" s="18">
        <f>SUMIFS(_stats[draws_on_date],_stats[player_id],_players[[#This Row],[player_id]])</f>
        <v>0</v>
      </c>
      <c r="G173" s="18">
        <f>SUMIFS(_stats[foul_on_date],_stats[player_id],_players[[#This Row],[player_id]])</f>
        <v>0</v>
      </c>
    </row>
    <row r="174" spans="1:7" x14ac:dyDescent="0.25">
      <c r="A174" s="36" t="s">
        <v>212</v>
      </c>
      <c r="B174" s="36" t="s">
        <v>212</v>
      </c>
      <c r="C174" s="10">
        <f>SUMIFS(_stats[goals_on_date],_stats[player_id],_players[[#This Row],[player_id]])</f>
        <v>0</v>
      </c>
      <c r="D174" s="10">
        <f>SUMIFS(_stats[assists_on_date],_stats[player_id],_players[[#This Row],[player_id]])</f>
        <v>0</v>
      </c>
      <c r="E174" s="10">
        <f>SUMIFS(_stats[wins_on_date],_stats[player_id],_players[[#This Row],[player_id]])</f>
        <v>2</v>
      </c>
      <c r="F174" s="18">
        <f>SUMIFS(_stats[draws_on_date],_stats[player_id],_players[[#This Row],[player_id]])</f>
        <v>0</v>
      </c>
      <c r="G174" s="18">
        <f>SUMIFS(_stats[foul_on_date],_stats[player_id],_players[[#This Row],[player_id]])</f>
        <v>0</v>
      </c>
    </row>
    <row r="175" spans="1:7" x14ac:dyDescent="0.25">
      <c r="A175" s="36" t="s">
        <v>213</v>
      </c>
      <c r="B175" s="36" t="s">
        <v>213</v>
      </c>
      <c r="C175" s="10">
        <f>SUMIFS(_stats[goals_on_date],_stats[player_id],_players[[#This Row],[player_id]])</f>
        <v>0</v>
      </c>
      <c r="D175" s="10">
        <f>SUMIFS(_stats[assists_on_date],_stats[player_id],_players[[#This Row],[player_id]])</f>
        <v>0</v>
      </c>
      <c r="E175" s="10">
        <f>SUMIFS(_stats[wins_on_date],_stats[player_id],_players[[#This Row],[player_id]])</f>
        <v>2</v>
      </c>
      <c r="F175" s="18">
        <f>SUMIFS(_stats[draws_on_date],_stats[player_id],_players[[#This Row],[player_id]])</f>
        <v>0</v>
      </c>
      <c r="G175" s="18">
        <f>SUMIFS(_stats[foul_on_date],_stats[player_id],_players[[#This Row],[player_id]])</f>
        <v>0</v>
      </c>
    </row>
    <row r="176" spans="1:7" x14ac:dyDescent="0.25">
      <c r="A176" s="36" t="s">
        <v>214</v>
      </c>
      <c r="B176" s="36" t="s">
        <v>214</v>
      </c>
      <c r="C176" s="10">
        <f>SUMIFS(_stats[goals_on_date],_stats[player_id],_players[[#This Row],[player_id]])</f>
        <v>0</v>
      </c>
      <c r="D176" s="10">
        <f>SUMIFS(_stats[assists_on_date],_stats[player_id],_players[[#This Row],[player_id]])</f>
        <v>0</v>
      </c>
      <c r="E176" s="10">
        <f>SUMIFS(_stats[wins_on_date],_stats[player_id],_players[[#This Row],[player_id]])</f>
        <v>2</v>
      </c>
      <c r="F176" s="18">
        <f>SUMIFS(_stats[draws_on_date],_stats[player_id],_players[[#This Row],[player_id]])</f>
        <v>0</v>
      </c>
      <c r="G176" s="18">
        <f>SUMIFS(_stats[foul_on_date],_stats[player_id],_players[[#This Row],[player_id]])</f>
        <v>0</v>
      </c>
    </row>
    <row r="177" spans="1:7" x14ac:dyDescent="0.25">
      <c r="A177" s="36" t="s">
        <v>215</v>
      </c>
      <c r="B177" s="36" t="s">
        <v>215</v>
      </c>
      <c r="C177" s="10">
        <f>SUMIFS(_stats[goals_on_date],_stats[player_id],_players[[#This Row],[player_id]])</f>
        <v>1</v>
      </c>
      <c r="D177" s="10">
        <f>SUMIFS(_stats[assists_on_date],_stats[player_id],_players[[#This Row],[player_id]])</f>
        <v>0</v>
      </c>
      <c r="E177" s="10">
        <f>SUMIFS(_stats[wins_on_date],_stats[player_id],_players[[#This Row],[player_id]])</f>
        <v>2</v>
      </c>
      <c r="F177" s="18">
        <f>SUMIFS(_stats[draws_on_date],_stats[player_id],_players[[#This Row],[player_id]])</f>
        <v>0</v>
      </c>
      <c r="G177" s="18">
        <f>SUMIFS(_stats[foul_on_date],_stats[player_id],_players[[#This Row],[player_id]])</f>
        <v>0</v>
      </c>
    </row>
    <row r="178" spans="1:7" x14ac:dyDescent="0.25">
      <c r="A178" s="36" t="s">
        <v>216</v>
      </c>
      <c r="B178" s="36" t="s">
        <v>216</v>
      </c>
      <c r="C178" s="10">
        <f>SUMIFS(_stats[goals_on_date],_stats[player_id],_players[[#This Row],[player_id]])</f>
        <v>0</v>
      </c>
      <c r="D178" s="10">
        <f>SUMIFS(_stats[assists_on_date],_stats[player_id],_players[[#This Row],[player_id]])</f>
        <v>0</v>
      </c>
      <c r="E178" s="10">
        <f>SUMIFS(_stats[wins_on_date],_stats[player_id],_players[[#This Row],[player_id]])</f>
        <v>1</v>
      </c>
      <c r="F178" s="18">
        <f>SUMIFS(_stats[draws_on_date],_stats[player_id],_players[[#This Row],[player_id]])</f>
        <v>1</v>
      </c>
      <c r="G178" s="18">
        <f>SUMIFS(_stats[foul_on_date],_stats[player_id],_players[[#This Row],[player_id]])</f>
        <v>1</v>
      </c>
    </row>
    <row r="179" spans="1:7" x14ac:dyDescent="0.25">
      <c r="A179" s="36" t="s">
        <v>217</v>
      </c>
      <c r="B179" s="36" t="s">
        <v>217</v>
      </c>
      <c r="C179" s="10">
        <f>SUMIFS(_stats[goals_on_date],_stats[player_id],_players[[#This Row],[player_id]])</f>
        <v>0</v>
      </c>
      <c r="D179" s="10">
        <f>SUMIFS(_stats[assists_on_date],_stats[player_id],_players[[#This Row],[player_id]])</f>
        <v>0</v>
      </c>
      <c r="E179" s="10">
        <f>SUMIFS(_stats[wins_on_date],_stats[player_id],_players[[#This Row],[player_id]])</f>
        <v>0</v>
      </c>
      <c r="F179" s="18">
        <f>SUMIFS(_stats[draws_on_date],_stats[player_id],_players[[#This Row],[player_id]])</f>
        <v>0</v>
      </c>
      <c r="G179" s="18">
        <f>SUMIFS(_stats[foul_on_date],_stats[player_id],_players[[#This Row],[player_id]])</f>
        <v>0</v>
      </c>
    </row>
    <row r="180" spans="1:7" x14ac:dyDescent="0.25">
      <c r="A180" s="36" t="s">
        <v>218</v>
      </c>
      <c r="B180" s="36" t="s">
        <v>218</v>
      </c>
      <c r="C180" s="10">
        <f>SUMIFS(_stats[goals_on_date],_stats[player_id],_players[[#This Row],[player_id]])</f>
        <v>0</v>
      </c>
      <c r="D180" s="10">
        <f>SUMIFS(_stats[assists_on_date],_stats[player_id],_players[[#This Row],[player_id]])</f>
        <v>0</v>
      </c>
      <c r="E180" s="10">
        <f>SUMIFS(_stats[wins_on_date],_stats[player_id],_players[[#This Row],[player_id]])</f>
        <v>0</v>
      </c>
      <c r="F180" s="18">
        <f>SUMIFS(_stats[draws_on_date],_stats[player_id],_players[[#This Row],[player_id]])</f>
        <v>0</v>
      </c>
      <c r="G180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495"/>
  <sheetViews>
    <sheetView tabSelected="1" topLeftCell="A1457" zoomScale="85" zoomScaleNormal="85" workbookViewId="0">
      <selection activeCell="F1494" sqref="F1494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184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64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47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21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124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67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44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59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12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25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13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22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79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42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45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63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17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135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75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140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19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182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155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54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134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41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85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159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25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10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146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14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59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64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185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15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134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11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79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135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28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22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19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52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32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184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120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47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54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34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29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21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57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144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145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152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42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124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39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186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  <row r="1339" spans="1:15" x14ac:dyDescent="0.25">
      <c r="A1339" s="59">
        <v>46194</v>
      </c>
      <c r="B1339" s="7">
        <v>3</v>
      </c>
      <c r="C1339" s="7" t="s">
        <v>59</v>
      </c>
      <c r="D1339" s="10" t="str">
        <f>IFERROR(VLOOKUP(_stats[[#This Row],[player_id]],_players[[player_id]:[player_name]],2,0),"")</f>
        <v>Юра Пименов</v>
      </c>
      <c r="E1339" s="7">
        <v>2</v>
      </c>
      <c r="F1339" s="8">
        <v>0</v>
      </c>
      <c r="G1339" s="10">
        <f>SUMIFS(_teams[wins_on_date],_teams[date],_stats[[#This Row],[date]],_teams[team_number],_stats[[#This Row],[team_number]])</f>
        <v>7</v>
      </c>
      <c r="H1339" s="10">
        <f>SUMIFS(_teams[draws_on_date],_teams[date],_stats[[#This Row],[date]],_teams[team_number],_stats[[#This Row],[team_number]])</f>
        <v>1</v>
      </c>
      <c r="I1339" s="10">
        <v>0</v>
      </c>
      <c r="J1339" s="10">
        <v>0</v>
      </c>
      <c r="K1339" s="58">
        <v>7</v>
      </c>
      <c r="L1339" s="55" t="str">
        <f>VLOOKUP(_stats[[#This Row],[tournament]],tournaments_n_rules[],2,0)</f>
        <v>УПК</v>
      </c>
      <c r="M1339" s="55" t="str">
        <f>VLOOKUP(_stats[[#This Row],[tournament]],tournaments_n_rules[],3,0)</f>
        <v>Лето 2026</v>
      </c>
      <c r="N1339" s="56">
        <f>VLOOKUP(_stats[[#This Row],[tournament]],tournaments_n_rules[],4,0)</f>
        <v>46194</v>
      </c>
      <c r="O1339" s="56">
        <f>VLOOKUP(_stats[[#This Row],[tournament]],tournaments_n_rules[],5,0)</f>
        <v>46265</v>
      </c>
    </row>
    <row r="1340" spans="1:15" x14ac:dyDescent="0.25">
      <c r="A1340" s="59">
        <v>46194</v>
      </c>
      <c r="B1340" s="7">
        <v>1</v>
      </c>
      <c r="C1340" s="7" t="s">
        <v>28</v>
      </c>
      <c r="D1340" s="10" t="str">
        <f>IFERROR(VLOOKUP(_stats[[#This Row],[player_id]],_players[[player_id]:[player_name]],2,0),"")</f>
        <v>Никита</v>
      </c>
      <c r="E1340" s="7">
        <v>0</v>
      </c>
      <c r="F1340" s="8">
        <v>0</v>
      </c>
      <c r="G1340" s="10">
        <f>SUMIFS(_teams[wins_on_date],_teams[date],_stats[[#This Row],[date]],_teams[team_number],_stats[[#This Row],[team_number]])</f>
        <v>0</v>
      </c>
      <c r="H1340" s="10">
        <f>SUMIFS(_teams[draws_on_date],_teams[date],_stats[[#This Row],[date]],_teams[team_number],_stats[[#This Row],[team_number]])</f>
        <v>2</v>
      </c>
      <c r="I1340" s="10">
        <v>0</v>
      </c>
      <c r="J1340" s="10">
        <v>0</v>
      </c>
      <c r="K1340" s="58">
        <v>7</v>
      </c>
      <c r="L1340" s="55" t="str">
        <f>VLOOKUP(_stats[[#This Row],[tournament]],tournaments_n_rules[],2,0)</f>
        <v>УПК</v>
      </c>
      <c r="M1340" s="55" t="str">
        <f>VLOOKUP(_stats[[#This Row],[tournament]],tournaments_n_rules[],3,0)</f>
        <v>Лето 2026</v>
      </c>
      <c r="N1340" s="56">
        <f>VLOOKUP(_stats[[#This Row],[tournament]],tournaments_n_rules[],4,0)</f>
        <v>46194</v>
      </c>
      <c r="O1340" s="56">
        <f>VLOOKUP(_stats[[#This Row],[tournament]],tournaments_n_rules[],5,0)</f>
        <v>46265</v>
      </c>
    </row>
    <row r="1341" spans="1:15" x14ac:dyDescent="0.25">
      <c r="A1341" s="59">
        <v>46194</v>
      </c>
      <c r="B1341" s="7">
        <v>1</v>
      </c>
      <c r="C1341" s="7" t="s">
        <v>42</v>
      </c>
      <c r="D1341" s="10" t="str">
        <f>IFERROR(VLOOKUP(_stats[[#This Row],[player_id]],_players[[player_id]:[player_name]],2,0),"")</f>
        <v>Нурик</v>
      </c>
      <c r="E1341" s="7">
        <v>1</v>
      </c>
      <c r="F1341" s="8">
        <v>0</v>
      </c>
      <c r="G1341" s="10">
        <f>SUMIFS(_teams[wins_on_date],_teams[date],_stats[[#This Row],[date]],_teams[team_number],_stats[[#This Row],[team_number]])</f>
        <v>0</v>
      </c>
      <c r="H1341" s="10">
        <f>SUMIFS(_teams[draws_on_date],_teams[date],_stats[[#This Row],[date]],_teams[team_number],_stats[[#This Row],[team_number]])</f>
        <v>2</v>
      </c>
      <c r="I1341" s="10">
        <v>0</v>
      </c>
      <c r="J1341" s="10">
        <v>0</v>
      </c>
      <c r="K1341" s="58">
        <v>7</v>
      </c>
      <c r="L1341" s="55" t="str">
        <f>VLOOKUP(_stats[[#This Row],[tournament]],tournaments_n_rules[],2,0)</f>
        <v>УПК</v>
      </c>
      <c r="M1341" s="55" t="str">
        <f>VLOOKUP(_stats[[#This Row],[tournament]],tournaments_n_rules[],3,0)</f>
        <v>Лето 2026</v>
      </c>
      <c r="N1341" s="56">
        <f>VLOOKUP(_stats[[#This Row],[tournament]],tournaments_n_rules[],4,0)</f>
        <v>46194</v>
      </c>
      <c r="O1341" s="56">
        <f>VLOOKUP(_stats[[#This Row],[tournament]],tournaments_n_rules[],5,0)</f>
        <v>46265</v>
      </c>
    </row>
    <row r="1342" spans="1:15" x14ac:dyDescent="0.25">
      <c r="A1342" s="59">
        <v>46194</v>
      </c>
      <c r="B1342" s="7">
        <v>2</v>
      </c>
      <c r="C1342" s="7" t="s">
        <v>152</v>
      </c>
      <c r="D1342" s="10" t="str">
        <f>IFERROR(VLOOKUP(_stats[[#This Row],[player_id]],_players[[player_id]:[player_name]],2,0),"")</f>
        <v>Сурэн</v>
      </c>
      <c r="E1342" s="7">
        <v>1</v>
      </c>
      <c r="F1342" s="8">
        <v>1</v>
      </c>
      <c r="G1342" s="10">
        <f>SUMIFS(_teams[wins_on_date],_teams[date],_stats[[#This Row],[date]],_teams[team_number],_stats[[#This Row],[team_number]])</f>
        <v>4</v>
      </c>
      <c r="H1342" s="10">
        <f>SUMIFS(_teams[draws_on_date],_teams[date],_stats[[#This Row],[date]],_teams[team_number],_stats[[#This Row],[team_number]])</f>
        <v>1</v>
      </c>
      <c r="I1342" s="10">
        <v>0</v>
      </c>
      <c r="J1342" s="10">
        <v>1</v>
      </c>
      <c r="K1342" s="58">
        <v>7</v>
      </c>
      <c r="L1342" s="55" t="str">
        <f>VLOOKUP(_stats[[#This Row],[tournament]],tournaments_n_rules[],2,0)</f>
        <v>УПК</v>
      </c>
      <c r="M1342" s="55" t="str">
        <f>VLOOKUP(_stats[[#This Row],[tournament]],tournaments_n_rules[],3,0)</f>
        <v>Лето 2026</v>
      </c>
      <c r="N1342" s="56">
        <f>VLOOKUP(_stats[[#This Row],[tournament]],tournaments_n_rules[],4,0)</f>
        <v>46194</v>
      </c>
      <c r="O1342" s="56">
        <f>VLOOKUP(_stats[[#This Row],[tournament]],tournaments_n_rules[],5,0)</f>
        <v>46265</v>
      </c>
    </row>
    <row r="1343" spans="1:15" x14ac:dyDescent="0.25">
      <c r="A1343" s="59">
        <v>46194</v>
      </c>
      <c r="B1343" s="7">
        <v>2</v>
      </c>
      <c r="C1343" s="7" t="s">
        <v>17</v>
      </c>
      <c r="D1343" s="10" t="str">
        <f>IFERROR(VLOOKUP(_stats[[#This Row],[player_id]],_players[[player_id]:[player_name]],2,0),"")</f>
        <v>Костя</v>
      </c>
      <c r="E1343" s="7">
        <v>4</v>
      </c>
      <c r="F1343" s="8">
        <v>0</v>
      </c>
      <c r="G1343" s="10">
        <f>SUMIFS(_teams[wins_on_date],_teams[date],_stats[[#This Row],[date]],_teams[team_number],_stats[[#This Row],[team_number]])</f>
        <v>4</v>
      </c>
      <c r="H1343" s="10">
        <f>SUMIFS(_teams[draws_on_date],_teams[date],_stats[[#This Row],[date]],_teams[team_number],_stats[[#This Row],[team_number]])</f>
        <v>1</v>
      </c>
      <c r="I1343" s="10">
        <v>0</v>
      </c>
      <c r="J1343" s="10">
        <v>0</v>
      </c>
      <c r="K1343" s="58">
        <v>7</v>
      </c>
      <c r="L1343" s="55" t="str">
        <f>VLOOKUP(_stats[[#This Row],[tournament]],tournaments_n_rules[],2,0)</f>
        <v>УПК</v>
      </c>
      <c r="M1343" s="55" t="str">
        <f>VLOOKUP(_stats[[#This Row],[tournament]],tournaments_n_rules[],3,0)</f>
        <v>Лето 2026</v>
      </c>
      <c r="N1343" s="56">
        <f>VLOOKUP(_stats[[#This Row],[tournament]],tournaments_n_rules[],4,0)</f>
        <v>46194</v>
      </c>
      <c r="O1343" s="56">
        <f>VLOOKUP(_stats[[#This Row],[tournament]],tournaments_n_rules[],5,0)</f>
        <v>46265</v>
      </c>
    </row>
    <row r="1344" spans="1:15" x14ac:dyDescent="0.25">
      <c r="A1344" s="59">
        <v>46194</v>
      </c>
      <c r="B1344" s="7">
        <v>2</v>
      </c>
      <c r="C1344" s="7" t="s">
        <v>79</v>
      </c>
      <c r="D1344" s="10" t="str">
        <f>IFERROR(VLOOKUP(_stats[[#This Row],[player_id]],_players[[player_id]:[player_name]],2,0),"")</f>
        <v>Анашкин</v>
      </c>
      <c r="E1344" s="7">
        <v>0</v>
      </c>
      <c r="F1344" s="8">
        <v>0</v>
      </c>
      <c r="G1344" s="10">
        <f>SUMIFS(_teams[wins_on_date],_teams[date],_stats[[#This Row],[date]],_teams[team_number],_stats[[#This Row],[team_number]])</f>
        <v>4</v>
      </c>
      <c r="H1344" s="10">
        <f>SUMIFS(_teams[draws_on_date],_teams[date],_stats[[#This Row],[date]],_teams[team_number],_stats[[#This Row],[team_number]])</f>
        <v>1</v>
      </c>
      <c r="I1344" s="10">
        <v>0</v>
      </c>
      <c r="J1344" s="10">
        <v>0</v>
      </c>
      <c r="K1344" s="58">
        <v>7</v>
      </c>
      <c r="L1344" s="55" t="str">
        <f>VLOOKUP(_stats[[#This Row],[tournament]],tournaments_n_rules[],2,0)</f>
        <v>УПК</v>
      </c>
      <c r="M1344" s="55" t="str">
        <f>VLOOKUP(_stats[[#This Row],[tournament]],tournaments_n_rules[],3,0)</f>
        <v>Лето 2026</v>
      </c>
      <c r="N1344" s="56">
        <f>VLOOKUP(_stats[[#This Row],[tournament]],tournaments_n_rules[],4,0)</f>
        <v>46194</v>
      </c>
      <c r="O1344" s="56">
        <f>VLOOKUP(_stats[[#This Row],[tournament]],tournaments_n_rules[],5,0)</f>
        <v>46265</v>
      </c>
    </row>
    <row r="1345" spans="1:15" x14ac:dyDescent="0.25">
      <c r="A1345" s="59">
        <v>46194</v>
      </c>
      <c r="B1345" s="7">
        <v>2</v>
      </c>
      <c r="C1345" s="7" t="s">
        <v>19</v>
      </c>
      <c r="D1345" s="10" t="str">
        <f>IFERROR(VLOOKUP(_stats[[#This Row],[player_id]],_players[[player_id]:[player_name]],2,0),"")</f>
        <v>Сергей Крюков</v>
      </c>
      <c r="E1345" s="7">
        <v>1</v>
      </c>
      <c r="F1345" s="8">
        <v>0</v>
      </c>
      <c r="G1345" s="10">
        <f>SUMIFS(_teams[wins_on_date],_teams[date],_stats[[#This Row],[date]],_teams[team_number],_stats[[#This Row],[team_number]])</f>
        <v>4</v>
      </c>
      <c r="H1345" s="10">
        <f>SUMIFS(_teams[draws_on_date],_teams[date],_stats[[#This Row],[date]],_teams[team_number],_stats[[#This Row],[team_number]])</f>
        <v>1</v>
      </c>
      <c r="I1345" s="10">
        <v>0</v>
      </c>
      <c r="J1345" s="10">
        <v>0</v>
      </c>
      <c r="K1345" s="58">
        <v>7</v>
      </c>
      <c r="L1345" s="55" t="str">
        <f>VLOOKUP(_stats[[#This Row],[tournament]],tournaments_n_rules[],2,0)</f>
        <v>УПК</v>
      </c>
      <c r="M1345" s="55" t="str">
        <f>VLOOKUP(_stats[[#This Row],[tournament]],tournaments_n_rules[],3,0)</f>
        <v>Лето 2026</v>
      </c>
      <c r="N1345" s="56">
        <f>VLOOKUP(_stats[[#This Row],[tournament]],tournaments_n_rules[],4,0)</f>
        <v>46194</v>
      </c>
      <c r="O1345" s="56">
        <f>VLOOKUP(_stats[[#This Row],[tournament]],tournaments_n_rules[],5,0)</f>
        <v>46265</v>
      </c>
    </row>
    <row r="1346" spans="1:15" x14ac:dyDescent="0.25">
      <c r="A1346" s="59">
        <v>46194</v>
      </c>
      <c r="B1346" s="7">
        <v>3</v>
      </c>
      <c r="C1346" s="7" t="s">
        <v>134</v>
      </c>
      <c r="D1346" s="10" t="str">
        <f>IFERROR(VLOOKUP(_stats[[#This Row],[player_id]],_players[[player_id]:[player_name]],2,0),"")</f>
        <v>Арги</v>
      </c>
      <c r="E1346" s="7">
        <v>0</v>
      </c>
      <c r="F1346" s="8">
        <v>0</v>
      </c>
      <c r="G1346" s="10">
        <f>SUMIFS(_teams[wins_on_date],_teams[date],_stats[[#This Row],[date]],_teams[team_number],_stats[[#This Row],[team_number]])</f>
        <v>7</v>
      </c>
      <c r="H1346" s="10">
        <f>SUMIFS(_teams[draws_on_date],_teams[date],_stats[[#This Row],[date]],_teams[team_number],_stats[[#This Row],[team_number]])</f>
        <v>1</v>
      </c>
      <c r="I1346" s="10">
        <v>0</v>
      </c>
      <c r="J1346" s="10">
        <v>0</v>
      </c>
      <c r="K1346" s="58">
        <v>7</v>
      </c>
      <c r="L1346" s="55" t="str">
        <f>VLOOKUP(_stats[[#This Row],[tournament]],tournaments_n_rules[],2,0)</f>
        <v>УПК</v>
      </c>
      <c r="M1346" s="55" t="str">
        <f>VLOOKUP(_stats[[#This Row],[tournament]],tournaments_n_rules[],3,0)</f>
        <v>Лето 2026</v>
      </c>
      <c r="N1346" s="56">
        <f>VLOOKUP(_stats[[#This Row],[tournament]],tournaments_n_rules[],4,0)</f>
        <v>46194</v>
      </c>
      <c r="O1346" s="56">
        <f>VLOOKUP(_stats[[#This Row],[tournament]],tournaments_n_rules[],5,0)</f>
        <v>46265</v>
      </c>
    </row>
    <row r="1347" spans="1:15" x14ac:dyDescent="0.25">
      <c r="A1347" s="59">
        <v>46194</v>
      </c>
      <c r="B1347" s="7">
        <v>3</v>
      </c>
      <c r="C1347" s="7" t="s">
        <v>25</v>
      </c>
      <c r="D1347" s="10" t="str">
        <f>IFERROR(VLOOKUP(_stats[[#This Row],[player_id]],_players[[player_id]:[player_name]],2,0),"")</f>
        <v>Олег Шишкин</v>
      </c>
      <c r="E1347" s="7">
        <v>1</v>
      </c>
      <c r="F1347" s="8">
        <v>0</v>
      </c>
      <c r="G1347" s="10">
        <f>SUMIFS(_teams[wins_on_date],_teams[date],_stats[[#This Row],[date]],_teams[team_number],_stats[[#This Row],[team_number]])</f>
        <v>7</v>
      </c>
      <c r="H1347" s="10">
        <f>SUMIFS(_teams[draws_on_date],_teams[date],_stats[[#This Row],[date]],_teams[team_number],_stats[[#This Row],[team_number]])</f>
        <v>1</v>
      </c>
      <c r="I1347" s="10">
        <v>0</v>
      </c>
      <c r="J1347" s="10">
        <v>1</v>
      </c>
      <c r="K1347" s="58">
        <v>7</v>
      </c>
      <c r="L1347" s="55" t="str">
        <f>VLOOKUP(_stats[[#This Row],[tournament]],tournaments_n_rules[],2,0)</f>
        <v>УПК</v>
      </c>
      <c r="M1347" s="55" t="str">
        <f>VLOOKUP(_stats[[#This Row],[tournament]],tournaments_n_rules[],3,0)</f>
        <v>Лето 2026</v>
      </c>
      <c r="N1347" s="56">
        <f>VLOOKUP(_stats[[#This Row],[tournament]],tournaments_n_rules[],4,0)</f>
        <v>46194</v>
      </c>
      <c r="O1347" s="56">
        <f>VLOOKUP(_stats[[#This Row],[tournament]],tournaments_n_rules[],5,0)</f>
        <v>46265</v>
      </c>
    </row>
    <row r="1348" spans="1:15" x14ac:dyDescent="0.25">
      <c r="A1348" s="59">
        <v>46194</v>
      </c>
      <c r="B1348" s="7">
        <v>1</v>
      </c>
      <c r="C1348" s="7" t="s">
        <v>18</v>
      </c>
      <c r="D1348" s="10" t="str">
        <f>IFERROR(VLOOKUP(_stats[[#This Row],[player_id]],_players[[player_id]:[player_name]],2,0),"")</f>
        <v>Расул</v>
      </c>
      <c r="E1348" s="7">
        <v>0</v>
      </c>
      <c r="F1348" s="8">
        <v>1</v>
      </c>
      <c r="G1348" s="10">
        <f>SUMIFS(_teams[wins_on_date],_teams[date],_stats[[#This Row],[date]],_teams[team_number],_stats[[#This Row],[team_number]])</f>
        <v>0</v>
      </c>
      <c r="H1348" s="10">
        <f>SUMIFS(_teams[draws_on_date],_teams[date],_stats[[#This Row],[date]],_teams[team_number],_stats[[#This Row],[team_number]])</f>
        <v>2</v>
      </c>
      <c r="I1348" s="10">
        <v>0</v>
      </c>
      <c r="J1348" s="10">
        <v>0</v>
      </c>
      <c r="K1348" s="58">
        <v>7</v>
      </c>
      <c r="L1348" s="55" t="str">
        <f>VLOOKUP(_stats[[#This Row],[tournament]],tournaments_n_rules[],2,0)</f>
        <v>УПК</v>
      </c>
      <c r="M1348" s="55" t="str">
        <f>VLOOKUP(_stats[[#This Row],[tournament]],tournaments_n_rules[],3,0)</f>
        <v>Лето 2026</v>
      </c>
      <c r="N1348" s="56">
        <f>VLOOKUP(_stats[[#This Row],[tournament]],tournaments_n_rules[],4,0)</f>
        <v>46194</v>
      </c>
      <c r="O1348" s="56">
        <f>VLOOKUP(_stats[[#This Row],[tournament]],tournaments_n_rules[],5,0)</f>
        <v>46265</v>
      </c>
    </row>
    <row r="1349" spans="1:15" x14ac:dyDescent="0.25">
      <c r="A1349" s="59">
        <v>46194</v>
      </c>
      <c r="B1349" s="7">
        <v>3</v>
      </c>
      <c r="C1349" s="7" t="s">
        <v>32</v>
      </c>
      <c r="D1349" s="10" t="str">
        <f>IFERROR(VLOOKUP(_stats[[#This Row],[player_id]],_players[[player_id]:[player_name]],2,0),"")</f>
        <v>Рома Сурнин</v>
      </c>
      <c r="E1349" s="7">
        <v>3</v>
      </c>
      <c r="F1349" s="8">
        <v>0</v>
      </c>
      <c r="G1349" s="10">
        <f>SUMIFS(_teams[wins_on_date],_teams[date],_stats[[#This Row],[date]],_teams[team_number],_stats[[#This Row],[team_number]])</f>
        <v>7</v>
      </c>
      <c r="H1349" s="10">
        <f>SUMIFS(_teams[draws_on_date],_teams[date],_stats[[#This Row],[date]],_teams[team_number],_stats[[#This Row],[team_number]])</f>
        <v>1</v>
      </c>
      <c r="I1349" s="10">
        <v>0</v>
      </c>
      <c r="J1349" s="10">
        <v>0</v>
      </c>
      <c r="K1349" s="58">
        <v>7</v>
      </c>
      <c r="L1349" s="55" t="str">
        <f>VLOOKUP(_stats[[#This Row],[tournament]],tournaments_n_rules[],2,0)</f>
        <v>УПК</v>
      </c>
      <c r="M1349" s="55" t="str">
        <f>VLOOKUP(_stats[[#This Row],[tournament]],tournaments_n_rules[],3,0)</f>
        <v>Лето 2026</v>
      </c>
      <c r="N1349" s="56">
        <f>VLOOKUP(_stats[[#This Row],[tournament]],tournaments_n_rules[],4,0)</f>
        <v>46194</v>
      </c>
      <c r="O1349" s="56">
        <f>VLOOKUP(_stats[[#This Row],[tournament]],tournaments_n_rules[],5,0)</f>
        <v>46265</v>
      </c>
    </row>
    <row r="1350" spans="1:15" x14ac:dyDescent="0.25">
      <c r="A1350" s="59">
        <v>46194</v>
      </c>
      <c r="B1350" s="7">
        <v>3</v>
      </c>
      <c r="C1350" s="7" t="s">
        <v>52</v>
      </c>
      <c r="D1350" s="10" t="str">
        <f>IFERROR(VLOOKUP(_stats[[#This Row],[player_id]],_players[[player_id]:[player_name]],2,0),"")</f>
        <v>Игорь Фомичев</v>
      </c>
      <c r="E1350" s="7">
        <v>0</v>
      </c>
      <c r="F1350" s="8">
        <v>4</v>
      </c>
      <c r="G1350" s="10">
        <f>SUMIFS(_teams[wins_on_date],_teams[date],_stats[[#This Row],[date]],_teams[team_number],_stats[[#This Row],[team_number]])</f>
        <v>7</v>
      </c>
      <c r="H1350" s="10">
        <f>SUMIFS(_teams[draws_on_date],_teams[date],_stats[[#This Row],[date]],_teams[team_number],_stats[[#This Row],[team_number]])</f>
        <v>1</v>
      </c>
      <c r="I1350" s="10">
        <v>0</v>
      </c>
      <c r="J1350" s="10">
        <v>0</v>
      </c>
      <c r="K1350" s="58">
        <v>7</v>
      </c>
      <c r="L1350" s="55" t="str">
        <f>VLOOKUP(_stats[[#This Row],[tournament]],tournaments_n_rules[],2,0)</f>
        <v>УПК</v>
      </c>
      <c r="M1350" s="55" t="str">
        <f>VLOOKUP(_stats[[#This Row],[tournament]],tournaments_n_rules[],3,0)</f>
        <v>Лето 2026</v>
      </c>
      <c r="N1350" s="56">
        <f>VLOOKUP(_stats[[#This Row],[tournament]],tournaments_n_rules[],4,0)</f>
        <v>46194</v>
      </c>
      <c r="O1350" s="56">
        <f>VLOOKUP(_stats[[#This Row],[tournament]],tournaments_n_rules[],5,0)</f>
        <v>46265</v>
      </c>
    </row>
    <row r="1351" spans="1:15" x14ac:dyDescent="0.25">
      <c r="A1351" s="59">
        <v>46194</v>
      </c>
      <c r="B1351" s="7">
        <v>1</v>
      </c>
      <c r="C1351" s="7" t="s">
        <v>185</v>
      </c>
      <c r="D1351" s="10" t="str">
        <f>IFERROR(VLOOKUP(_stats[[#This Row],[player_id]],_players[[player_id]:[player_name]],2,0),"")</f>
        <v>Богдан</v>
      </c>
      <c r="E1351" s="7">
        <v>0</v>
      </c>
      <c r="F1351" s="8">
        <v>0</v>
      </c>
      <c r="G1351" s="10">
        <f>SUMIFS(_teams[wins_on_date],_teams[date],_stats[[#This Row],[date]],_teams[team_number],_stats[[#This Row],[team_number]])</f>
        <v>0</v>
      </c>
      <c r="H1351" s="10">
        <f>SUMIFS(_teams[draws_on_date],_teams[date],_stats[[#This Row],[date]],_teams[team_number],_stats[[#This Row],[team_number]])</f>
        <v>2</v>
      </c>
      <c r="I1351" s="10">
        <v>0</v>
      </c>
      <c r="J1351" s="10">
        <v>0</v>
      </c>
      <c r="K1351" s="58">
        <v>7</v>
      </c>
      <c r="L1351" s="55" t="str">
        <f>VLOOKUP(_stats[[#This Row],[tournament]],tournaments_n_rules[],2,0)</f>
        <v>УПК</v>
      </c>
      <c r="M1351" s="55" t="str">
        <f>VLOOKUP(_stats[[#This Row],[tournament]],tournaments_n_rules[],3,0)</f>
        <v>Лето 2026</v>
      </c>
      <c r="N1351" s="56">
        <f>VLOOKUP(_stats[[#This Row],[tournament]],tournaments_n_rules[],4,0)</f>
        <v>46194</v>
      </c>
      <c r="O1351" s="56">
        <f>VLOOKUP(_stats[[#This Row],[tournament]],tournaments_n_rules[],5,0)</f>
        <v>46265</v>
      </c>
    </row>
    <row r="1352" spans="1:15" x14ac:dyDescent="0.25">
      <c r="A1352" s="59">
        <v>46194</v>
      </c>
      <c r="B1352" s="7">
        <v>1</v>
      </c>
      <c r="C1352" s="7" t="s">
        <v>188</v>
      </c>
      <c r="D1352" s="10" t="str">
        <f>IFERROR(VLOOKUP(_stats[[#This Row],[player_id]],_players[[player_id]:[player_name]],2,0),"")</f>
        <v>Сулейман (Нур+1)</v>
      </c>
      <c r="E1352" s="7">
        <v>0</v>
      </c>
      <c r="F1352" s="8">
        <v>0</v>
      </c>
      <c r="G1352" s="10">
        <f>SUMIFS(_teams[wins_on_date],_teams[date],_stats[[#This Row],[date]],_teams[team_number],_stats[[#This Row],[team_number]])</f>
        <v>0</v>
      </c>
      <c r="H1352" s="10">
        <f>SUMIFS(_teams[draws_on_date],_teams[date],_stats[[#This Row],[date]],_teams[team_number],_stats[[#This Row],[team_number]])</f>
        <v>2</v>
      </c>
      <c r="I1352" s="10">
        <v>0</v>
      </c>
      <c r="J1352" s="10">
        <v>0</v>
      </c>
      <c r="K1352" s="58">
        <v>7</v>
      </c>
      <c r="L1352" s="55" t="str">
        <f>VLOOKUP(_stats[[#This Row],[tournament]],tournaments_n_rules[],2,0)</f>
        <v>УПК</v>
      </c>
      <c r="M1352" s="55" t="str">
        <f>VLOOKUP(_stats[[#This Row],[tournament]],tournaments_n_rules[],3,0)</f>
        <v>Лето 2026</v>
      </c>
      <c r="N1352" s="56">
        <f>VLOOKUP(_stats[[#This Row],[tournament]],tournaments_n_rules[],4,0)</f>
        <v>46194</v>
      </c>
      <c r="O1352" s="56">
        <f>VLOOKUP(_stats[[#This Row],[tournament]],tournaments_n_rules[],5,0)</f>
        <v>46265</v>
      </c>
    </row>
    <row r="1353" spans="1:15" x14ac:dyDescent="0.25">
      <c r="A1353" s="59">
        <v>46194</v>
      </c>
      <c r="B1353" s="7">
        <v>2</v>
      </c>
      <c r="C1353" s="7" t="s">
        <v>41</v>
      </c>
      <c r="D1353" s="10" t="str">
        <f>IFERROR(VLOOKUP(_stats[[#This Row],[player_id]],_players[[player_id]:[player_name]],2,0),"")</f>
        <v>Атай</v>
      </c>
      <c r="E1353" s="7">
        <v>1</v>
      </c>
      <c r="F1353" s="8">
        <v>1</v>
      </c>
      <c r="G1353" s="10">
        <f>SUMIFS(_teams[wins_on_date],_teams[date],_stats[[#This Row],[date]],_teams[team_number],_stats[[#This Row],[team_number]])</f>
        <v>4</v>
      </c>
      <c r="H1353" s="10">
        <f>SUMIFS(_teams[draws_on_date],_teams[date],_stats[[#This Row],[date]],_teams[team_number],_stats[[#This Row],[team_number]])</f>
        <v>1</v>
      </c>
      <c r="I1353" s="10">
        <v>0</v>
      </c>
      <c r="J1353" s="10">
        <v>1</v>
      </c>
      <c r="K1353" s="58">
        <v>7</v>
      </c>
      <c r="L1353" s="55" t="str">
        <f>VLOOKUP(_stats[[#This Row],[tournament]],tournaments_n_rules[],2,0)</f>
        <v>УПК</v>
      </c>
      <c r="M1353" s="55" t="str">
        <f>VLOOKUP(_stats[[#This Row],[tournament]],tournaments_n_rules[],3,0)</f>
        <v>Лето 2026</v>
      </c>
      <c r="N1353" s="56">
        <f>VLOOKUP(_stats[[#This Row],[tournament]],tournaments_n_rules[],4,0)</f>
        <v>46194</v>
      </c>
      <c r="O1353" s="56">
        <f>VLOOKUP(_stats[[#This Row],[tournament]],tournaments_n_rules[],5,0)</f>
        <v>46265</v>
      </c>
    </row>
    <row r="1354" spans="1:15" x14ac:dyDescent="0.25">
      <c r="A1354" s="59">
        <v>46194</v>
      </c>
      <c r="B1354" s="7">
        <v>3</v>
      </c>
      <c r="C1354" s="7" t="s">
        <v>82</v>
      </c>
      <c r="D1354" s="10" t="str">
        <f>IFERROR(VLOOKUP(_stats[[#This Row],[player_id]],_players[[player_id]:[player_name]],2,0),"")</f>
        <v>Марат (Атай+1)</v>
      </c>
      <c r="E1354" s="7">
        <v>3</v>
      </c>
      <c r="F1354" s="8">
        <v>3</v>
      </c>
      <c r="G1354" s="10">
        <f>SUMIFS(_teams[wins_on_date],_teams[date],_stats[[#This Row],[date]],_teams[team_number],_stats[[#This Row],[team_number]])</f>
        <v>7</v>
      </c>
      <c r="H1354" s="10">
        <f>SUMIFS(_teams[draws_on_date],_teams[date],_stats[[#This Row],[date]],_teams[team_number],_stats[[#This Row],[team_number]])</f>
        <v>1</v>
      </c>
      <c r="I1354" s="10">
        <v>1</v>
      </c>
      <c r="J1354" s="10">
        <v>0</v>
      </c>
      <c r="K1354" s="58">
        <v>7</v>
      </c>
      <c r="L1354" s="55" t="str">
        <f>VLOOKUP(_stats[[#This Row],[tournament]],tournaments_n_rules[],2,0)</f>
        <v>УПК</v>
      </c>
      <c r="M1354" s="55" t="str">
        <f>VLOOKUP(_stats[[#This Row],[tournament]],tournaments_n_rules[],3,0)</f>
        <v>Лето 2026</v>
      </c>
      <c r="N1354" s="56">
        <f>VLOOKUP(_stats[[#This Row],[tournament]],tournaments_n_rules[],4,0)</f>
        <v>46194</v>
      </c>
      <c r="O1354" s="56">
        <f>VLOOKUP(_stats[[#This Row],[tournament]],tournaments_n_rules[],5,0)</f>
        <v>46265</v>
      </c>
    </row>
    <row r="1355" spans="1:15" x14ac:dyDescent="0.25">
      <c r="A1355" s="59">
        <v>46194</v>
      </c>
      <c r="B1355" s="7">
        <v>1</v>
      </c>
      <c r="C1355" s="7" t="s">
        <v>189</v>
      </c>
      <c r="D1355" s="10" t="str">
        <f>IFERROR(VLOOKUP(_stats[[#This Row],[player_id]],_players[[player_id]:[player_name]],2,0),"")</f>
        <v>Миша (Сурэн+1)</v>
      </c>
      <c r="E1355" s="7">
        <v>0</v>
      </c>
      <c r="F1355" s="8">
        <v>0</v>
      </c>
      <c r="G1355" s="10">
        <f>SUMIFS(_teams[wins_on_date],_teams[date],_stats[[#This Row],[date]],_teams[team_number],_stats[[#This Row],[team_number]])</f>
        <v>0</v>
      </c>
      <c r="H1355" s="10">
        <f>SUMIFS(_teams[draws_on_date],_teams[date],_stats[[#This Row],[date]],_teams[team_number],_stats[[#This Row],[team_number]])</f>
        <v>2</v>
      </c>
      <c r="I1355" s="10">
        <v>0</v>
      </c>
      <c r="J1355" s="10">
        <v>1</v>
      </c>
      <c r="K1355" s="58">
        <v>7</v>
      </c>
      <c r="L1355" s="55" t="str">
        <f>VLOOKUP(_stats[[#This Row],[tournament]],tournaments_n_rules[],2,0)</f>
        <v>УПК</v>
      </c>
      <c r="M1355" s="55" t="str">
        <f>VLOOKUP(_stats[[#This Row],[tournament]],tournaments_n_rules[],3,0)</f>
        <v>Лето 2026</v>
      </c>
      <c r="N1355" s="56">
        <f>VLOOKUP(_stats[[#This Row],[tournament]],tournaments_n_rules[],4,0)</f>
        <v>46194</v>
      </c>
      <c r="O1355" s="56">
        <f>VLOOKUP(_stats[[#This Row],[tournament]],tournaments_n_rules[],5,0)</f>
        <v>46265</v>
      </c>
    </row>
    <row r="1356" spans="1:15" x14ac:dyDescent="0.25">
      <c r="A1356" s="59">
        <v>46194</v>
      </c>
      <c r="B1356" s="7">
        <v>2</v>
      </c>
      <c r="C1356" s="7" t="s">
        <v>38</v>
      </c>
      <c r="D1356" s="10" t="str">
        <f>IFERROR(VLOOKUP(_stats[[#This Row],[player_id]],_players[[player_id]:[player_name]],2,0),"")</f>
        <v>Эд (Сэм)</v>
      </c>
      <c r="E1356" s="7">
        <v>2</v>
      </c>
      <c r="F1356" s="8">
        <v>1</v>
      </c>
      <c r="G1356" s="10">
        <f>SUMIFS(_teams[wins_on_date],_teams[date],_stats[[#This Row],[date]],_teams[team_number],_stats[[#This Row],[team_number]])</f>
        <v>4</v>
      </c>
      <c r="H1356" s="10">
        <f>SUMIFS(_teams[draws_on_date],_teams[date],_stats[[#This Row],[date]],_teams[team_number],_stats[[#This Row],[team_number]])</f>
        <v>1</v>
      </c>
      <c r="I1356" s="10">
        <v>0</v>
      </c>
      <c r="J1356" s="10">
        <v>0</v>
      </c>
      <c r="K1356" s="58">
        <v>7</v>
      </c>
      <c r="L1356" s="55" t="str">
        <f>VLOOKUP(_stats[[#This Row],[tournament]],tournaments_n_rules[],2,0)</f>
        <v>УПК</v>
      </c>
      <c r="M1356" s="55" t="str">
        <f>VLOOKUP(_stats[[#This Row],[tournament]],tournaments_n_rules[],3,0)</f>
        <v>Лето 2026</v>
      </c>
      <c r="N1356" s="56">
        <f>VLOOKUP(_stats[[#This Row],[tournament]],tournaments_n_rules[],4,0)</f>
        <v>46194</v>
      </c>
      <c r="O1356" s="56">
        <f>VLOOKUP(_stats[[#This Row],[tournament]],tournaments_n_rules[],5,0)</f>
        <v>46265</v>
      </c>
    </row>
    <row r="1357" spans="1:15" x14ac:dyDescent="0.25">
      <c r="A1357" s="59">
        <v>46194</v>
      </c>
      <c r="B1357" s="7">
        <v>2</v>
      </c>
      <c r="C1357" s="7" t="s">
        <v>34</v>
      </c>
      <c r="D1357" s="10" t="str">
        <f>IFERROR(VLOOKUP(_stats[[#This Row],[player_id]],_players[[player_id]:[player_name]],2,0),"")</f>
        <v>Дядя Руслан</v>
      </c>
      <c r="E1357" s="7">
        <v>0</v>
      </c>
      <c r="F1357" s="8">
        <v>0</v>
      </c>
      <c r="G1357" s="10">
        <f>SUMIFS(_teams[wins_on_date],_teams[date],_stats[[#This Row],[date]],_teams[team_number],_stats[[#This Row],[team_number]])</f>
        <v>4</v>
      </c>
      <c r="H1357" s="10">
        <f>SUMIFS(_teams[draws_on_date],_teams[date],_stats[[#This Row],[date]],_teams[team_number],_stats[[#This Row],[team_number]])</f>
        <v>1</v>
      </c>
      <c r="I1357" s="10">
        <v>1</v>
      </c>
      <c r="J1357" s="10">
        <v>0</v>
      </c>
      <c r="K1357" s="58">
        <v>7</v>
      </c>
      <c r="L1357" s="55" t="str">
        <f>VLOOKUP(_stats[[#This Row],[tournament]],tournaments_n_rules[],2,0)</f>
        <v>УПК</v>
      </c>
      <c r="M1357" s="55" t="str">
        <f>VLOOKUP(_stats[[#This Row],[tournament]],tournaments_n_rules[],3,0)</f>
        <v>Лето 2026</v>
      </c>
      <c r="N1357" s="56">
        <f>VLOOKUP(_stats[[#This Row],[tournament]],tournaments_n_rules[],4,0)</f>
        <v>46194</v>
      </c>
      <c r="O1357" s="56">
        <f>VLOOKUP(_stats[[#This Row],[tournament]],tournaments_n_rules[],5,0)</f>
        <v>46265</v>
      </c>
    </row>
    <row r="1358" spans="1:15" x14ac:dyDescent="0.25">
      <c r="A1358" s="59">
        <v>46194</v>
      </c>
      <c r="B1358" s="7">
        <v>3</v>
      </c>
      <c r="C1358" s="7" t="s">
        <v>190</v>
      </c>
      <c r="D1358" s="10" t="str">
        <f>IFERROR(VLOOKUP(_stats[[#This Row],[player_id]],_players[[player_id]:[player_name]],2,0),"")</f>
        <v>Никита (Сурэн+1)</v>
      </c>
      <c r="E1358" s="7">
        <v>0</v>
      </c>
      <c r="F1358" s="8">
        <v>0</v>
      </c>
      <c r="G1358" s="10">
        <f>SUMIFS(_teams[wins_on_date],_teams[date],_stats[[#This Row],[date]],_teams[team_number],_stats[[#This Row],[team_number]])</f>
        <v>7</v>
      </c>
      <c r="H1358" s="10">
        <f>SUMIFS(_teams[draws_on_date],_teams[date],_stats[[#This Row],[date]],_teams[team_number],_stats[[#This Row],[team_number]])</f>
        <v>1</v>
      </c>
      <c r="I1358" s="10">
        <v>0</v>
      </c>
      <c r="J1358" s="10">
        <v>0</v>
      </c>
      <c r="K1358" s="58">
        <v>7</v>
      </c>
      <c r="L1358" s="55" t="str">
        <f>VLOOKUP(_stats[[#This Row],[tournament]],tournaments_n_rules[],2,0)</f>
        <v>УПК</v>
      </c>
      <c r="M1358" s="55" t="str">
        <f>VLOOKUP(_stats[[#This Row],[tournament]],tournaments_n_rules[],3,0)</f>
        <v>Лето 2026</v>
      </c>
      <c r="N1358" s="56">
        <f>VLOOKUP(_stats[[#This Row],[tournament]],tournaments_n_rules[],4,0)</f>
        <v>46194</v>
      </c>
      <c r="O1358" s="56">
        <f>VLOOKUP(_stats[[#This Row],[tournament]],tournaments_n_rules[],5,0)</f>
        <v>46265</v>
      </c>
    </row>
    <row r="1359" spans="1:15" x14ac:dyDescent="0.25">
      <c r="A1359" s="59">
        <v>46194</v>
      </c>
      <c r="B1359" s="7">
        <v>1</v>
      </c>
      <c r="C1359" s="7" t="s">
        <v>53</v>
      </c>
      <c r="D1359" s="10" t="str">
        <f>IFERROR(VLOOKUP(_stats[[#This Row],[player_id]],_players[[player_id]:[player_name]],2,0),"")</f>
        <v>Илья (АК+1)</v>
      </c>
      <c r="E1359" s="7">
        <v>0</v>
      </c>
      <c r="F1359" s="8">
        <v>0</v>
      </c>
      <c r="G1359" s="10">
        <f>SUMIFS(_teams[wins_on_date],_teams[date],_stats[[#This Row],[date]],_teams[team_number],_stats[[#This Row],[team_number]])</f>
        <v>0</v>
      </c>
      <c r="H1359" s="10">
        <f>SUMIFS(_teams[draws_on_date],_teams[date],_stats[[#This Row],[date]],_teams[team_number],_stats[[#This Row],[team_number]])</f>
        <v>2</v>
      </c>
      <c r="I1359" s="10">
        <v>0</v>
      </c>
      <c r="J1359" s="10">
        <v>0</v>
      </c>
      <c r="K1359" s="58">
        <v>7</v>
      </c>
      <c r="L1359" s="55" t="str">
        <f>VLOOKUP(_stats[[#This Row],[tournament]],tournaments_n_rules[],2,0)</f>
        <v>УПК</v>
      </c>
      <c r="M1359" s="55" t="str">
        <f>VLOOKUP(_stats[[#This Row],[tournament]],tournaments_n_rules[],3,0)</f>
        <v>Лето 2026</v>
      </c>
      <c r="N1359" s="56">
        <f>VLOOKUP(_stats[[#This Row],[tournament]],tournaments_n_rules[],4,0)</f>
        <v>46194</v>
      </c>
      <c r="O1359" s="56">
        <f>VLOOKUP(_stats[[#This Row],[tournament]],tournaments_n_rules[],5,0)</f>
        <v>46265</v>
      </c>
    </row>
    <row r="1360" spans="1:15" x14ac:dyDescent="0.25">
      <c r="A1360" s="59">
        <v>46194</v>
      </c>
      <c r="B1360" s="7">
        <v>2</v>
      </c>
      <c r="C1360" s="7" t="s">
        <v>191</v>
      </c>
      <c r="D1360" s="10" t="str">
        <f>IFERROR(VLOOKUP(_stats[[#This Row],[player_id]],_players[[player_id]:[player_name]],2,0),"")</f>
        <v>Артём (АК+1)</v>
      </c>
      <c r="E1360" s="7">
        <v>0</v>
      </c>
      <c r="F1360" s="8">
        <v>0</v>
      </c>
      <c r="G1360" s="10">
        <f>SUMIFS(_teams[wins_on_date],_teams[date],_stats[[#This Row],[date]],_teams[team_number],_stats[[#This Row],[team_number]])</f>
        <v>4</v>
      </c>
      <c r="H1360" s="10">
        <f>SUMIFS(_teams[draws_on_date],_teams[date],_stats[[#This Row],[date]],_teams[team_number],_stats[[#This Row],[team_number]])</f>
        <v>1</v>
      </c>
      <c r="I1360" s="10">
        <v>0</v>
      </c>
      <c r="J1360" s="10">
        <v>0</v>
      </c>
      <c r="K1360" s="58">
        <v>7</v>
      </c>
      <c r="L1360" s="55" t="str">
        <f>VLOOKUP(_stats[[#This Row],[tournament]],tournaments_n_rules[],2,0)</f>
        <v>УПК</v>
      </c>
      <c r="M1360" s="55" t="str">
        <f>VLOOKUP(_stats[[#This Row],[tournament]],tournaments_n_rules[],3,0)</f>
        <v>Лето 2026</v>
      </c>
      <c r="N1360" s="56">
        <f>VLOOKUP(_stats[[#This Row],[tournament]],tournaments_n_rules[],4,0)</f>
        <v>46194</v>
      </c>
      <c r="O1360" s="56">
        <f>VLOOKUP(_stats[[#This Row],[tournament]],tournaments_n_rules[],5,0)</f>
        <v>46265</v>
      </c>
    </row>
    <row r="1361" spans="1:15" x14ac:dyDescent="0.25">
      <c r="A1361" s="59">
        <v>46194</v>
      </c>
      <c r="B1361" s="7">
        <v>3</v>
      </c>
      <c r="C1361" s="7" t="s">
        <v>192</v>
      </c>
      <c r="D1361" s="10" t="str">
        <f>IFERROR(VLOOKUP(_stats[[#This Row],[player_id]],_players[[player_id]:[player_name]],2,0),"")</f>
        <v>Мотя (АК+1)</v>
      </c>
      <c r="E1361" s="7">
        <v>1</v>
      </c>
      <c r="F1361" s="8">
        <v>1</v>
      </c>
      <c r="G1361" s="10">
        <f>SUMIFS(_teams[wins_on_date],_teams[date],_stats[[#This Row],[date]],_teams[team_number],_stats[[#This Row],[team_number]])</f>
        <v>7</v>
      </c>
      <c r="H1361" s="10">
        <f>SUMIFS(_teams[draws_on_date],_teams[date],_stats[[#This Row],[date]],_teams[team_number],_stats[[#This Row],[team_number]])</f>
        <v>1</v>
      </c>
      <c r="I1361" s="10">
        <v>0</v>
      </c>
      <c r="J1361" s="10">
        <v>0</v>
      </c>
      <c r="K1361" s="10">
        <v>7</v>
      </c>
      <c r="L1361" s="55" t="str">
        <f>VLOOKUP(_stats[[#This Row],[tournament]],tournaments_n_rules[],2,0)</f>
        <v>УПК</v>
      </c>
      <c r="M1361" s="55" t="str">
        <f>VLOOKUP(_stats[[#This Row],[tournament]],tournaments_n_rules[],3,0)</f>
        <v>Лето 2026</v>
      </c>
      <c r="N1361" s="56">
        <f>VLOOKUP(_stats[[#This Row],[tournament]],tournaments_n_rules[],4,0)</f>
        <v>46194</v>
      </c>
      <c r="O1361" s="56">
        <f>VLOOKUP(_stats[[#This Row],[tournament]],tournaments_n_rules[],5,0)</f>
        <v>46265</v>
      </c>
    </row>
    <row r="1362" spans="1:15" x14ac:dyDescent="0.25">
      <c r="A1362" s="59">
        <v>46194</v>
      </c>
      <c r="B1362" s="7">
        <v>1</v>
      </c>
      <c r="C1362" s="7" t="s">
        <v>49</v>
      </c>
      <c r="D1362" s="10" t="str">
        <f>IFERROR(VLOOKUP(_stats[[#This Row],[player_id]],_players[[player_id]:[player_name]],2,0),"")</f>
        <v>Витя</v>
      </c>
      <c r="E1362" s="7">
        <v>0</v>
      </c>
      <c r="F1362" s="8">
        <v>0</v>
      </c>
      <c r="G1362" s="10">
        <f>SUMIFS(_teams[wins_on_date],_teams[date],_stats[[#This Row],[date]],_teams[team_number],_stats[[#This Row],[team_number]])</f>
        <v>0</v>
      </c>
      <c r="H1362" s="10">
        <f>SUMIFS(_teams[draws_on_date],_teams[date],_stats[[#This Row],[date]],_teams[team_number],_stats[[#This Row],[team_number]])</f>
        <v>2</v>
      </c>
      <c r="I1362" s="10">
        <v>0</v>
      </c>
      <c r="J1362" s="10">
        <v>0</v>
      </c>
      <c r="K1362" s="10">
        <v>7</v>
      </c>
      <c r="L1362" s="55" t="str">
        <f>VLOOKUP(_stats[[#This Row],[tournament]],tournaments_n_rules[],2,0)</f>
        <v>УПК</v>
      </c>
      <c r="M1362" s="55" t="str">
        <f>VLOOKUP(_stats[[#This Row],[tournament]],tournaments_n_rules[],3,0)</f>
        <v>Лето 2026</v>
      </c>
      <c r="N1362" s="56">
        <f>VLOOKUP(_stats[[#This Row],[tournament]],tournaments_n_rules[],4,0)</f>
        <v>46194</v>
      </c>
      <c r="O1362" s="56">
        <f>VLOOKUP(_stats[[#This Row],[tournament]],tournaments_n_rules[],5,0)</f>
        <v>46265</v>
      </c>
    </row>
    <row r="1363" spans="1:15" x14ac:dyDescent="0.25">
      <c r="A1363" s="59">
        <v>46194</v>
      </c>
      <c r="B1363" s="7">
        <v>1</v>
      </c>
      <c r="C1363" s="7" t="s">
        <v>193</v>
      </c>
      <c r="D1363" s="10" t="str">
        <f>IFERROR(VLOOKUP(_stats[[#This Row],[player_id]],_players[[player_id]:[player_name]],2,0),"")</f>
        <v>Ваня кипер (АК+1)</v>
      </c>
      <c r="E1363" s="7">
        <v>0</v>
      </c>
      <c r="F1363" s="8">
        <v>0</v>
      </c>
      <c r="G1363" s="10">
        <f>SUMIFS(_teams[wins_on_date],_teams[date],_stats[[#This Row],[date]],_teams[team_number],_stats[[#This Row],[team_number]])</f>
        <v>0</v>
      </c>
      <c r="H1363" s="10">
        <f>SUMIFS(_teams[draws_on_date],_teams[date],_stats[[#This Row],[date]],_teams[team_number],_stats[[#This Row],[team_number]])</f>
        <v>2</v>
      </c>
      <c r="I1363" s="10">
        <v>1</v>
      </c>
      <c r="J1363" s="10">
        <v>0</v>
      </c>
      <c r="K1363" s="10">
        <v>7</v>
      </c>
      <c r="L1363" s="55" t="str">
        <f>VLOOKUP(_stats[[#This Row],[tournament]],tournaments_n_rules[],2,0)</f>
        <v>УПК</v>
      </c>
      <c r="M1363" s="55" t="str">
        <f>VLOOKUP(_stats[[#This Row],[tournament]],tournaments_n_rules[],3,0)</f>
        <v>Лето 2026</v>
      </c>
      <c r="N1363" s="56">
        <f>VLOOKUP(_stats[[#This Row],[tournament]],tournaments_n_rules[],4,0)</f>
        <v>46194</v>
      </c>
      <c r="O1363" s="56">
        <f>VLOOKUP(_stats[[#This Row],[tournament]],tournaments_n_rules[],5,0)</f>
        <v>46265</v>
      </c>
    </row>
    <row r="1364" spans="1:15" x14ac:dyDescent="0.25">
      <c r="A1364" s="6">
        <v>46198</v>
      </c>
      <c r="B1364" s="7">
        <v>2</v>
      </c>
      <c r="C1364" s="7" t="s">
        <v>194</v>
      </c>
      <c r="D1364" s="10" t="str">
        <f>IFERROR(VLOOKUP(_stats[[#This Row],[player_id]],_players[[player_id]:[player_name]],2,0),"")</f>
        <v>Федя Бохан</v>
      </c>
      <c r="E1364" s="7">
        <v>0</v>
      </c>
      <c r="F1364" s="8">
        <v>0</v>
      </c>
      <c r="G1364" s="10">
        <f>SUMIFS(_teams[wins_on_date],_teams[date],_stats[[#This Row],[date]],_teams[team_number],_stats[[#This Row],[team_number]])</f>
        <v>2</v>
      </c>
      <c r="H1364" s="10">
        <f>SUMIFS(_teams[draws_on_date],_teams[date],_stats[[#This Row],[date]],_teams[team_number],_stats[[#This Row],[team_number]])</f>
        <v>3</v>
      </c>
      <c r="I1364" s="10">
        <v>1</v>
      </c>
      <c r="J1364" s="10">
        <v>0</v>
      </c>
      <c r="K1364" s="60">
        <v>7</v>
      </c>
      <c r="L1364" s="55" t="str">
        <f>VLOOKUP(_stats[[#This Row],[tournament]],tournaments_n_rules[],2,0)</f>
        <v>УПК</v>
      </c>
      <c r="M1364" s="55" t="str">
        <f>VLOOKUP(_stats[[#This Row],[tournament]],tournaments_n_rules[],3,0)</f>
        <v>Лето 2026</v>
      </c>
      <c r="N1364" s="56">
        <f>VLOOKUP(_stats[[#This Row],[tournament]],tournaments_n_rules[],4,0)</f>
        <v>46194</v>
      </c>
      <c r="O1364" s="56">
        <f>VLOOKUP(_stats[[#This Row],[tournament]],tournaments_n_rules[],5,0)</f>
        <v>46265</v>
      </c>
    </row>
    <row r="1365" spans="1:15" x14ac:dyDescent="0.25">
      <c r="A1365" s="6">
        <v>46198</v>
      </c>
      <c r="B1365" s="7">
        <v>1</v>
      </c>
      <c r="C1365" s="7" t="s">
        <v>196</v>
      </c>
      <c r="D1365" s="10" t="str">
        <f>IFERROR(VLOOKUP(_stats[[#This Row],[player_id]],_players[[player_id]:[player_name]],2,0),"")</f>
        <v>Никита Лунев</v>
      </c>
      <c r="E1365" s="7">
        <v>1</v>
      </c>
      <c r="F1365" s="8">
        <v>1</v>
      </c>
      <c r="G1365" s="10">
        <f>SUMIFS(_teams[wins_on_date],_teams[date],_stats[[#This Row],[date]],_teams[team_number],_stats[[#This Row],[team_number]])</f>
        <v>4</v>
      </c>
      <c r="H1365" s="10">
        <f>SUMIFS(_teams[draws_on_date],_teams[date],_stats[[#This Row],[date]],_teams[team_number],_stats[[#This Row],[team_number]])</f>
        <v>2</v>
      </c>
      <c r="I1365" s="10">
        <v>0</v>
      </c>
      <c r="J1365" s="10">
        <v>0</v>
      </c>
      <c r="K1365" s="60">
        <v>7</v>
      </c>
      <c r="L1365" s="55" t="str">
        <f>VLOOKUP(_stats[[#This Row],[tournament]],tournaments_n_rules[],2,0)</f>
        <v>УПК</v>
      </c>
      <c r="M1365" s="55" t="str">
        <f>VLOOKUP(_stats[[#This Row],[tournament]],tournaments_n_rules[],3,0)</f>
        <v>Лето 2026</v>
      </c>
      <c r="N1365" s="56">
        <f>VLOOKUP(_stats[[#This Row],[tournament]],tournaments_n_rules[],4,0)</f>
        <v>46194</v>
      </c>
      <c r="O1365" s="56">
        <f>VLOOKUP(_stats[[#This Row],[tournament]],tournaments_n_rules[],5,0)</f>
        <v>46265</v>
      </c>
    </row>
    <row r="1366" spans="1:15" x14ac:dyDescent="0.25">
      <c r="A1366" s="6">
        <v>46198</v>
      </c>
      <c r="B1366" s="7">
        <v>2</v>
      </c>
      <c r="C1366" s="7" t="s">
        <v>195</v>
      </c>
      <c r="D1366" s="10" t="str">
        <f>IFERROR(VLOOKUP(_stats[[#This Row],[player_id]],_players[[player_id]:[player_name]],2,0),"")</f>
        <v>Женя Ионов</v>
      </c>
      <c r="E1366" s="7">
        <v>0</v>
      </c>
      <c r="F1366" s="8">
        <v>2</v>
      </c>
      <c r="G1366" s="10">
        <f>SUMIFS(_teams[wins_on_date],_teams[date],_stats[[#This Row],[date]],_teams[team_number],_stats[[#This Row],[team_number]])</f>
        <v>2</v>
      </c>
      <c r="H1366" s="10">
        <f>SUMIFS(_teams[draws_on_date],_teams[date],_stats[[#This Row],[date]],_teams[team_number],_stats[[#This Row],[team_number]])</f>
        <v>3</v>
      </c>
      <c r="I1366" s="10">
        <v>0</v>
      </c>
      <c r="J1366" s="10">
        <v>0</v>
      </c>
      <c r="K1366" s="60">
        <v>7</v>
      </c>
      <c r="L1366" s="55" t="str">
        <f>VLOOKUP(_stats[[#This Row],[tournament]],tournaments_n_rules[],2,0)</f>
        <v>УПК</v>
      </c>
      <c r="M1366" s="55" t="str">
        <f>VLOOKUP(_stats[[#This Row],[tournament]],tournaments_n_rules[],3,0)</f>
        <v>Лето 2026</v>
      </c>
      <c r="N1366" s="56">
        <f>VLOOKUP(_stats[[#This Row],[tournament]],tournaments_n_rules[],4,0)</f>
        <v>46194</v>
      </c>
      <c r="O1366" s="56">
        <f>VLOOKUP(_stats[[#This Row],[tournament]],tournaments_n_rules[],5,0)</f>
        <v>46265</v>
      </c>
    </row>
    <row r="1367" spans="1:15" x14ac:dyDescent="0.25">
      <c r="A1367" s="6">
        <v>46198</v>
      </c>
      <c r="B1367" s="7">
        <v>1</v>
      </c>
      <c r="C1367" s="7" t="s">
        <v>44</v>
      </c>
      <c r="D1367" s="10" t="str">
        <f>IFERROR(VLOOKUP(_stats[[#This Row],[player_id]],_players[[player_id]:[player_name]],2,0),"")</f>
        <v>Кирилл Попов</v>
      </c>
      <c r="E1367" s="7">
        <v>2</v>
      </c>
      <c r="F1367" s="8">
        <v>1</v>
      </c>
      <c r="G1367" s="10">
        <f>SUMIFS(_teams[wins_on_date],_teams[date],_stats[[#This Row],[date]],_teams[team_number],_stats[[#This Row],[team_number]])</f>
        <v>4</v>
      </c>
      <c r="H1367" s="10">
        <f>SUMIFS(_teams[draws_on_date],_teams[date],_stats[[#This Row],[date]],_teams[team_number],_stats[[#This Row],[team_number]])</f>
        <v>2</v>
      </c>
      <c r="I1367" s="10">
        <v>0</v>
      </c>
      <c r="J1367" s="10">
        <v>0</v>
      </c>
      <c r="K1367" s="60">
        <v>7</v>
      </c>
      <c r="L1367" s="55" t="str">
        <f>VLOOKUP(_stats[[#This Row],[tournament]],tournaments_n_rules[],2,0)</f>
        <v>УПК</v>
      </c>
      <c r="M1367" s="55" t="str">
        <f>VLOOKUP(_stats[[#This Row],[tournament]],tournaments_n_rules[],3,0)</f>
        <v>Лето 2026</v>
      </c>
      <c r="N1367" s="56">
        <f>VLOOKUP(_stats[[#This Row],[tournament]],tournaments_n_rules[],4,0)</f>
        <v>46194</v>
      </c>
      <c r="O1367" s="56">
        <f>VLOOKUP(_stats[[#This Row],[tournament]],tournaments_n_rules[],5,0)</f>
        <v>46265</v>
      </c>
    </row>
    <row r="1368" spans="1:15" x14ac:dyDescent="0.25">
      <c r="A1368" s="6">
        <v>46198</v>
      </c>
      <c r="B1368" s="7">
        <v>3</v>
      </c>
      <c r="C1368" s="7" t="s">
        <v>21</v>
      </c>
      <c r="D1368" s="10" t="str">
        <f>IFERROR(VLOOKUP(_stats[[#This Row],[player_id]],_players[[player_id]:[player_name]],2,0),"")</f>
        <v>Влад</v>
      </c>
      <c r="E1368" s="7">
        <v>0</v>
      </c>
      <c r="F1368" s="8">
        <v>1</v>
      </c>
      <c r="G1368" s="10">
        <f>SUMIFS(_teams[wins_on_date],_teams[date],_stats[[#This Row],[date]],_teams[team_number],_stats[[#This Row],[team_number]])</f>
        <v>2</v>
      </c>
      <c r="H1368" s="10">
        <f>SUMIFS(_teams[draws_on_date],_teams[date],_stats[[#This Row],[date]],_teams[team_number],_stats[[#This Row],[team_number]])</f>
        <v>1</v>
      </c>
      <c r="I1368" s="10">
        <v>0</v>
      </c>
      <c r="J1368" s="10">
        <v>0</v>
      </c>
      <c r="K1368" s="60">
        <v>7</v>
      </c>
      <c r="L1368" s="55" t="str">
        <f>VLOOKUP(_stats[[#This Row],[tournament]],tournaments_n_rules[],2,0)</f>
        <v>УПК</v>
      </c>
      <c r="M1368" s="55" t="str">
        <f>VLOOKUP(_stats[[#This Row],[tournament]],tournaments_n_rules[],3,0)</f>
        <v>Лето 2026</v>
      </c>
      <c r="N1368" s="56">
        <f>VLOOKUP(_stats[[#This Row],[tournament]],tournaments_n_rules[],4,0)</f>
        <v>46194</v>
      </c>
      <c r="O1368" s="56">
        <f>VLOOKUP(_stats[[#This Row],[tournament]],tournaments_n_rules[],5,0)</f>
        <v>46265</v>
      </c>
    </row>
    <row r="1369" spans="1:15" x14ac:dyDescent="0.25">
      <c r="A1369" s="6">
        <v>46198</v>
      </c>
      <c r="B1369" s="7">
        <v>3</v>
      </c>
      <c r="C1369" s="7" t="s">
        <v>94</v>
      </c>
      <c r="D1369" s="10" t="str">
        <f>IFERROR(VLOOKUP(_stats[[#This Row],[player_id]],_players[[player_id]:[player_name]],2,0),"")</f>
        <v>Энтони Тепеев</v>
      </c>
      <c r="E1369" s="7">
        <v>0</v>
      </c>
      <c r="F1369" s="8">
        <v>1</v>
      </c>
      <c r="G1369" s="10">
        <f>SUMIFS(_teams[wins_on_date],_teams[date],_stats[[#This Row],[date]],_teams[team_number],_stats[[#This Row],[team_number]])</f>
        <v>2</v>
      </c>
      <c r="H1369" s="10">
        <f>SUMIFS(_teams[draws_on_date],_teams[date],_stats[[#This Row],[date]],_teams[team_number],_stats[[#This Row],[team_number]])</f>
        <v>1</v>
      </c>
      <c r="I1369" s="10">
        <v>0</v>
      </c>
      <c r="J1369" s="10">
        <v>0</v>
      </c>
      <c r="K1369" s="60">
        <v>7</v>
      </c>
      <c r="L1369" s="55" t="str">
        <f>VLOOKUP(_stats[[#This Row],[tournament]],tournaments_n_rules[],2,0)</f>
        <v>УПК</v>
      </c>
      <c r="M1369" s="55" t="str">
        <f>VLOOKUP(_stats[[#This Row],[tournament]],tournaments_n_rules[],3,0)</f>
        <v>Лето 2026</v>
      </c>
      <c r="N1369" s="56">
        <f>VLOOKUP(_stats[[#This Row],[tournament]],tournaments_n_rules[],4,0)</f>
        <v>46194</v>
      </c>
      <c r="O1369" s="56">
        <f>VLOOKUP(_stats[[#This Row],[tournament]],tournaments_n_rules[],5,0)</f>
        <v>46265</v>
      </c>
    </row>
    <row r="1370" spans="1:15" x14ac:dyDescent="0.25">
      <c r="A1370" s="6">
        <v>46198</v>
      </c>
      <c r="B1370" s="7">
        <v>1</v>
      </c>
      <c r="C1370" s="7" t="s">
        <v>12</v>
      </c>
      <c r="D1370" s="10" t="str">
        <f>IFERROR(VLOOKUP(_stats[[#This Row],[player_id]],_players[[player_id]:[player_name]],2,0),"")</f>
        <v>Толя Шлаев</v>
      </c>
      <c r="E1370" s="7">
        <v>0</v>
      </c>
      <c r="F1370" s="8">
        <v>0</v>
      </c>
      <c r="G1370" s="10">
        <f>SUMIFS(_teams[wins_on_date],_teams[date],_stats[[#This Row],[date]],_teams[team_number],_stats[[#This Row],[team_number]])</f>
        <v>4</v>
      </c>
      <c r="H1370" s="10">
        <f>SUMIFS(_teams[draws_on_date],_teams[date],_stats[[#This Row],[date]],_teams[team_number],_stats[[#This Row],[team_number]])</f>
        <v>2</v>
      </c>
      <c r="I1370" s="10">
        <v>0</v>
      </c>
      <c r="J1370" s="10">
        <v>0</v>
      </c>
      <c r="K1370" s="60">
        <v>7</v>
      </c>
      <c r="L1370" s="55" t="str">
        <f>VLOOKUP(_stats[[#This Row],[tournament]],tournaments_n_rules[],2,0)</f>
        <v>УПК</v>
      </c>
      <c r="M1370" s="55" t="str">
        <f>VLOOKUP(_stats[[#This Row],[tournament]],tournaments_n_rules[],3,0)</f>
        <v>Лето 2026</v>
      </c>
      <c r="N1370" s="56">
        <f>VLOOKUP(_stats[[#This Row],[tournament]],tournaments_n_rules[],4,0)</f>
        <v>46194</v>
      </c>
      <c r="O1370" s="56">
        <f>VLOOKUP(_stats[[#This Row],[tournament]],tournaments_n_rules[],5,0)</f>
        <v>46265</v>
      </c>
    </row>
    <row r="1371" spans="1:15" x14ac:dyDescent="0.25">
      <c r="A1371" s="6">
        <v>46198</v>
      </c>
      <c r="B1371" s="7">
        <v>2</v>
      </c>
      <c r="C1371" s="7" t="s">
        <v>155</v>
      </c>
      <c r="D1371" s="10" t="str">
        <f>IFERROR(VLOOKUP(_stats[[#This Row],[player_id]],_players[[player_id]:[player_name]],2,0),"")</f>
        <v>Никита Марс (АК+1)</v>
      </c>
      <c r="E1371" s="7">
        <v>1</v>
      </c>
      <c r="F1371" s="8">
        <v>0</v>
      </c>
      <c r="G1371" s="10">
        <f>SUMIFS(_teams[wins_on_date],_teams[date],_stats[[#This Row],[date]],_teams[team_number],_stats[[#This Row],[team_number]])</f>
        <v>2</v>
      </c>
      <c r="H1371" s="10">
        <f>SUMIFS(_teams[draws_on_date],_teams[date],_stats[[#This Row],[date]],_teams[team_number],_stats[[#This Row],[team_number]])</f>
        <v>3</v>
      </c>
      <c r="I1371" s="10">
        <v>0</v>
      </c>
      <c r="J1371" s="10">
        <v>0</v>
      </c>
      <c r="K1371" s="60">
        <v>7</v>
      </c>
      <c r="L1371" s="55" t="str">
        <f>VLOOKUP(_stats[[#This Row],[tournament]],tournaments_n_rules[],2,0)</f>
        <v>УПК</v>
      </c>
      <c r="M1371" s="55" t="str">
        <f>VLOOKUP(_stats[[#This Row],[tournament]],tournaments_n_rules[],3,0)</f>
        <v>Лето 2026</v>
      </c>
      <c r="N1371" s="56">
        <f>VLOOKUP(_stats[[#This Row],[tournament]],tournaments_n_rules[],4,0)</f>
        <v>46194</v>
      </c>
      <c r="O1371" s="56">
        <f>VLOOKUP(_stats[[#This Row],[tournament]],tournaments_n_rules[],5,0)</f>
        <v>46265</v>
      </c>
    </row>
    <row r="1372" spans="1:15" x14ac:dyDescent="0.25">
      <c r="A1372" s="6">
        <v>46198</v>
      </c>
      <c r="B1372" s="7">
        <v>2</v>
      </c>
      <c r="C1372" s="7" t="s">
        <v>123</v>
      </c>
      <c r="D1372" s="10" t="str">
        <f>IFERROR(VLOOKUP(_stats[[#This Row],[player_id]],_players[[player_id]:[player_name]],2,0),"")</f>
        <v>Макс (АК+1)</v>
      </c>
      <c r="E1372" s="7">
        <v>0</v>
      </c>
      <c r="F1372" s="8">
        <v>0</v>
      </c>
      <c r="G1372" s="10">
        <f>SUMIFS(_teams[wins_on_date],_teams[date],_stats[[#This Row],[date]],_teams[team_number],_stats[[#This Row],[team_number]])</f>
        <v>2</v>
      </c>
      <c r="H1372" s="10">
        <f>SUMIFS(_teams[draws_on_date],_teams[date],_stats[[#This Row],[date]],_teams[team_number],_stats[[#This Row],[team_number]])</f>
        <v>3</v>
      </c>
      <c r="I1372" s="10">
        <v>0</v>
      </c>
      <c r="J1372" s="10">
        <v>0</v>
      </c>
      <c r="K1372" s="60">
        <v>7</v>
      </c>
      <c r="L1372" s="55" t="str">
        <f>VLOOKUP(_stats[[#This Row],[tournament]],tournaments_n_rules[],2,0)</f>
        <v>УПК</v>
      </c>
      <c r="M1372" s="55" t="str">
        <f>VLOOKUP(_stats[[#This Row],[tournament]],tournaments_n_rules[],3,0)</f>
        <v>Лето 2026</v>
      </c>
      <c r="N1372" s="56">
        <f>VLOOKUP(_stats[[#This Row],[tournament]],tournaments_n_rules[],4,0)</f>
        <v>46194</v>
      </c>
      <c r="O1372" s="56">
        <f>VLOOKUP(_stats[[#This Row],[tournament]],tournaments_n_rules[],5,0)</f>
        <v>46265</v>
      </c>
    </row>
    <row r="1373" spans="1:15" x14ac:dyDescent="0.25">
      <c r="A1373" s="6">
        <v>46198</v>
      </c>
      <c r="B1373" s="7">
        <v>3</v>
      </c>
      <c r="C1373" s="7" t="s">
        <v>42</v>
      </c>
      <c r="D1373" s="10" t="str">
        <f>IFERROR(VLOOKUP(_stats[[#This Row],[player_id]],_players[[player_id]:[player_name]],2,0),"")</f>
        <v>Нурик</v>
      </c>
      <c r="E1373" s="7">
        <v>0</v>
      </c>
      <c r="F1373" s="8">
        <v>0</v>
      </c>
      <c r="G1373" s="10">
        <f>SUMIFS(_teams[wins_on_date],_teams[date],_stats[[#This Row],[date]],_teams[team_number],_stats[[#This Row],[team_number]])</f>
        <v>2</v>
      </c>
      <c r="H1373" s="10">
        <f>SUMIFS(_teams[draws_on_date],_teams[date],_stats[[#This Row],[date]],_teams[team_number],_stats[[#This Row],[team_number]])</f>
        <v>1</v>
      </c>
      <c r="I1373" s="10">
        <v>0</v>
      </c>
      <c r="J1373" s="10">
        <v>0</v>
      </c>
      <c r="K1373" s="60">
        <v>7</v>
      </c>
      <c r="L1373" s="55" t="str">
        <f>VLOOKUP(_stats[[#This Row],[tournament]],tournaments_n_rules[],2,0)</f>
        <v>УПК</v>
      </c>
      <c r="M1373" s="55" t="str">
        <f>VLOOKUP(_stats[[#This Row],[tournament]],tournaments_n_rules[],3,0)</f>
        <v>Лето 2026</v>
      </c>
      <c r="N1373" s="56">
        <f>VLOOKUP(_stats[[#This Row],[tournament]],tournaments_n_rules[],4,0)</f>
        <v>46194</v>
      </c>
      <c r="O1373" s="56">
        <f>VLOOKUP(_stats[[#This Row],[tournament]],tournaments_n_rules[],5,0)</f>
        <v>46265</v>
      </c>
    </row>
    <row r="1374" spans="1:15" x14ac:dyDescent="0.25">
      <c r="A1374" s="6">
        <v>46198</v>
      </c>
      <c r="B1374" s="7">
        <v>3</v>
      </c>
      <c r="C1374" s="7" t="s">
        <v>47</v>
      </c>
      <c r="D1374" s="10" t="str">
        <f>IFERROR(VLOOKUP(_stats[[#This Row],[player_id]],_players[[player_id]:[player_name]],2,0),"")</f>
        <v>Андрей (АК+1)</v>
      </c>
      <c r="E1374" s="7">
        <v>1</v>
      </c>
      <c r="F1374" s="8">
        <v>1</v>
      </c>
      <c r="G1374" s="10">
        <f>SUMIFS(_teams[wins_on_date],_teams[date],_stats[[#This Row],[date]],_teams[team_number],_stats[[#This Row],[team_number]])</f>
        <v>2</v>
      </c>
      <c r="H1374" s="10">
        <f>SUMIFS(_teams[draws_on_date],_teams[date],_stats[[#This Row],[date]],_teams[team_number],_stats[[#This Row],[team_number]])</f>
        <v>1</v>
      </c>
      <c r="I1374" s="10">
        <v>0</v>
      </c>
      <c r="J1374" s="10">
        <v>0</v>
      </c>
      <c r="K1374" s="60">
        <v>7</v>
      </c>
      <c r="L1374" s="55" t="str">
        <f>VLOOKUP(_stats[[#This Row],[tournament]],tournaments_n_rules[],2,0)</f>
        <v>УПК</v>
      </c>
      <c r="M1374" s="55" t="str">
        <f>VLOOKUP(_stats[[#This Row],[tournament]],tournaments_n_rules[],3,0)</f>
        <v>Лето 2026</v>
      </c>
      <c r="N1374" s="56">
        <f>VLOOKUP(_stats[[#This Row],[tournament]],tournaments_n_rules[],4,0)</f>
        <v>46194</v>
      </c>
      <c r="O1374" s="56">
        <f>VLOOKUP(_stats[[#This Row],[tournament]],tournaments_n_rules[],5,0)</f>
        <v>46265</v>
      </c>
    </row>
    <row r="1375" spans="1:15" x14ac:dyDescent="0.25">
      <c r="A1375" s="6">
        <v>46198</v>
      </c>
      <c r="B1375" s="7">
        <v>1</v>
      </c>
      <c r="C1375" s="7" t="s">
        <v>185</v>
      </c>
      <c r="D1375" s="10" t="str">
        <f>IFERROR(VLOOKUP(_stats[[#This Row],[player_id]],_players[[player_id]:[player_name]],2,0),"")</f>
        <v>Богдан</v>
      </c>
      <c r="E1375" s="7">
        <v>0</v>
      </c>
      <c r="F1375" s="8">
        <v>0</v>
      </c>
      <c r="G1375" s="10">
        <f>SUMIFS(_teams[wins_on_date],_teams[date],_stats[[#This Row],[date]],_teams[team_number],_stats[[#This Row],[team_number]])</f>
        <v>4</v>
      </c>
      <c r="H1375" s="10">
        <f>SUMIFS(_teams[draws_on_date],_teams[date],_stats[[#This Row],[date]],_teams[team_number],_stats[[#This Row],[team_number]])</f>
        <v>2</v>
      </c>
      <c r="I1375" s="10">
        <v>1</v>
      </c>
      <c r="J1375" s="10">
        <v>1</v>
      </c>
      <c r="K1375" s="60">
        <v>7</v>
      </c>
      <c r="L1375" s="55" t="str">
        <f>VLOOKUP(_stats[[#This Row],[tournament]],tournaments_n_rules[],2,0)</f>
        <v>УПК</v>
      </c>
      <c r="M1375" s="55" t="str">
        <f>VLOOKUP(_stats[[#This Row],[tournament]],tournaments_n_rules[],3,0)</f>
        <v>Лето 2026</v>
      </c>
      <c r="N1375" s="56">
        <f>VLOOKUP(_stats[[#This Row],[tournament]],tournaments_n_rules[],4,0)</f>
        <v>46194</v>
      </c>
      <c r="O1375" s="56">
        <f>VLOOKUP(_stats[[#This Row],[tournament]],tournaments_n_rules[],5,0)</f>
        <v>46265</v>
      </c>
    </row>
    <row r="1376" spans="1:15" x14ac:dyDescent="0.25">
      <c r="A1376" s="6">
        <v>46198</v>
      </c>
      <c r="B1376" s="7">
        <v>3</v>
      </c>
      <c r="C1376" s="7" t="s">
        <v>91</v>
      </c>
      <c r="D1376" s="10" t="str">
        <f>IFERROR(VLOOKUP(_stats[[#This Row],[player_id]],_players[[player_id]:[player_name]],2,0),"")</f>
        <v>Жора</v>
      </c>
      <c r="E1376" s="7">
        <v>0</v>
      </c>
      <c r="F1376" s="8">
        <v>0</v>
      </c>
      <c r="G1376" s="10">
        <f>SUMIFS(_teams[wins_on_date],_teams[date],_stats[[#This Row],[date]],_teams[team_number],_stats[[#This Row],[team_number]])</f>
        <v>2</v>
      </c>
      <c r="H1376" s="10">
        <f>SUMIFS(_teams[draws_on_date],_teams[date],_stats[[#This Row],[date]],_teams[team_number],_stats[[#This Row],[team_number]])</f>
        <v>1</v>
      </c>
      <c r="I1376" s="10">
        <v>1</v>
      </c>
      <c r="J1376" s="10">
        <v>0</v>
      </c>
      <c r="K1376" s="60">
        <v>7</v>
      </c>
      <c r="L1376" s="55" t="str">
        <f>VLOOKUP(_stats[[#This Row],[tournament]],tournaments_n_rules[],2,0)</f>
        <v>УПК</v>
      </c>
      <c r="M1376" s="55" t="str">
        <f>VLOOKUP(_stats[[#This Row],[tournament]],tournaments_n_rules[],3,0)</f>
        <v>Лето 2026</v>
      </c>
      <c r="N1376" s="56">
        <f>VLOOKUP(_stats[[#This Row],[tournament]],tournaments_n_rules[],4,0)</f>
        <v>46194</v>
      </c>
      <c r="O1376" s="56">
        <f>VLOOKUP(_stats[[#This Row],[tournament]],tournaments_n_rules[],5,0)</f>
        <v>46265</v>
      </c>
    </row>
    <row r="1377" spans="1:15" x14ac:dyDescent="0.25">
      <c r="A1377" s="6">
        <v>46198</v>
      </c>
      <c r="B1377" s="7">
        <v>1</v>
      </c>
      <c r="C1377" s="7" t="s">
        <v>25</v>
      </c>
      <c r="D1377" s="10" t="str">
        <f>IFERROR(VLOOKUP(_stats[[#This Row],[player_id]],_players[[player_id]:[player_name]],2,0),"")</f>
        <v>Олег Шишкин</v>
      </c>
      <c r="E1377" s="7">
        <v>0</v>
      </c>
      <c r="F1377" s="8">
        <v>0</v>
      </c>
      <c r="G1377" s="10">
        <f>SUMIFS(_teams[wins_on_date],_teams[date],_stats[[#This Row],[date]],_teams[team_number],_stats[[#This Row],[team_number]])</f>
        <v>4</v>
      </c>
      <c r="H1377" s="10">
        <f>SUMIFS(_teams[draws_on_date],_teams[date],_stats[[#This Row],[date]],_teams[team_number],_stats[[#This Row],[team_number]])</f>
        <v>2</v>
      </c>
      <c r="I1377" s="10">
        <v>0</v>
      </c>
      <c r="J1377" s="10">
        <v>0</v>
      </c>
      <c r="K1377" s="60">
        <v>7</v>
      </c>
      <c r="L1377" s="55" t="str">
        <f>VLOOKUP(_stats[[#This Row],[tournament]],tournaments_n_rules[],2,0)</f>
        <v>УПК</v>
      </c>
      <c r="M1377" s="55" t="str">
        <f>VLOOKUP(_stats[[#This Row],[tournament]],tournaments_n_rules[],3,0)</f>
        <v>Лето 2026</v>
      </c>
      <c r="N1377" s="56">
        <f>VLOOKUP(_stats[[#This Row],[tournament]],tournaments_n_rules[],4,0)</f>
        <v>46194</v>
      </c>
      <c r="O1377" s="56">
        <f>VLOOKUP(_stats[[#This Row],[tournament]],tournaments_n_rules[],5,0)</f>
        <v>46265</v>
      </c>
    </row>
    <row r="1378" spans="1:15" x14ac:dyDescent="0.25">
      <c r="A1378" s="6">
        <v>46198</v>
      </c>
      <c r="B1378" s="7">
        <v>1</v>
      </c>
      <c r="C1378" s="7" t="s">
        <v>45</v>
      </c>
      <c r="D1378" s="10" t="str">
        <f>IFERROR(VLOOKUP(_stats[[#This Row],[player_id]],_players[[player_id]:[player_name]],2,0),"")</f>
        <v>Паша</v>
      </c>
      <c r="E1378" s="7">
        <v>5</v>
      </c>
      <c r="F1378" s="8">
        <v>4</v>
      </c>
      <c r="G1378" s="10">
        <f>SUMIFS(_teams[wins_on_date],_teams[date],_stats[[#This Row],[date]],_teams[team_number],_stats[[#This Row],[team_number]])</f>
        <v>4</v>
      </c>
      <c r="H1378" s="10">
        <f>SUMIFS(_teams[draws_on_date],_teams[date],_stats[[#This Row],[date]],_teams[team_number],_stats[[#This Row],[team_number]])</f>
        <v>2</v>
      </c>
      <c r="I1378" s="10">
        <v>0</v>
      </c>
      <c r="J1378" s="10">
        <v>0</v>
      </c>
      <c r="K1378" s="60">
        <v>7</v>
      </c>
      <c r="L1378" s="55" t="str">
        <f>VLOOKUP(_stats[[#This Row],[tournament]],tournaments_n_rules[],2,0)</f>
        <v>УПК</v>
      </c>
      <c r="M1378" s="55" t="str">
        <f>VLOOKUP(_stats[[#This Row],[tournament]],tournaments_n_rules[],3,0)</f>
        <v>Лето 2026</v>
      </c>
      <c r="N1378" s="56">
        <f>VLOOKUP(_stats[[#This Row],[tournament]],tournaments_n_rules[],4,0)</f>
        <v>46194</v>
      </c>
      <c r="O1378" s="56">
        <f>VLOOKUP(_stats[[#This Row],[tournament]],tournaments_n_rules[],5,0)</f>
        <v>46265</v>
      </c>
    </row>
    <row r="1379" spans="1:15" x14ac:dyDescent="0.25">
      <c r="A1379" s="6">
        <v>46198</v>
      </c>
      <c r="B1379" s="7">
        <v>2</v>
      </c>
      <c r="C1379" s="7" t="s">
        <v>63</v>
      </c>
      <c r="D1379" s="10" t="str">
        <f>IFERROR(VLOOKUP(_stats[[#This Row],[player_id]],_players[[player_id]:[player_name]],2,0),"")</f>
        <v>Александр Костюнин</v>
      </c>
      <c r="E1379" s="7">
        <v>0</v>
      </c>
      <c r="F1379" s="8">
        <v>1</v>
      </c>
      <c r="G1379" s="10">
        <f>SUMIFS(_teams[wins_on_date],_teams[date],_stats[[#This Row],[date]],_teams[team_number],_stats[[#This Row],[team_number]])</f>
        <v>2</v>
      </c>
      <c r="H1379" s="10">
        <f>SUMIFS(_teams[draws_on_date],_teams[date],_stats[[#This Row],[date]],_teams[team_number],_stats[[#This Row],[team_number]])</f>
        <v>3</v>
      </c>
      <c r="I1379" s="10">
        <v>0</v>
      </c>
      <c r="J1379" s="10">
        <v>0</v>
      </c>
      <c r="K1379" s="60">
        <v>7</v>
      </c>
      <c r="L1379" s="55" t="str">
        <f>VLOOKUP(_stats[[#This Row],[tournament]],tournaments_n_rules[],2,0)</f>
        <v>УПК</v>
      </c>
      <c r="M1379" s="55" t="str">
        <f>VLOOKUP(_stats[[#This Row],[tournament]],tournaments_n_rules[],3,0)</f>
        <v>Лето 2026</v>
      </c>
      <c r="N1379" s="56">
        <f>VLOOKUP(_stats[[#This Row],[tournament]],tournaments_n_rules[],4,0)</f>
        <v>46194</v>
      </c>
      <c r="O1379" s="56">
        <f>VLOOKUP(_stats[[#This Row],[tournament]],tournaments_n_rules[],5,0)</f>
        <v>46265</v>
      </c>
    </row>
    <row r="1380" spans="1:15" x14ac:dyDescent="0.25">
      <c r="A1380" s="6">
        <v>46198</v>
      </c>
      <c r="B1380" s="7">
        <v>1</v>
      </c>
      <c r="C1380" s="7" t="s">
        <v>17</v>
      </c>
      <c r="D1380" s="10" t="str">
        <f>IFERROR(VLOOKUP(_stats[[#This Row],[player_id]],_players[[player_id]:[player_name]],2,0),"")</f>
        <v>Костя</v>
      </c>
      <c r="E1380" s="7">
        <v>2</v>
      </c>
      <c r="F1380" s="8">
        <v>2</v>
      </c>
      <c r="G1380" s="10">
        <f>SUMIFS(_teams[wins_on_date],_teams[date],_stats[[#This Row],[date]],_teams[team_number],_stats[[#This Row],[team_number]])</f>
        <v>4</v>
      </c>
      <c r="H1380" s="10">
        <f>SUMIFS(_teams[draws_on_date],_teams[date],_stats[[#This Row],[date]],_teams[team_number],_stats[[#This Row],[team_number]])</f>
        <v>2</v>
      </c>
      <c r="I1380" s="10">
        <v>0</v>
      </c>
      <c r="J1380" s="10">
        <v>0</v>
      </c>
      <c r="K1380" s="60">
        <v>7</v>
      </c>
      <c r="L1380" s="55" t="str">
        <f>VLOOKUP(_stats[[#This Row],[tournament]],tournaments_n_rules[],2,0)</f>
        <v>УПК</v>
      </c>
      <c r="M1380" s="55" t="str">
        <f>VLOOKUP(_stats[[#This Row],[tournament]],tournaments_n_rules[],3,0)</f>
        <v>Лето 2026</v>
      </c>
      <c r="N1380" s="56">
        <f>VLOOKUP(_stats[[#This Row],[tournament]],tournaments_n_rules[],4,0)</f>
        <v>46194</v>
      </c>
      <c r="O1380" s="56">
        <f>VLOOKUP(_stats[[#This Row],[tournament]],tournaments_n_rules[],5,0)</f>
        <v>46265</v>
      </c>
    </row>
    <row r="1381" spans="1:15" x14ac:dyDescent="0.25">
      <c r="A1381" s="6">
        <v>46198</v>
      </c>
      <c r="B1381" s="7">
        <v>2</v>
      </c>
      <c r="C1381" s="7" t="s">
        <v>19</v>
      </c>
      <c r="D1381" s="10" t="str">
        <f>IFERROR(VLOOKUP(_stats[[#This Row],[player_id]],_players[[player_id]:[player_name]],2,0),"")</f>
        <v>Сергей Крюков</v>
      </c>
      <c r="E1381" s="7">
        <v>2</v>
      </c>
      <c r="F1381" s="8">
        <v>0</v>
      </c>
      <c r="G1381" s="10">
        <f>SUMIFS(_teams[wins_on_date],_teams[date],_stats[[#This Row],[date]],_teams[team_number],_stats[[#This Row],[team_number]])</f>
        <v>2</v>
      </c>
      <c r="H1381" s="10">
        <f>SUMIFS(_teams[draws_on_date],_teams[date],_stats[[#This Row],[date]],_teams[team_number],_stats[[#This Row],[team_number]])</f>
        <v>3</v>
      </c>
      <c r="I1381" s="10">
        <v>0</v>
      </c>
      <c r="J1381" s="10">
        <v>0</v>
      </c>
      <c r="K1381" s="60">
        <v>7</v>
      </c>
      <c r="L1381" s="55" t="str">
        <f>VLOOKUP(_stats[[#This Row],[tournament]],tournaments_n_rules[],2,0)</f>
        <v>УПК</v>
      </c>
      <c r="M1381" s="55" t="str">
        <f>VLOOKUP(_stats[[#This Row],[tournament]],tournaments_n_rules[],3,0)</f>
        <v>Лето 2026</v>
      </c>
      <c r="N1381" s="56">
        <f>VLOOKUP(_stats[[#This Row],[tournament]],tournaments_n_rules[],4,0)</f>
        <v>46194</v>
      </c>
      <c r="O1381" s="56">
        <f>VLOOKUP(_stats[[#This Row],[tournament]],tournaments_n_rules[],5,0)</f>
        <v>46265</v>
      </c>
    </row>
    <row r="1382" spans="1:15" x14ac:dyDescent="0.25">
      <c r="A1382" s="6">
        <v>46198</v>
      </c>
      <c r="B1382" s="7">
        <v>3</v>
      </c>
      <c r="C1382" s="7" t="s">
        <v>140</v>
      </c>
      <c r="D1382" s="10" t="str">
        <f>IFERROR(VLOOKUP(_stats[[#This Row],[player_id]],_players[[player_id]:[player_name]],2,0),"")</f>
        <v>Коля (АК+1)</v>
      </c>
      <c r="E1382" s="7">
        <v>1</v>
      </c>
      <c r="F1382" s="8">
        <v>0</v>
      </c>
      <c r="G1382" s="10">
        <f>SUMIFS(_teams[wins_on_date],_teams[date],_stats[[#This Row],[date]],_teams[team_number],_stats[[#This Row],[team_number]])</f>
        <v>2</v>
      </c>
      <c r="H1382" s="10">
        <f>SUMIFS(_teams[draws_on_date],_teams[date],_stats[[#This Row],[date]],_teams[team_number],_stats[[#This Row],[team_number]])</f>
        <v>1</v>
      </c>
      <c r="I1382" s="10">
        <v>0</v>
      </c>
      <c r="J1382" s="10">
        <v>0</v>
      </c>
      <c r="K1382" s="60">
        <v>7</v>
      </c>
      <c r="L1382" s="55" t="str">
        <f>VLOOKUP(_stats[[#This Row],[tournament]],tournaments_n_rules[],2,0)</f>
        <v>УПК</v>
      </c>
      <c r="M1382" s="55" t="str">
        <f>VLOOKUP(_stats[[#This Row],[tournament]],tournaments_n_rules[],3,0)</f>
        <v>Лето 2026</v>
      </c>
      <c r="N1382" s="56">
        <f>VLOOKUP(_stats[[#This Row],[tournament]],tournaments_n_rules[],4,0)</f>
        <v>46194</v>
      </c>
      <c r="O1382" s="56">
        <f>VLOOKUP(_stats[[#This Row],[tournament]],tournaments_n_rules[],5,0)</f>
        <v>46265</v>
      </c>
    </row>
    <row r="1383" spans="1:15" x14ac:dyDescent="0.25">
      <c r="A1383" s="6">
        <v>46198</v>
      </c>
      <c r="B1383" s="7">
        <v>3</v>
      </c>
      <c r="C1383" s="7" t="s">
        <v>134</v>
      </c>
      <c r="D1383" s="10" t="str">
        <f>IFERROR(VLOOKUP(_stats[[#This Row],[player_id]],_players[[player_id]:[player_name]],2,0),"")</f>
        <v>Арги</v>
      </c>
      <c r="E1383" s="7">
        <v>2</v>
      </c>
      <c r="F1383" s="8">
        <v>0</v>
      </c>
      <c r="G1383" s="10">
        <f>SUMIFS(_teams[wins_on_date],_teams[date],_stats[[#This Row],[date]],_teams[team_number],_stats[[#This Row],[team_number]])</f>
        <v>2</v>
      </c>
      <c r="H1383" s="10">
        <f>SUMIFS(_teams[draws_on_date],_teams[date],_stats[[#This Row],[date]],_teams[team_number],_stats[[#This Row],[team_number]])</f>
        <v>1</v>
      </c>
      <c r="I1383" s="10">
        <v>0</v>
      </c>
      <c r="J1383" s="10">
        <v>0</v>
      </c>
      <c r="K1383" s="60">
        <v>7</v>
      </c>
      <c r="L1383" s="55" t="str">
        <f>VLOOKUP(_stats[[#This Row],[tournament]],tournaments_n_rules[],2,0)</f>
        <v>УПК</v>
      </c>
      <c r="M1383" s="55" t="str">
        <f>VLOOKUP(_stats[[#This Row],[tournament]],tournaments_n_rules[],3,0)</f>
        <v>Лето 2026</v>
      </c>
      <c r="N1383" s="56">
        <f>VLOOKUP(_stats[[#This Row],[tournament]],tournaments_n_rules[],4,0)</f>
        <v>46194</v>
      </c>
      <c r="O1383" s="56">
        <f>VLOOKUP(_stats[[#This Row],[tournament]],tournaments_n_rules[],5,0)</f>
        <v>46265</v>
      </c>
    </row>
    <row r="1384" spans="1:15" x14ac:dyDescent="0.25">
      <c r="A1384" s="6">
        <v>46198</v>
      </c>
      <c r="B1384" s="7">
        <v>2</v>
      </c>
      <c r="C1384" s="7" t="s">
        <v>75</v>
      </c>
      <c r="D1384" s="10" t="str">
        <f>IFERROR(VLOOKUP(_stats[[#This Row],[player_id]],_players[[player_id]:[player_name]],2,0),"")</f>
        <v>Никита (АК+1)</v>
      </c>
      <c r="E1384" s="7">
        <v>0</v>
      </c>
      <c r="F1384" s="8">
        <v>0</v>
      </c>
      <c r="G1384" s="10">
        <f>SUMIFS(_teams[wins_on_date],_teams[date],_stats[[#This Row],[date]],_teams[team_number],_stats[[#This Row],[team_number]])</f>
        <v>2</v>
      </c>
      <c r="H1384" s="10">
        <f>SUMIFS(_teams[draws_on_date],_teams[date],_stats[[#This Row],[date]],_teams[team_number],_stats[[#This Row],[team_number]])</f>
        <v>3</v>
      </c>
      <c r="I1384" s="10">
        <v>0</v>
      </c>
      <c r="J1384" s="10">
        <v>0</v>
      </c>
      <c r="K1384" s="60">
        <v>7</v>
      </c>
      <c r="L1384" s="55" t="str">
        <f>VLOOKUP(_stats[[#This Row],[tournament]],tournaments_n_rules[],2,0)</f>
        <v>УПК</v>
      </c>
      <c r="M1384" s="55" t="str">
        <f>VLOOKUP(_stats[[#This Row],[tournament]],tournaments_n_rules[],3,0)</f>
        <v>Лето 2026</v>
      </c>
      <c r="N1384" s="56">
        <f>VLOOKUP(_stats[[#This Row],[tournament]],tournaments_n_rules[],4,0)</f>
        <v>46194</v>
      </c>
      <c r="O1384" s="56">
        <f>VLOOKUP(_stats[[#This Row],[tournament]],tournaments_n_rules[],5,0)</f>
        <v>46265</v>
      </c>
    </row>
    <row r="1385" spans="1:15" x14ac:dyDescent="0.25">
      <c r="A1385" s="6">
        <v>46201</v>
      </c>
      <c r="B1385" s="7">
        <v>2</v>
      </c>
      <c r="C1385" s="7" t="s">
        <v>10</v>
      </c>
      <c r="D1385" s="10" t="str">
        <f>IFERROR(VLOOKUP(_stats[[#This Row],[player_id]],_players[[player_id]:[player_name]],2,0),"")</f>
        <v>Тёма</v>
      </c>
      <c r="E1385" s="7">
        <v>0</v>
      </c>
      <c r="F1385" s="8">
        <v>0</v>
      </c>
      <c r="G1385" s="10">
        <f>SUMIFS(_teams[wins_on_date],_teams[date],_stats[[#This Row],[date]],_teams[team_number],_stats[[#This Row],[team_number]])</f>
        <v>2</v>
      </c>
      <c r="H1385" s="10">
        <f>SUMIFS(_teams[draws_on_date],_teams[date],_stats[[#This Row],[date]],_teams[team_number],_stats[[#This Row],[team_number]])</f>
        <v>0</v>
      </c>
      <c r="I1385" s="10">
        <v>1</v>
      </c>
      <c r="J1385" s="10">
        <v>0</v>
      </c>
      <c r="K1385" s="10">
        <v>7</v>
      </c>
      <c r="L1385" s="55" t="str">
        <f>VLOOKUP(_stats[[#This Row],[tournament]],tournaments_n_rules[],2,0)</f>
        <v>УПК</v>
      </c>
      <c r="M1385" s="55" t="str">
        <f>VLOOKUP(_stats[[#This Row],[tournament]],tournaments_n_rules[],3,0)</f>
        <v>Лето 2026</v>
      </c>
      <c r="N1385" s="56">
        <f>VLOOKUP(_stats[[#This Row],[tournament]],tournaments_n_rules[],4,0)</f>
        <v>46194</v>
      </c>
      <c r="O1385" s="56">
        <f>VLOOKUP(_stats[[#This Row],[tournament]],tournaments_n_rules[],5,0)</f>
        <v>46265</v>
      </c>
    </row>
    <row r="1386" spans="1:15" x14ac:dyDescent="0.25">
      <c r="A1386" s="6">
        <v>46201</v>
      </c>
      <c r="B1386" s="7">
        <v>4</v>
      </c>
      <c r="C1386" s="7" t="s">
        <v>31</v>
      </c>
      <c r="D1386" s="10" t="str">
        <f>IFERROR(VLOOKUP(_stats[[#This Row],[player_id]],_players[[player_id]:[player_name]],2,0),"")</f>
        <v>Артем Ширяев</v>
      </c>
      <c r="E1386" s="7">
        <v>0</v>
      </c>
      <c r="F1386" s="8">
        <v>0</v>
      </c>
      <c r="G1386" s="10">
        <f>SUMIFS(_teams[wins_on_date],_teams[date],_stats[[#This Row],[date]],_teams[team_number],_stats[[#This Row],[team_number]])</f>
        <v>1</v>
      </c>
      <c r="H1386" s="10">
        <f>SUMIFS(_teams[draws_on_date],_teams[date],_stats[[#This Row],[date]],_teams[team_number],_stats[[#This Row],[team_number]])</f>
        <v>0</v>
      </c>
      <c r="I1386" s="10">
        <v>0</v>
      </c>
      <c r="J1386" s="10">
        <v>0</v>
      </c>
      <c r="K1386" s="10">
        <v>7</v>
      </c>
      <c r="L1386" s="55" t="str">
        <f>VLOOKUP(_stats[[#This Row],[tournament]],tournaments_n_rules[],2,0)</f>
        <v>УПК</v>
      </c>
      <c r="M1386" s="55" t="str">
        <f>VLOOKUP(_stats[[#This Row],[tournament]],tournaments_n_rules[],3,0)</f>
        <v>Лето 2026</v>
      </c>
      <c r="N1386" s="56">
        <f>VLOOKUP(_stats[[#This Row],[tournament]],tournaments_n_rules[],4,0)</f>
        <v>46194</v>
      </c>
      <c r="O1386" s="56">
        <f>VLOOKUP(_stats[[#This Row],[tournament]],tournaments_n_rules[],5,0)</f>
        <v>46265</v>
      </c>
    </row>
    <row r="1387" spans="1:15" x14ac:dyDescent="0.25">
      <c r="A1387" s="6">
        <v>46201</v>
      </c>
      <c r="B1387" s="7">
        <v>3</v>
      </c>
      <c r="C1387" s="7" t="s">
        <v>135</v>
      </c>
      <c r="D1387" s="10" t="str">
        <f>IFERROR(VLOOKUP(_stats[[#This Row],[player_id]],_players[[player_id]:[player_name]],2,0),"")</f>
        <v>Макс Логинов</v>
      </c>
      <c r="E1387" s="7">
        <v>0</v>
      </c>
      <c r="F1387" s="8">
        <v>2</v>
      </c>
      <c r="G1387" s="10">
        <f>SUMIFS(_teams[wins_on_date],_teams[date],_stats[[#This Row],[date]],_teams[team_number],_stats[[#This Row],[team_number]])</f>
        <v>10</v>
      </c>
      <c r="H1387" s="10">
        <f>SUMIFS(_teams[draws_on_date],_teams[date],_stats[[#This Row],[date]],_teams[team_number],_stats[[#This Row],[team_number]])</f>
        <v>1</v>
      </c>
      <c r="I1387" s="10">
        <v>0</v>
      </c>
      <c r="J1387" s="10">
        <v>0</v>
      </c>
      <c r="K1387" s="10">
        <v>7</v>
      </c>
      <c r="L1387" s="55" t="str">
        <f>VLOOKUP(_stats[[#This Row],[tournament]],tournaments_n_rules[],2,0)</f>
        <v>УПК</v>
      </c>
      <c r="M1387" s="55" t="str">
        <f>VLOOKUP(_stats[[#This Row],[tournament]],tournaments_n_rules[],3,0)</f>
        <v>Лето 2026</v>
      </c>
      <c r="N1387" s="56">
        <f>VLOOKUP(_stats[[#This Row],[tournament]],tournaments_n_rules[],4,0)</f>
        <v>46194</v>
      </c>
      <c r="O1387" s="56">
        <f>VLOOKUP(_stats[[#This Row],[tournament]],tournaments_n_rules[],5,0)</f>
        <v>46265</v>
      </c>
    </row>
    <row r="1388" spans="1:15" x14ac:dyDescent="0.25">
      <c r="A1388" s="6">
        <v>46201</v>
      </c>
      <c r="B1388" s="7">
        <v>1</v>
      </c>
      <c r="C1388" s="7" t="s">
        <v>64</v>
      </c>
      <c r="D1388" s="10" t="str">
        <f>IFERROR(VLOOKUP(_stats[[#This Row],[player_id]],_players[[player_id]:[player_name]],2,0),"")</f>
        <v>Дима Сахаров</v>
      </c>
      <c r="E1388" s="7">
        <v>1</v>
      </c>
      <c r="F1388" s="8">
        <v>0</v>
      </c>
      <c r="G1388" s="10">
        <f>SUMIFS(_teams[wins_on_date],_teams[date],_stats[[#This Row],[date]],_teams[team_number],_stats[[#This Row],[team_number]])</f>
        <v>2</v>
      </c>
      <c r="H1388" s="10">
        <f>SUMIFS(_teams[draws_on_date],_teams[date],_stats[[#This Row],[date]],_teams[team_number],_stats[[#This Row],[team_number]])</f>
        <v>1</v>
      </c>
      <c r="I1388" s="10">
        <v>0</v>
      </c>
      <c r="J1388" s="10">
        <v>0</v>
      </c>
      <c r="K1388" s="10">
        <v>7</v>
      </c>
      <c r="L1388" s="55" t="str">
        <f>VLOOKUP(_stats[[#This Row],[tournament]],tournaments_n_rules[],2,0)</f>
        <v>УПК</v>
      </c>
      <c r="M1388" s="55" t="str">
        <f>VLOOKUP(_stats[[#This Row],[tournament]],tournaments_n_rules[],3,0)</f>
        <v>Лето 2026</v>
      </c>
      <c r="N1388" s="56">
        <f>VLOOKUP(_stats[[#This Row],[tournament]],tournaments_n_rules[],4,0)</f>
        <v>46194</v>
      </c>
      <c r="O1388" s="56">
        <f>VLOOKUP(_stats[[#This Row],[tournament]],tournaments_n_rules[],5,0)</f>
        <v>46265</v>
      </c>
    </row>
    <row r="1389" spans="1:15" x14ac:dyDescent="0.25">
      <c r="A1389" s="6">
        <v>46201</v>
      </c>
      <c r="B1389" s="7">
        <v>1</v>
      </c>
      <c r="C1389" s="7" t="s">
        <v>25</v>
      </c>
      <c r="D1389" s="10" t="str">
        <f>IFERROR(VLOOKUP(_stats[[#This Row],[player_id]],_players[[player_id]:[player_name]],2,0),"")</f>
        <v>Олег Шишкин</v>
      </c>
      <c r="E1389" s="7">
        <v>0</v>
      </c>
      <c r="F1389" s="8">
        <v>1</v>
      </c>
      <c r="G1389" s="10">
        <f>SUMIFS(_teams[wins_on_date],_teams[date],_stats[[#This Row],[date]],_teams[team_number],_stats[[#This Row],[team_number]])</f>
        <v>2</v>
      </c>
      <c r="H1389" s="10">
        <f>SUMIFS(_teams[draws_on_date],_teams[date],_stats[[#This Row],[date]],_teams[team_number],_stats[[#This Row],[team_number]])</f>
        <v>1</v>
      </c>
      <c r="I1389" s="10">
        <v>0</v>
      </c>
      <c r="J1389" s="10">
        <v>0</v>
      </c>
      <c r="K1389" s="10">
        <v>7</v>
      </c>
      <c r="L1389" s="55" t="str">
        <f>VLOOKUP(_stats[[#This Row],[tournament]],tournaments_n_rules[],2,0)</f>
        <v>УПК</v>
      </c>
      <c r="M1389" s="55" t="str">
        <f>VLOOKUP(_stats[[#This Row],[tournament]],tournaments_n_rules[],3,0)</f>
        <v>Лето 2026</v>
      </c>
      <c r="N1389" s="56">
        <f>VLOOKUP(_stats[[#This Row],[tournament]],tournaments_n_rules[],4,0)</f>
        <v>46194</v>
      </c>
      <c r="O1389" s="56">
        <f>VLOOKUP(_stats[[#This Row],[tournament]],tournaments_n_rules[],5,0)</f>
        <v>46265</v>
      </c>
    </row>
    <row r="1390" spans="1:15" x14ac:dyDescent="0.25">
      <c r="A1390" s="6">
        <v>46201</v>
      </c>
      <c r="B1390" s="7">
        <v>4</v>
      </c>
      <c r="C1390" s="7" t="s">
        <v>18</v>
      </c>
      <c r="D1390" s="10" t="str">
        <f>IFERROR(VLOOKUP(_stats[[#This Row],[player_id]],_players[[player_id]:[player_name]],2,0),"")</f>
        <v>Расул</v>
      </c>
      <c r="E1390" s="7">
        <v>0</v>
      </c>
      <c r="F1390" s="8">
        <v>1</v>
      </c>
      <c r="G1390" s="10">
        <f>SUMIFS(_teams[wins_on_date],_teams[date],_stats[[#This Row],[date]],_teams[team_number],_stats[[#This Row],[team_number]])</f>
        <v>1</v>
      </c>
      <c r="H1390" s="10">
        <f>SUMIFS(_teams[draws_on_date],_teams[date],_stats[[#This Row],[date]],_teams[team_number],_stats[[#This Row],[team_number]])</f>
        <v>0</v>
      </c>
      <c r="I1390" s="10">
        <v>0</v>
      </c>
      <c r="J1390" s="10">
        <v>0</v>
      </c>
      <c r="K1390" s="10">
        <v>7</v>
      </c>
      <c r="L1390" s="55" t="str">
        <f>VLOOKUP(_stats[[#This Row],[tournament]],tournaments_n_rules[],2,0)</f>
        <v>УПК</v>
      </c>
      <c r="M1390" s="55" t="str">
        <f>VLOOKUP(_stats[[#This Row],[tournament]],tournaments_n_rules[],3,0)</f>
        <v>Лето 2026</v>
      </c>
      <c r="N1390" s="56">
        <f>VLOOKUP(_stats[[#This Row],[tournament]],tournaments_n_rules[],4,0)</f>
        <v>46194</v>
      </c>
      <c r="O1390" s="56">
        <f>VLOOKUP(_stats[[#This Row],[tournament]],tournaments_n_rules[],5,0)</f>
        <v>46265</v>
      </c>
    </row>
    <row r="1391" spans="1:15" x14ac:dyDescent="0.25">
      <c r="A1391" s="6">
        <v>46201</v>
      </c>
      <c r="B1391" s="7">
        <v>1</v>
      </c>
      <c r="C1391" s="7" t="s">
        <v>59</v>
      </c>
      <c r="D1391" s="10" t="str">
        <f>IFERROR(VLOOKUP(_stats[[#This Row],[player_id]],_players[[player_id]:[player_name]],2,0),"")</f>
        <v>Юра Пименов</v>
      </c>
      <c r="E1391" s="7">
        <v>2</v>
      </c>
      <c r="F1391" s="8">
        <v>1</v>
      </c>
      <c r="G1391" s="10">
        <f>SUMIFS(_teams[wins_on_date],_teams[date],_stats[[#This Row],[date]],_teams[team_number],_stats[[#This Row],[team_number]])</f>
        <v>2</v>
      </c>
      <c r="H1391" s="10">
        <f>SUMIFS(_teams[draws_on_date],_teams[date],_stats[[#This Row],[date]],_teams[team_number],_stats[[#This Row],[team_number]])</f>
        <v>1</v>
      </c>
      <c r="I1391" s="10">
        <v>0</v>
      </c>
      <c r="J1391" s="10">
        <v>0</v>
      </c>
      <c r="K1391" s="10">
        <v>7</v>
      </c>
      <c r="L1391" s="55" t="str">
        <f>VLOOKUP(_stats[[#This Row],[tournament]],tournaments_n_rules[],2,0)</f>
        <v>УПК</v>
      </c>
      <c r="M1391" s="55" t="str">
        <f>VLOOKUP(_stats[[#This Row],[tournament]],tournaments_n_rules[],3,0)</f>
        <v>Лето 2026</v>
      </c>
      <c r="N1391" s="56">
        <f>VLOOKUP(_stats[[#This Row],[tournament]],tournaments_n_rules[],4,0)</f>
        <v>46194</v>
      </c>
      <c r="O1391" s="56">
        <f>VLOOKUP(_stats[[#This Row],[tournament]],tournaments_n_rules[],5,0)</f>
        <v>46265</v>
      </c>
    </row>
    <row r="1392" spans="1:15" x14ac:dyDescent="0.25">
      <c r="A1392" s="6">
        <v>46201</v>
      </c>
      <c r="B1392" s="7">
        <v>1</v>
      </c>
      <c r="C1392" s="7" t="s">
        <v>134</v>
      </c>
      <c r="D1392" s="10" t="str">
        <f>IFERROR(VLOOKUP(_stats[[#This Row],[player_id]],_players[[player_id]:[player_name]],2,0),"")</f>
        <v>Арги</v>
      </c>
      <c r="E1392" s="7">
        <v>0</v>
      </c>
      <c r="F1392" s="8">
        <v>0</v>
      </c>
      <c r="G1392" s="10">
        <f>SUMIFS(_teams[wins_on_date],_teams[date],_stats[[#This Row],[date]],_teams[team_number],_stats[[#This Row],[team_number]])</f>
        <v>2</v>
      </c>
      <c r="H1392" s="10">
        <f>SUMIFS(_teams[draws_on_date],_teams[date],_stats[[#This Row],[date]],_teams[team_number],_stats[[#This Row],[team_number]])</f>
        <v>1</v>
      </c>
      <c r="I1392" s="10">
        <v>0</v>
      </c>
      <c r="J1392" s="10">
        <v>0</v>
      </c>
      <c r="K1392" s="10">
        <v>7</v>
      </c>
      <c r="L1392" s="55" t="str">
        <f>VLOOKUP(_stats[[#This Row],[tournament]],tournaments_n_rules[],2,0)</f>
        <v>УПК</v>
      </c>
      <c r="M1392" s="55" t="str">
        <f>VLOOKUP(_stats[[#This Row],[tournament]],tournaments_n_rules[],3,0)</f>
        <v>Лето 2026</v>
      </c>
      <c r="N1392" s="56">
        <f>VLOOKUP(_stats[[#This Row],[tournament]],tournaments_n_rules[],4,0)</f>
        <v>46194</v>
      </c>
      <c r="O1392" s="56">
        <f>VLOOKUP(_stats[[#This Row],[tournament]],tournaments_n_rules[],5,0)</f>
        <v>46265</v>
      </c>
    </row>
    <row r="1393" spans="1:15" x14ac:dyDescent="0.25">
      <c r="A1393" s="6">
        <v>46201</v>
      </c>
      <c r="B1393" s="7">
        <v>4</v>
      </c>
      <c r="C1393" s="7" t="s">
        <v>42</v>
      </c>
      <c r="D1393" s="10" t="str">
        <f>IFERROR(VLOOKUP(_stats[[#This Row],[player_id]],_players[[player_id]:[player_name]],2,0),"")</f>
        <v>Нурик</v>
      </c>
      <c r="E1393" s="7">
        <v>1</v>
      </c>
      <c r="F1393" s="8">
        <v>0</v>
      </c>
      <c r="G1393" s="10">
        <f>SUMIFS(_teams[wins_on_date],_teams[date],_stats[[#This Row],[date]],_teams[team_number],_stats[[#This Row],[team_number]])</f>
        <v>1</v>
      </c>
      <c r="H1393" s="10">
        <f>SUMIFS(_teams[draws_on_date],_teams[date],_stats[[#This Row],[date]],_teams[team_number],_stats[[#This Row],[team_number]])</f>
        <v>0</v>
      </c>
      <c r="I1393" s="10">
        <v>0</v>
      </c>
      <c r="J1393" s="10">
        <v>1</v>
      </c>
      <c r="K1393" s="10">
        <v>7</v>
      </c>
      <c r="L1393" s="55" t="str">
        <f>VLOOKUP(_stats[[#This Row],[tournament]],tournaments_n_rules[],2,0)</f>
        <v>УПК</v>
      </c>
      <c r="M1393" s="55" t="str">
        <f>VLOOKUP(_stats[[#This Row],[tournament]],tournaments_n_rules[],3,0)</f>
        <v>Лето 2026</v>
      </c>
      <c r="N1393" s="56">
        <f>VLOOKUP(_stats[[#This Row],[tournament]],tournaments_n_rules[],4,0)</f>
        <v>46194</v>
      </c>
      <c r="O1393" s="56">
        <f>VLOOKUP(_stats[[#This Row],[tournament]],tournaments_n_rules[],5,0)</f>
        <v>46265</v>
      </c>
    </row>
    <row r="1394" spans="1:15" x14ac:dyDescent="0.25">
      <c r="A1394" s="6">
        <v>46201</v>
      </c>
      <c r="B1394" s="7">
        <v>2</v>
      </c>
      <c r="C1394" s="7" t="s">
        <v>27</v>
      </c>
      <c r="D1394" s="10" t="str">
        <f>IFERROR(VLOOKUP(_stats[[#This Row],[player_id]],_players[[player_id]:[player_name]],2,0),"")</f>
        <v>Миша</v>
      </c>
      <c r="E1394" s="7">
        <v>2</v>
      </c>
      <c r="F1394" s="8">
        <v>0</v>
      </c>
      <c r="G1394" s="10">
        <f>SUMIFS(_teams[wins_on_date],_teams[date],_stats[[#This Row],[date]],_teams[team_number],_stats[[#This Row],[team_number]])</f>
        <v>2</v>
      </c>
      <c r="H1394" s="10">
        <f>SUMIFS(_teams[draws_on_date],_teams[date],_stats[[#This Row],[date]],_teams[team_number],_stats[[#This Row],[team_number]])</f>
        <v>0</v>
      </c>
      <c r="I1394" s="10">
        <v>0</v>
      </c>
      <c r="J1394" s="10">
        <v>0</v>
      </c>
      <c r="K1394" s="10">
        <v>7</v>
      </c>
      <c r="L1394" s="55" t="str">
        <f>VLOOKUP(_stats[[#This Row],[tournament]],tournaments_n_rules[],2,0)</f>
        <v>УПК</v>
      </c>
      <c r="M1394" s="55" t="str">
        <f>VLOOKUP(_stats[[#This Row],[tournament]],tournaments_n_rules[],3,0)</f>
        <v>Лето 2026</v>
      </c>
      <c r="N1394" s="56">
        <f>VLOOKUP(_stats[[#This Row],[tournament]],tournaments_n_rules[],4,0)</f>
        <v>46194</v>
      </c>
      <c r="O1394" s="56">
        <f>VLOOKUP(_stats[[#This Row],[tournament]],tournaments_n_rules[],5,0)</f>
        <v>46265</v>
      </c>
    </row>
    <row r="1395" spans="1:15" x14ac:dyDescent="0.25">
      <c r="A1395" s="6">
        <v>46201</v>
      </c>
      <c r="B1395" s="7">
        <v>2</v>
      </c>
      <c r="C1395" s="7" t="s">
        <v>28</v>
      </c>
      <c r="D1395" s="10" t="str">
        <f>IFERROR(VLOOKUP(_stats[[#This Row],[player_id]],_players[[player_id]:[player_name]],2,0),"")</f>
        <v>Никита</v>
      </c>
      <c r="E1395" s="7">
        <v>2</v>
      </c>
      <c r="F1395" s="8">
        <v>1</v>
      </c>
      <c r="G1395" s="10">
        <f>SUMIFS(_teams[wins_on_date],_teams[date],_stats[[#This Row],[date]],_teams[team_number],_stats[[#This Row],[team_number]])</f>
        <v>2</v>
      </c>
      <c r="H1395" s="10">
        <f>SUMIFS(_teams[draws_on_date],_teams[date],_stats[[#This Row],[date]],_teams[team_number],_stats[[#This Row],[team_number]])</f>
        <v>0</v>
      </c>
      <c r="I1395" s="10">
        <v>0</v>
      </c>
      <c r="J1395" s="10">
        <v>1</v>
      </c>
      <c r="K1395" s="10">
        <v>7</v>
      </c>
      <c r="L1395" s="55" t="str">
        <f>VLOOKUP(_stats[[#This Row],[tournament]],tournaments_n_rules[],2,0)</f>
        <v>УПК</v>
      </c>
      <c r="M1395" s="55" t="str">
        <f>VLOOKUP(_stats[[#This Row],[tournament]],tournaments_n_rules[],3,0)</f>
        <v>Лето 2026</v>
      </c>
      <c r="N1395" s="56">
        <f>VLOOKUP(_stats[[#This Row],[tournament]],tournaments_n_rules[],4,0)</f>
        <v>46194</v>
      </c>
      <c r="O1395" s="56">
        <f>VLOOKUP(_stats[[#This Row],[tournament]],tournaments_n_rules[],5,0)</f>
        <v>46265</v>
      </c>
    </row>
    <row r="1396" spans="1:15" x14ac:dyDescent="0.25">
      <c r="A1396" s="6">
        <v>46201</v>
      </c>
      <c r="B1396" s="7">
        <v>1</v>
      </c>
      <c r="C1396" s="7" t="s">
        <v>17</v>
      </c>
      <c r="D1396" s="10" t="str">
        <f>IFERROR(VLOOKUP(_stats[[#This Row],[player_id]],_players[[player_id]:[player_name]],2,0),"")</f>
        <v>Костя</v>
      </c>
      <c r="E1396" s="7">
        <v>1</v>
      </c>
      <c r="F1396" s="8">
        <v>0</v>
      </c>
      <c r="G1396" s="10">
        <f>SUMIFS(_teams[wins_on_date],_teams[date],_stats[[#This Row],[date]],_teams[team_number],_stats[[#This Row],[team_number]])</f>
        <v>2</v>
      </c>
      <c r="H1396" s="10">
        <f>SUMIFS(_teams[draws_on_date],_teams[date],_stats[[#This Row],[date]],_teams[team_number],_stats[[#This Row],[team_number]])</f>
        <v>1</v>
      </c>
      <c r="I1396" s="10">
        <v>0</v>
      </c>
      <c r="J1396" s="10">
        <v>0</v>
      </c>
      <c r="K1396" s="10">
        <v>7</v>
      </c>
      <c r="L1396" s="55" t="str">
        <f>VLOOKUP(_stats[[#This Row],[tournament]],tournaments_n_rules[],2,0)</f>
        <v>УПК</v>
      </c>
      <c r="M1396" s="55" t="str">
        <f>VLOOKUP(_stats[[#This Row],[tournament]],tournaments_n_rules[],3,0)</f>
        <v>Лето 2026</v>
      </c>
      <c r="N1396" s="56">
        <f>VLOOKUP(_stats[[#This Row],[tournament]],tournaments_n_rules[],4,0)</f>
        <v>46194</v>
      </c>
      <c r="O1396" s="56">
        <f>VLOOKUP(_stats[[#This Row],[tournament]],tournaments_n_rules[],5,0)</f>
        <v>46265</v>
      </c>
    </row>
    <row r="1397" spans="1:15" x14ac:dyDescent="0.25">
      <c r="A1397" s="6">
        <v>46201</v>
      </c>
      <c r="B1397" s="7">
        <v>1</v>
      </c>
      <c r="C1397" s="7" t="s">
        <v>185</v>
      </c>
      <c r="D1397" s="10" t="str">
        <f>IFERROR(VLOOKUP(_stats[[#This Row],[player_id]],_players[[player_id]:[player_name]],2,0),"")</f>
        <v>Богдан</v>
      </c>
      <c r="E1397" s="7">
        <v>0</v>
      </c>
      <c r="F1397" s="8">
        <v>0</v>
      </c>
      <c r="G1397" s="10">
        <f>SUMIFS(_teams[wins_on_date],_teams[date],_stats[[#This Row],[date]],_teams[team_number],_stats[[#This Row],[team_number]])</f>
        <v>2</v>
      </c>
      <c r="H1397" s="10">
        <f>SUMIFS(_teams[draws_on_date],_teams[date],_stats[[#This Row],[date]],_teams[team_number],_stats[[#This Row],[team_number]])</f>
        <v>1</v>
      </c>
      <c r="I1397" s="10">
        <v>0</v>
      </c>
      <c r="J1397" s="10">
        <v>0</v>
      </c>
      <c r="K1397" s="10">
        <v>7</v>
      </c>
      <c r="L1397" s="55" t="str">
        <f>VLOOKUP(_stats[[#This Row],[tournament]],tournaments_n_rules[],2,0)</f>
        <v>УПК</v>
      </c>
      <c r="M1397" s="55" t="str">
        <f>VLOOKUP(_stats[[#This Row],[tournament]],tournaments_n_rules[],3,0)</f>
        <v>Лето 2026</v>
      </c>
      <c r="N1397" s="56">
        <f>VLOOKUP(_stats[[#This Row],[tournament]],tournaments_n_rules[],4,0)</f>
        <v>46194</v>
      </c>
      <c r="O1397" s="56">
        <f>VLOOKUP(_stats[[#This Row],[tournament]],tournaments_n_rules[],5,0)</f>
        <v>46265</v>
      </c>
    </row>
    <row r="1398" spans="1:15" x14ac:dyDescent="0.25">
      <c r="A1398" s="6">
        <v>46201</v>
      </c>
      <c r="B1398" s="7">
        <v>4</v>
      </c>
      <c r="C1398" s="7" t="s">
        <v>19</v>
      </c>
      <c r="D1398" s="10" t="str">
        <f>IFERROR(VLOOKUP(_stats[[#This Row],[player_id]],_players[[player_id]:[player_name]],2,0),"")</f>
        <v>Сергей Крюков</v>
      </c>
      <c r="E1398" s="7">
        <v>1</v>
      </c>
      <c r="F1398" s="8">
        <v>0</v>
      </c>
      <c r="G1398" s="10">
        <f>SUMIFS(_teams[wins_on_date],_teams[date],_stats[[#This Row],[date]],_teams[team_number],_stats[[#This Row],[team_number]])</f>
        <v>1</v>
      </c>
      <c r="H1398" s="10">
        <f>SUMIFS(_teams[draws_on_date],_teams[date],_stats[[#This Row],[date]],_teams[team_number],_stats[[#This Row],[team_number]])</f>
        <v>0</v>
      </c>
      <c r="I1398" s="10">
        <v>1</v>
      </c>
      <c r="J1398" s="10">
        <v>0</v>
      </c>
      <c r="K1398" s="10">
        <v>7</v>
      </c>
      <c r="L1398" s="55" t="str">
        <f>VLOOKUP(_stats[[#This Row],[tournament]],tournaments_n_rules[],2,0)</f>
        <v>УПК</v>
      </c>
      <c r="M1398" s="55" t="str">
        <f>VLOOKUP(_stats[[#This Row],[tournament]],tournaments_n_rules[],3,0)</f>
        <v>Лето 2026</v>
      </c>
      <c r="N1398" s="56">
        <f>VLOOKUP(_stats[[#This Row],[tournament]],tournaments_n_rules[],4,0)</f>
        <v>46194</v>
      </c>
      <c r="O1398" s="56">
        <f>VLOOKUP(_stats[[#This Row],[tournament]],tournaments_n_rules[],5,0)</f>
        <v>46265</v>
      </c>
    </row>
    <row r="1399" spans="1:15" x14ac:dyDescent="0.25">
      <c r="A1399" s="6">
        <v>46201</v>
      </c>
      <c r="B1399" s="7">
        <v>1</v>
      </c>
      <c r="C1399" s="7" t="s">
        <v>52</v>
      </c>
      <c r="D1399" s="10" t="str">
        <f>IFERROR(VLOOKUP(_stats[[#This Row],[player_id]],_players[[player_id]:[player_name]],2,0),"")</f>
        <v>Игорь Фомичев</v>
      </c>
      <c r="E1399" s="7">
        <v>0</v>
      </c>
      <c r="F1399" s="8">
        <v>1</v>
      </c>
      <c r="G1399" s="10">
        <f>SUMIFS(_teams[wins_on_date],_teams[date],_stats[[#This Row],[date]],_teams[team_number],_stats[[#This Row],[team_number]])</f>
        <v>2</v>
      </c>
      <c r="H1399" s="10">
        <f>SUMIFS(_teams[draws_on_date],_teams[date],_stats[[#This Row],[date]],_teams[team_number],_stats[[#This Row],[team_number]])</f>
        <v>1</v>
      </c>
      <c r="I1399" s="10">
        <v>0</v>
      </c>
      <c r="J1399" s="10">
        <v>0</v>
      </c>
      <c r="K1399" s="10">
        <v>7</v>
      </c>
      <c r="L1399" s="55" t="str">
        <f>VLOOKUP(_stats[[#This Row],[tournament]],tournaments_n_rules[],2,0)</f>
        <v>УПК</v>
      </c>
      <c r="M1399" s="55" t="str">
        <f>VLOOKUP(_stats[[#This Row],[tournament]],tournaments_n_rules[],3,0)</f>
        <v>Лето 2026</v>
      </c>
      <c r="N1399" s="56">
        <f>VLOOKUP(_stats[[#This Row],[tournament]],tournaments_n_rules[],4,0)</f>
        <v>46194</v>
      </c>
      <c r="O1399" s="56">
        <f>VLOOKUP(_stats[[#This Row],[tournament]],tournaments_n_rules[],5,0)</f>
        <v>46265</v>
      </c>
    </row>
    <row r="1400" spans="1:15" x14ac:dyDescent="0.25">
      <c r="A1400" s="6">
        <v>46201</v>
      </c>
      <c r="B1400" s="7">
        <v>2</v>
      </c>
      <c r="C1400" s="7" t="s">
        <v>152</v>
      </c>
      <c r="D1400" s="10" t="str">
        <f>IFERROR(VLOOKUP(_stats[[#This Row],[player_id]],_players[[player_id]:[player_name]],2,0),"")</f>
        <v>Сурэн</v>
      </c>
      <c r="E1400" s="7">
        <v>0</v>
      </c>
      <c r="F1400" s="8">
        <v>0</v>
      </c>
      <c r="G1400" s="10">
        <f>SUMIFS(_teams[wins_on_date],_teams[date],_stats[[#This Row],[date]],_teams[team_number],_stats[[#This Row],[team_number]])</f>
        <v>2</v>
      </c>
      <c r="H1400" s="10">
        <f>SUMIFS(_teams[draws_on_date],_teams[date],_stats[[#This Row],[date]],_teams[team_number],_stats[[#This Row],[team_number]])</f>
        <v>0</v>
      </c>
      <c r="I1400" s="10">
        <v>0</v>
      </c>
      <c r="J1400" s="10">
        <v>0</v>
      </c>
      <c r="K1400" s="10">
        <v>7</v>
      </c>
      <c r="L1400" s="55" t="str">
        <f>VLOOKUP(_stats[[#This Row],[tournament]],tournaments_n_rules[],2,0)</f>
        <v>УПК</v>
      </c>
      <c r="M1400" s="55" t="str">
        <f>VLOOKUP(_stats[[#This Row],[tournament]],tournaments_n_rules[],3,0)</f>
        <v>Лето 2026</v>
      </c>
      <c r="N1400" s="56">
        <f>VLOOKUP(_stats[[#This Row],[tournament]],tournaments_n_rules[],4,0)</f>
        <v>46194</v>
      </c>
      <c r="O1400" s="56">
        <f>VLOOKUP(_stats[[#This Row],[tournament]],tournaments_n_rules[],5,0)</f>
        <v>46265</v>
      </c>
    </row>
    <row r="1401" spans="1:15" x14ac:dyDescent="0.25">
      <c r="A1401" s="6">
        <v>46201</v>
      </c>
      <c r="B1401" s="7">
        <v>2</v>
      </c>
      <c r="C1401" s="7" t="s">
        <v>41</v>
      </c>
      <c r="D1401" s="10" t="str">
        <f>IFERROR(VLOOKUP(_stats[[#This Row],[player_id]],_players[[player_id]:[player_name]],2,0),"")</f>
        <v>Атай</v>
      </c>
      <c r="E1401" s="7">
        <v>0</v>
      </c>
      <c r="F1401" s="8">
        <v>0</v>
      </c>
      <c r="G1401" s="10">
        <f>SUMIFS(_teams[wins_on_date],_teams[date],_stats[[#This Row],[date]],_teams[team_number],_stats[[#This Row],[team_number]])</f>
        <v>2</v>
      </c>
      <c r="H1401" s="10">
        <f>SUMIFS(_teams[draws_on_date],_teams[date],_stats[[#This Row],[date]],_teams[team_number],_stats[[#This Row],[team_number]])</f>
        <v>0</v>
      </c>
      <c r="I1401" s="10">
        <v>0</v>
      </c>
      <c r="J1401" s="10">
        <v>1</v>
      </c>
      <c r="K1401" s="10">
        <v>7</v>
      </c>
      <c r="L1401" s="55" t="str">
        <f>VLOOKUP(_stats[[#This Row],[tournament]],tournaments_n_rules[],2,0)</f>
        <v>УПК</v>
      </c>
      <c r="M1401" s="55" t="str">
        <f>VLOOKUP(_stats[[#This Row],[tournament]],tournaments_n_rules[],3,0)</f>
        <v>Лето 2026</v>
      </c>
      <c r="N1401" s="56">
        <f>VLOOKUP(_stats[[#This Row],[tournament]],tournaments_n_rules[],4,0)</f>
        <v>46194</v>
      </c>
      <c r="O1401" s="56">
        <f>VLOOKUP(_stats[[#This Row],[tournament]],tournaments_n_rules[],5,0)</f>
        <v>46265</v>
      </c>
    </row>
    <row r="1402" spans="1:15" x14ac:dyDescent="0.25">
      <c r="A1402" s="6">
        <v>46201</v>
      </c>
      <c r="B1402" s="7">
        <v>1</v>
      </c>
      <c r="C1402" s="7" t="s">
        <v>149</v>
      </c>
      <c r="D1402" s="10" t="str">
        <f>IFERROR(VLOOKUP(_stats[[#This Row],[player_id]],_players[[player_id]:[player_name]],2,0),"")</f>
        <v>Мухамед (Руб+1)</v>
      </c>
      <c r="E1402" s="7">
        <v>0</v>
      </c>
      <c r="F1402" s="8">
        <v>0</v>
      </c>
      <c r="G1402" s="10">
        <f>SUMIFS(_teams[wins_on_date],_teams[date],_stats[[#This Row],[date]],_teams[team_number],_stats[[#This Row],[team_number]])</f>
        <v>2</v>
      </c>
      <c r="H1402" s="10">
        <f>SUMIFS(_teams[draws_on_date],_teams[date],_stats[[#This Row],[date]],_teams[team_number],_stats[[#This Row],[team_number]])</f>
        <v>1</v>
      </c>
      <c r="I1402" s="10">
        <v>0</v>
      </c>
      <c r="J1402" s="10">
        <v>1</v>
      </c>
      <c r="K1402" s="10">
        <v>7</v>
      </c>
      <c r="L1402" s="55" t="str">
        <f>VLOOKUP(_stats[[#This Row],[tournament]],tournaments_n_rules[],2,0)</f>
        <v>УПК</v>
      </c>
      <c r="M1402" s="55" t="str">
        <f>VLOOKUP(_stats[[#This Row],[tournament]],tournaments_n_rules[],3,0)</f>
        <v>Лето 2026</v>
      </c>
      <c r="N1402" s="56">
        <f>VLOOKUP(_stats[[#This Row],[tournament]],tournaments_n_rules[],4,0)</f>
        <v>46194</v>
      </c>
      <c r="O1402" s="56">
        <f>VLOOKUP(_stats[[#This Row],[tournament]],tournaments_n_rules[],5,0)</f>
        <v>46265</v>
      </c>
    </row>
    <row r="1403" spans="1:15" x14ac:dyDescent="0.25">
      <c r="A1403" s="6">
        <v>46201</v>
      </c>
      <c r="B1403" s="7">
        <v>2</v>
      </c>
      <c r="C1403" s="7" t="s">
        <v>82</v>
      </c>
      <c r="D1403" s="10" t="str">
        <f>IFERROR(VLOOKUP(_stats[[#This Row],[player_id]],_players[[player_id]:[player_name]],2,0),"")</f>
        <v>Марат (Атай+1)</v>
      </c>
      <c r="E1403" s="7">
        <v>0</v>
      </c>
      <c r="F1403" s="8">
        <v>0</v>
      </c>
      <c r="G1403" s="10">
        <f>SUMIFS(_teams[wins_on_date],_teams[date],_stats[[#This Row],[date]],_teams[team_number],_stats[[#This Row],[team_number]])</f>
        <v>2</v>
      </c>
      <c r="H1403" s="10">
        <f>SUMIFS(_teams[draws_on_date],_teams[date],_stats[[#This Row],[date]],_teams[team_number],_stats[[#This Row],[team_number]])</f>
        <v>0</v>
      </c>
      <c r="I1403" s="10">
        <v>0</v>
      </c>
      <c r="J1403" s="10">
        <v>0</v>
      </c>
      <c r="K1403" s="10">
        <v>7</v>
      </c>
      <c r="L1403" s="55" t="str">
        <f>VLOOKUP(_stats[[#This Row],[tournament]],tournaments_n_rules[],2,0)</f>
        <v>УПК</v>
      </c>
      <c r="M1403" s="55" t="str">
        <f>VLOOKUP(_stats[[#This Row],[tournament]],tournaments_n_rules[],3,0)</f>
        <v>Лето 2026</v>
      </c>
      <c r="N1403" s="56">
        <f>VLOOKUP(_stats[[#This Row],[tournament]],tournaments_n_rules[],4,0)</f>
        <v>46194</v>
      </c>
      <c r="O1403" s="56">
        <f>VLOOKUP(_stats[[#This Row],[tournament]],tournaments_n_rules[],5,0)</f>
        <v>46265</v>
      </c>
    </row>
    <row r="1404" spans="1:15" x14ac:dyDescent="0.25">
      <c r="A1404" s="6">
        <v>46201</v>
      </c>
      <c r="B1404" s="7">
        <v>3</v>
      </c>
      <c r="C1404" s="7" t="s">
        <v>197</v>
      </c>
      <c r="D1404" s="10" t="str">
        <f>IFERROR(VLOOKUP(_stats[[#This Row],[player_id]],_players[[player_id]:[player_name]],2,0),"")</f>
        <v>Дима (Логинов+1)</v>
      </c>
      <c r="E1404" s="7">
        <v>0</v>
      </c>
      <c r="F1404" s="8">
        <v>0</v>
      </c>
      <c r="G1404" s="10">
        <f>SUMIFS(_teams[wins_on_date],_teams[date],_stats[[#This Row],[date]],_teams[team_number],_stats[[#This Row],[team_number]])</f>
        <v>10</v>
      </c>
      <c r="H1404" s="10">
        <f>SUMIFS(_teams[draws_on_date],_teams[date],_stats[[#This Row],[date]],_teams[team_number],_stats[[#This Row],[team_number]])</f>
        <v>1</v>
      </c>
      <c r="I1404" s="10">
        <v>0</v>
      </c>
      <c r="J1404" s="10">
        <v>0</v>
      </c>
      <c r="K1404" s="10">
        <v>7</v>
      </c>
      <c r="L1404" s="55" t="str">
        <f>VLOOKUP(_stats[[#This Row],[tournament]],tournaments_n_rules[],2,0)</f>
        <v>УПК</v>
      </c>
      <c r="M1404" s="55" t="str">
        <f>VLOOKUP(_stats[[#This Row],[tournament]],tournaments_n_rules[],3,0)</f>
        <v>Лето 2026</v>
      </c>
      <c r="N1404" s="56">
        <f>VLOOKUP(_stats[[#This Row],[tournament]],tournaments_n_rules[],4,0)</f>
        <v>46194</v>
      </c>
      <c r="O1404" s="56">
        <f>VLOOKUP(_stats[[#This Row],[tournament]],tournaments_n_rules[],5,0)</f>
        <v>46265</v>
      </c>
    </row>
    <row r="1405" spans="1:15" x14ac:dyDescent="0.25">
      <c r="A1405" s="6">
        <v>46201</v>
      </c>
      <c r="B1405" s="7">
        <v>3</v>
      </c>
      <c r="C1405" s="7" t="s">
        <v>198</v>
      </c>
      <c r="D1405" s="10" t="str">
        <f>IFERROR(VLOOKUP(_stats[[#This Row],[player_id]],_players[[player_id]:[player_name]],2,0),"")</f>
        <v>Арсен (Логинов+1)</v>
      </c>
      <c r="E1405" s="7">
        <v>2</v>
      </c>
      <c r="F1405" s="8">
        <v>0</v>
      </c>
      <c r="G1405" s="10">
        <f>SUMIFS(_teams[wins_on_date],_teams[date],_stats[[#This Row],[date]],_teams[team_number],_stats[[#This Row],[team_number]])</f>
        <v>10</v>
      </c>
      <c r="H1405" s="10">
        <f>SUMIFS(_teams[draws_on_date],_teams[date],_stats[[#This Row],[date]],_teams[team_number],_stats[[#This Row],[team_number]])</f>
        <v>1</v>
      </c>
      <c r="I1405" s="10">
        <v>0</v>
      </c>
      <c r="J1405" s="10">
        <v>0</v>
      </c>
      <c r="K1405" s="10">
        <v>7</v>
      </c>
      <c r="L1405" s="55" t="str">
        <f>VLOOKUP(_stats[[#This Row],[tournament]],tournaments_n_rules[],2,0)</f>
        <v>УПК</v>
      </c>
      <c r="M1405" s="55" t="str">
        <f>VLOOKUP(_stats[[#This Row],[tournament]],tournaments_n_rules[],3,0)</f>
        <v>Лето 2026</v>
      </c>
      <c r="N1405" s="56">
        <f>VLOOKUP(_stats[[#This Row],[tournament]],tournaments_n_rules[],4,0)</f>
        <v>46194</v>
      </c>
      <c r="O1405" s="56">
        <f>VLOOKUP(_stats[[#This Row],[tournament]],tournaments_n_rules[],5,0)</f>
        <v>46265</v>
      </c>
    </row>
    <row r="1406" spans="1:15" x14ac:dyDescent="0.25">
      <c r="A1406" s="6">
        <v>46201</v>
      </c>
      <c r="B1406" s="7">
        <v>3</v>
      </c>
      <c r="C1406" s="7" t="s">
        <v>199</v>
      </c>
      <c r="D1406" s="10" t="str">
        <f>IFERROR(VLOOKUP(_stats[[#This Row],[player_id]],_players[[player_id]:[player_name]],2,0),"")</f>
        <v>Артур (Логинов+1)</v>
      </c>
      <c r="E1406" s="7">
        <v>4</v>
      </c>
      <c r="F1406" s="8">
        <v>3</v>
      </c>
      <c r="G1406" s="10">
        <f>SUMIFS(_teams[wins_on_date],_teams[date],_stats[[#This Row],[date]],_teams[team_number],_stats[[#This Row],[team_number]])</f>
        <v>10</v>
      </c>
      <c r="H1406" s="10">
        <f>SUMIFS(_teams[draws_on_date],_teams[date],_stats[[#This Row],[date]],_teams[team_number],_stats[[#This Row],[team_number]])</f>
        <v>1</v>
      </c>
      <c r="I1406" s="10">
        <v>0</v>
      </c>
      <c r="J1406" s="10">
        <v>0</v>
      </c>
      <c r="K1406" s="10">
        <v>7</v>
      </c>
      <c r="L1406" s="55" t="str">
        <f>VLOOKUP(_stats[[#This Row],[tournament]],tournaments_n_rules[],2,0)</f>
        <v>УПК</v>
      </c>
      <c r="M1406" s="55" t="str">
        <f>VLOOKUP(_stats[[#This Row],[tournament]],tournaments_n_rules[],3,0)</f>
        <v>Лето 2026</v>
      </c>
      <c r="N1406" s="56">
        <f>VLOOKUP(_stats[[#This Row],[tournament]],tournaments_n_rules[],4,0)</f>
        <v>46194</v>
      </c>
      <c r="O1406" s="56">
        <f>VLOOKUP(_stats[[#This Row],[tournament]],tournaments_n_rules[],5,0)</f>
        <v>46265</v>
      </c>
    </row>
    <row r="1407" spans="1:15" x14ac:dyDescent="0.25">
      <c r="A1407" s="6">
        <v>46201</v>
      </c>
      <c r="B1407" s="7">
        <v>3</v>
      </c>
      <c r="C1407" s="7" t="s">
        <v>200</v>
      </c>
      <c r="D1407" s="10" t="str">
        <f>IFERROR(VLOOKUP(_stats[[#This Row],[player_id]],_players[[player_id]:[player_name]],2,0),"")</f>
        <v>Остап (Логинов+1)</v>
      </c>
      <c r="E1407" s="7">
        <v>5</v>
      </c>
      <c r="F1407" s="8">
        <v>3</v>
      </c>
      <c r="G1407" s="10">
        <f>SUMIFS(_teams[wins_on_date],_teams[date],_stats[[#This Row],[date]],_teams[team_number],_stats[[#This Row],[team_number]])</f>
        <v>10</v>
      </c>
      <c r="H1407" s="10">
        <f>SUMIFS(_teams[draws_on_date],_teams[date],_stats[[#This Row],[date]],_teams[team_number],_stats[[#This Row],[team_number]])</f>
        <v>1</v>
      </c>
      <c r="I1407" s="10">
        <v>0</v>
      </c>
      <c r="J1407" s="10">
        <v>0</v>
      </c>
      <c r="K1407" s="10">
        <v>7</v>
      </c>
      <c r="L1407" s="55" t="str">
        <f>VLOOKUP(_stats[[#This Row],[tournament]],tournaments_n_rules[],2,0)</f>
        <v>УПК</v>
      </c>
      <c r="M1407" s="55" t="str">
        <f>VLOOKUP(_stats[[#This Row],[tournament]],tournaments_n_rules[],3,0)</f>
        <v>Лето 2026</v>
      </c>
      <c r="N1407" s="56">
        <f>VLOOKUP(_stats[[#This Row],[tournament]],tournaments_n_rules[],4,0)</f>
        <v>46194</v>
      </c>
      <c r="O1407" s="56">
        <f>VLOOKUP(_stats[[#This Row],[tournament]],tournaments_n_rules[],5,0)</f>
        <v>46265</v>
      </c>
    </row>
    <row r="1408" spans="1:15" x14ac:dyDescent="0.25">
      <c r="A1408" s="6">
        <v>46201</v>
      </c>
      <c r="B1408" s="7">
        <v>3</v>
      </c>
      <c r="C1408" s="7" t="s">
        <v>34</v>
      </c>
      <c r="D1408" s="10" t="str">
        <f>IFERROR(VLOOKUP(_stats[[#This Row],[player_id]],_players[[player_id]:[player_name]],2,0),"")</f>
        <v>Дядя Руслан</v>
      </c>
      <c r="E1408" s="7">
        <v>0</v>
      </c>
      <c r="F1408" s="8">
        <v>0</v>
      </c>
      <c r="G1408" s="10">
        <f>SUMIFS(_teams[wins_on_date],_teams[date],_stats[[#This Row],[date]],_teams[team_number],_stats[[#This Row],[team_number]])</f>
        <v>10</v>
      </c>
      <c r="H1408" s="10">
        <f>SUMIFS(_teams[draws_on_date],_teams[date],_stats[[#This Row],[date]],_teams[team_number],_stats[[#This Row],[team_number]])</f>
        <v>1</v>
      </c>
      <c r="I1408" s="10">
        <v>0</v>
      </c>
      <c r="J1408" s="10">
        <v>0</v>
      </c>
      <c r="K1408" s="10">
        <v>7</v>
      </c>
      <c r="L1408" s="55" t="str">
        <f>VLOOKUP(_stats[[#This Row],[tournament]],tournaments_n_rules[],2,0)</f>
        <v>УПК</v>
      </c>
      <c r="M1408" s="55" t="str">
        <f>VLOOKUP(_stats[[#This Row],[tournament]],tournaments_n_rules[],3,0)</f>
        <v>Лето 2026</v>
      </c>
      <c r="N1408" s="56">
        <f>VLOOKUP(_stats[[#This Row],[tournament]],tournaments_n_rules[],4,0)</f>
        <v>46194</v>
      </c>
      <c r="O1408" s="56">
        <f>VLOOKUP(_stats[[#This Row],[tournament]],tournaments_n_rules[],5,0)</f>
        <v>46265</v>
      </c>
    </row>
    <row r="1409" spans="1:15" x14ac:dyDescent="0.25">
      <c r="A1409" s="6">
        <v>46201</v>
      </c>
      <c r="B1409" s="7">
        <v>2</v>
      </c>
      <c r="C1409" s="7" t="s">
        <v>11</v>
      </c>
      <c r="D1409" s="10" t="str">
        <f>IFERROR(VLOOKUP(_stats[[#This Row],[player_id]],_players[[player_id]:[player_name]],2,0),"")</f>
        <v>Максим Строцкий</v>
      </c>
      <c r="E1409" s="7">
        <v>1</v>
      </c>
      <c r="F1409" s="8">
        <v>2</v>
      </c>
      <c r="G1409" s="10">
        <f>SUMIFS(_teams[wins_on_date],_teams[date],_stats[[#This Row],[date]],_teams[team_number],_stats[[#This Row],[team_number]])</f>
        <v>2</v>
      </c>
      <c r="H1409" s="10">
        <f>SUMIFS(_teams[draws_on_date],_teams[date],_stats[[#This Row],[date]],_teams[team_number],_stats[[#This Row],[team_number]])</f>
        <v>0</v>
      </c>
      <c r="I1409" s="10">
        <v>0</v>
      </c>
      <c r="J1409" s="10">
        <v>0</v>
      </c>
      <c r="K1409" s="10">
        <v>7</v>
      </c>
      <c r="L1409" s="55" t="str">
        <f>VLOOKUP(_stats[[#This Row],[tournament]],tournaments_n_rules[],2,0)</f>
        <v>УПК</v>
      </c>
      <c r="M1409" s="55" t="str">
        <f>VLOOKUP(_stats[[#This Row],[tournament]],tournaments_n_rules[],3,0)</f>
        <v>Лето 2026</v>
      </c>
      <c r="N1409" s="56">
        <f>VLOOKUP(_stats[[#This Row],[tournament]],tournaments_n_rules[],4,0)</f>
        <v>46194</v>
      </c>
      <c r="O1409" s="56">
        <f>VLOOKUP(_stats[[#This Row],[tournament]],tournaments_n_rules[],5,0)</f>
        <v>46265</v>
      </c>
    </row>
    <row r="1410" spans="1:15" x14ac:dyDescent="0.25">
      <c r="A1410" s="6">
        <v>46201</v>
      </c>
      <c r="B1410" s="7">
        <v>3</v>
      </c>
      <c r="C1410" s="7" t="s">
        <v>190</v>
      </c>
      <c r="D1410" s="10" t="str">
        <f>IFERROR(VLOOKUP(_stats[[#This Row],[player_id]],_players[[player_id]:[player_name]],2,0),"")</f>
        <v>Никита (Сурэн+1)</v>
      </c>
      <c r="E1410" s="7">
        <v>4</v>
      </c>
      <c r="F1410" s="8">
        <v>2</v>
      </c>
      <c r="G1410" s="10">
        <f>SUMIFS(_teams[wins_on_date],_teams[date],_stats[[#This Row],[date]],_teams[team_number],_stats[[#This Row],[team_number]])</f>
        <v>10</v>
      </c>
      <c r="H1410" s="10">
        <f>SUMIFS(_teams[draws_on_date],_teams[date],_stats[[#This Row],[date]],_teams[team_number],_stats[[#This Row],[team_number]])</f>
        <v>1</v>
      </c>
      <c r="I1410" s="10">
        <v>0</v>
      </c>
      <c r="J1410" s="10">
        <v>0</v>
      </c>
      <c r="K1410" s="10">
        <v>7</v>
      </c>
      <c r="L1410" s="55" t="str">
        <f>VLOOKUP(_stats[[#This Row],[tournament]],tournaments_n_rules[],2,0)</f>
        <v>УПК</v>
      </c>
      <c r="M1410" s="55" t="str">
        <f>VLOOKUP(_stats[[#This Row],[tournament]],tournaments_n_rules[],3,0)</f>
        <v>Лето 2026</v>
      </c>
      <c r="N1410" s="56">
        <f>VLOOKUP(_stats[[#This Row],[tournament]],tournaments_n_rules[],4,0)</f>
        <v>46194</v>
      </c>
      <c r="O1410" s="56">
        <f>VLOOKUP(_stats[[#This Row],[tournament]],tournaments_n_rules[],5,0)</f>
        <v>46265</v>
      </c>
    </row>
    <row r="1411" spans="1:15" x14ac:dyDescent="0.25">
      <c r="A1411" s="6">
        <v>46201</v>
      </c>
      <c r="B1411" s="7">
        <v>2</v>
      </c>
      <c r="C1411" s="7" t="s">
        <v>29</v>
      </c>
      <c r="D1411" s="10" t="str">
        <f>IFERROR(VLOOKUP(_stats[[#This Row],[player_id]],_players[[player_id]:[player_name]],2,0),"")</f>
        <v>Александр Травкин</v>
      </c>
      <c r="E1411" s="7">
        <v>1</v>
      </c>
      <c r="F1411" s="8">
        <v>0</v>
      </c>
      <c r="G1411" s="10">
        <f>SUMIFS(_teams[wins_on_date],_teams[date],_stats[[#This Row],[date]],_teams[team_number],_stats[[#This Row],[team_number]])</f>
        <v>2</v>
      </c>
      <c r="H1411" s="10">
        <f>SUMIFS(_teams[draws_on_date],_teams[date],_stats[[#This Row],[date]],_teams[team_number],_stats[[#This Row],[team_number]])</f>
        <v>0</v>
      </c>
      <c r="I1411" s="10">
        <v>0</v>
      </c>
      <c r="J1411" s="10">
        <v>0</v>
      </c>
      <c r="K1411" s="10">
        <v>7</v>
      </c>
      <c r="L1411" s="55" t="str">
        <f>VLOOKUP(_stats[[#This Row],[tournament]],tournaments_n_rules[],2,0)</f>
        <v>УПК</v>
      </c>
      <c r="M1411" s="55" t="str">
        <f>VLOOKUP(_stats[[#This Row],[tournament]],tournaments_n_rules[],3,0)</f>
        <v>Лето 2026</v>
      </c>
      <c r="N1411" s="56">
        <f>VLOOKUP(_stats[[#This Row],[tournament]],tournaments_n_rules[],4,0)</f>
        <v>46194</v>
      </c>
      <c r="O1411" s="56">
        <f>VLOOKUP(_stats[[#This Row],[tournament]],tournaments_n_rules[],5,0)</f>
        <v>46265</v>
      </c>
    </row>
    <row r="1412" spans="1:15" x14ac:dyDescent="0.25">
      <c r="A1412" s="6">
        <v>46201</v>
      </c>
      <c r="B1412" s="7">
        <v>4</v>
      </c>
      <c r="C1412" s="7" t="s">
        <v>26</v>
      </c>
      <c r="D1412" s="10" t="str">
        <f>IFERROR(VLOOKUP(_stats[[#This Row],[player_id]],_players[[player_id]:[player_name]],2,0),"")</f>
        <v>Рубик</v>
      </c>
      <c r="E1412" s="7">
        <v>0</v>
      </c>
      <c r="F1412" s="8">
        <v>0</v>
      </c>
      <c r="G1412" s="10">
        <f>SUMIFS(_teams[wins_on_date],_teams[date],_stats[[#This Row],[date]],_teams[team_number],_stats[[#This Row],[team_number]])</f>
        <v>1</v>
      </c>
      <c r="H1412" s="10">
        <f>SUMIFS(_teams[draws_on_date],_teams[date],_stats[[#This Row],[date]],_teams[team_number],_stats[[#This Row],[team_number]])</f>
        <v>0</v>
      </c>
      <c r="I1412" s="10">
        <v>0</v>
      </c>
      <c r="J1412" s="10">
        <v>0</v>
      </c>
      <c r="K1412" s="10">
        <v>7</v>
      </c>
      <c r="L1412" s="55" t="str">
        <f>VLOOKUP(_stats[[#This Row],[tournament]],tournaments_n_rules[],2,0)</f>
        <v>УПК</v>
      </c>
      <c r="M1412" s="55" t="str">
        <f>VLOOKUP(_stats[[#This Row],[tournament]],tournaments_n_rules[],3,0)</f>
        <v>Лето 2026</v>
      </c>
      <c r="N1412" s="56">
        <f>VLOOKUP(_stats[[#This Row],[tournament]],tournaments_n_rules[],4,0)</f>
        <v>46194</v>
      </c>
      <c r="O1412" s="56">
        <f>VLOOKUP(_stats[[#This Row],[tournament]],tournaments_n_rules[],5,0)</f>
        <v>46265</v>
      </c>
    </row>
    <row r="1413" spans="1:15" x14ac:dyDescent="0.25">
      <c r="A1413" s="6">
        <v>46201</v>
      </c>
      <c r="B1413" s="7">
        <v>4</v>
      </c>
      <c r="C1413" s="7" t="s">
        <v>145</v>
      </c>
      <c r="D1413" s="10" t="str">
        <f>IFERROR(VLOOKUP(_stats[[#This Row],[player_id]],_players[[player_id]:[player_name]],2,0),"")</f>
        <v>Заур (Руб+1)</v>
      </c>
      <c r="E1413" s="7">
        <v>0</v>
      </c>
      <c r="F1413" s="8">
        <v>0</v>
      </c>
      <c r="G1413" s="10">
        <f>SUMIFS(_teams[wins_on_date],_teams[date],_stats[[#This Row],[date]],_teams[team_number],_stats[[#This Row],[team_number]])</f>
        <v>1</v>
      </c>
      <c r="H1413" s="10">
        <f>SUMIFS(_teams[draws_on_date],_teams[date],_stats[[#This Row],[date]],_teams[team_number],_stats[[#This Row],[team_number]])</f>
        <v>0</v>
      </c>
      <c r="I1413" s="10">
        <v>0</v>
      </c>
      <c r="J1413" s="10">
        <v>0</v>
      </c>
      <c r="K1413" s="10">
        <v>7</v>
      </c>
      <c r="L1413" s="55" t="str">
        <f>VLOOKUP(_stats[[#This Row],[tournament]],tournaments_n_rules[],2,0)</f>
        <v>УПК</v>
      </c>
      <c r="M1413" s="55" t="str">
        <f>VLOOKUP(_stats[[#This Row],[tournament]],tournaments_n_rules[],3,0)</f>
        <v>Лето 2026</v>
      </c>
      <c r="N1413" s="56">
        <f>VLOOKUP(_stats[[#This Row],[tournament]],tournaments_n_rules[],4,0)</f>
        <v>46194</v>
      </c>
      <c r="O1413" s="56">
        <f>VLOOKUP(_stats[[#This Row],[tournament]],tournaments_n_rules[],5,0)</f>
        <v>46265</v>
      </c>
    </row>
    <row r="1414" spans="1:15" x14ac:dyDescent="0.25">
      <c r="A1414" s="6">
        <v>46201</v>
      </c>
      <c r="B1414" s="7">
        <v>4</v>
      </c>
      <c r="C1414" s="7" t="s">
        <v>96</v>
      </c>
      <c r="D1414" s="10" t="str">
        <f>IFERROR(VLOOKUP(_stats[[#This Row],[player_id]],_players[[player_id]:[player_name]],2,0),"")</f>
        <v>Руслан Байшев</v>
      </c>
      <c r="E1414" s="7">
        <v>0</v>
      </c>
      <c r="F1414" s="8">
        <v>0</v>
      </c>
      <c r="G1414" s="10">
        <f>SUMIFS(_teams[wins_on_date],_teams[date],_stats[[#This Row],[date]],_teams[team_number],_stats[[#This Row],[team_number]])</f>
        <v>1</v>
      </c>
      <c r="H1414" s="10">
        <f>SUMIFS(_teams[draws_on_date],_teams[date],_stats[[#This Row],[date]],_teams[team_number],_stats[[#This Row],[team_number]])</f>
        <v>0</v>
      </c>
      <c r="I1414" s="10">
        <v>0</v>
      </c>
      <c r="J1414" s="10">
        <v>0</v>
      </c>
      <c r="K1414" s="10">
        <v>7</v>
      </c>
      <c r="L1414" s="55" t="str">
        <f>VLOOKUP(_stats[[#This Row],[tournament]],tournaments_n_rules[],2,0)</f>
        <v>УПК</v>
      </c>
      <c r="M1414" s="55" t="str">
        <f>VLOOKUP(_stats[[#This Row],[tournament]],tournaments_n_rules[],3,0)</f>
        <v>Лето 2026</v>
      </c>
      <c r="N1414" s="56">
        <f>VLOOKUP(_stats[[#This Row],[tournament]],tournaments_n_rules[],4,0)</f>
        <v>46194</v>
      </c>
      <c r="O1414" s="56">
        <f>VLOOKUP(_stats[[#This Row],[tournament]],tournaments_n_rules[],5,0)</f>
        <v>46265</v>
      </c>
    </row>
    <row r="1415" spans="1:15" x14ac:dyDescent="0.25">
      <c r="A1415" s="6">
        <v>46208</v>
      </c>
      <c r="B1415" s="7">
        <v>2</v>
      </c>
      <c r="C1415" s="7" t="s">
        <v>64</v>
      </c>
      <c r="D1415" s="10" t="str">
        <f>IFERROR(VLOOKUP(_stats[[#This Row],[player_id]],_players[[player_id]:[player_name]],2,0),"")</f>
        <v>Дима Сахаров</v>
      </c>
      <c r="E1415" s="7">
        <v>0</v>
      </c>
      <c r="F1415" s="8">
        <v>0</v>
      </c>
      <c r="G1415" s="10">
        <f>SUMIFS(_teams[wins_on_date],_teams[date],_stats[[#This Row],[date]],_teams[team_number],_stats[[#This Row],[team_number]])</f>
        <v>3</v>
      </c>
      <c r="H1415" s="10">
        <f>SUMIFS(_teams[draws_on_date],_teams[date],_stats[[#This Row],[date]],_teams[team_number],_stats[[#This Row],[team_number]])</f>
        <v>1</v>
      </c>
      <c r="I1415" s="10">
        <v>0</v>
      </c>
      <c r="J1415" s="10">
        <v>0</v>
      </c>
      <c r="K1415" s="10">
        <v>7</v>
      </c>
      <c r="L1415" s="55" t="str">
        <f>VLOOKUP(_stats[[#This Row],[tournament]],tournaments_n_rules[],2,0)</f>
        <v>УПК</v>
      </c>
      <c r="M1415" s="55" t="str">
        <f>VLOOKUP(_stats[[#This Row],[tournament]],tournaments_n_rules[],3,0)</f>
        <v>Лето 2026</v>
      </c>
      <c r="N1415" s="56">
        <f>VLOOKUP(_stats[[#This Row],[tournament]],tournaments_n_rules[],4,0)</f>
        <v>46194</v>
      </c>
      <c r="O1415" s="56">
        <f>VLOOKUP(_stats[[#This Row],[tournament]],tournaments_n_rules[],5,0)</f>
        <v>46265</v>
      </c>
    </row>
    <row r="1416" spans="1:15" x14ac:dyDescent="0.25">
      <c r="A1416" s="6">
        <v>46208</v>
      </c>
      <c r="B1416" s="7">
        <v>3</v>
      </c>
      <c r="C1416" s="7" t="s">
        <v>31</v>
      </c>
      <c r="D1416" s="10" t="str">
        <f>IFERROR(VLOOKUP(_stats[[#This Row],[player_id]],_players[[player_id]:[player_name]],2,0),"")</f>
        <v>Артем Ширяев</v>
      </c>
      <c r="E1416" s="7">
        <v>0</v>
      </c>
      <c r="F1416" s="8">
        <v>1</v>
      </c>
      <c r="G1416" s="10">
        <f>SUMIFS(_teams[wins_on_date],_teams[date],_stats[[#This Row],[date]],_teams[team_number],_stats[[#This Row],[team_number]])</f>
        <v>4</v>
      </c>
      <c r="H1416" s="10">
        <f>SUMIFS(_teams[draws_on_date],_teams[date],_stats[[#This Row],[date]],_teams[team_number],_stats[[#This Row],[team_number]])</f>
        <v>2</v>
      </c>
      <c r="I1416" s="10">
        <v>0</v>
      </c>
      <c r="J1416" s="10">
        <v>0</v>
      </c>
      <c r="K1416" s="10">
        <v>7</v>
      </c>
      <c r="L1416" s="55" t="str">
        <f>VLOOKUP(_stats[[#This Row],[tournament]],tournaments_n_rules[],2,0)</f>
        <v>УПК</v>
      </c>
      <c r="M1416" s="55" t="str">
        <f>VLOOKUP(_stats[[#This Row],[tournament]],tournaments_n_rules[],3,0)</f>
        <v>Лето 2026</v>
      </c>
      <c r="N1416" s="56">
        <f>VLOOKUP(_stats[[#This Row],[tournament]],tournaments_n_rules[],4,0)</f>
        <v>46194</v>
      </c>
      <c r="O1416" s="56">
        <f>VLOOKUP(_stats[[#This Row],[tournament]],tournaments_n_rules[],5,0)</f>
        <v>46265</v>
      </c>
    </row>
    <row r="1417" spans="1:15" x14ac:dyDescent="0.25">
      <c r="A1417" s="6">
        <v>46208</v>
      </c>
      <c r="B1417" s="7">
        <v>3</v>
      </c>
      <c r="C1417" s="7" t="s">
        <v>79</v>
      </c>
      <c r="D1417" s="10" t="str">
        <f>IFERROR(VLOOKUP(_stats[[#This Row],[player_id]],_players[[player_id]:[player_name]],2,0),"")</f>
        <v>Анашкин</v>
      </c>
      <c r="E1417" s="7">
        <v>0</v>
      </c>
      <c r="F1417" s="8">
        <v>0</v>
      </c>
      <c r="G1417" s="10">
        <f>SUMIFS(_teams[wins_on_date],_teams[date],_stats[[#This Row],[date]],_teams[team_number],_stats[[#This Row],[team_number]])</f>
        <v>4</v>
      </c>
      <c r="H1417" s="10">
        <f>SUMIFS(_teams[draws_on_date],_teams[date],_stats[[#This Row],[date]],_teams[team_number],_stats[[#This Row],[team_number]])</f>
        <v>2</v>
      </c>
      <c r="I1417" s="10">
        <v>2</v>
      </c>
      <c r="J1417" s="10">
        <v>0</v>
      </c>
      <c r="K1417" s="10">
        <v>7</v>
      </c>
      <c r="L1417" s="55" t="str">
        <f>VLOOKUP(_stats[[#This Row],[tournament]],tournaments_n_rules[],2,0)</f>
        <v>УПК</v>
      </c>
      <c r="M1417" s="55" t="str">
        <f>VLOOKUP(_stats[[#This Row],[tournament]],tournaments_n_rules[],3,0)</f>
        <v>Лето 2026</v>
      </c>
      <c r="N1417" s="56">
        <f>VLOOKUP(_stats[[#This Row],[tournament]],tournaments_n_rules[],4,0)</f>
        <v>46194</v>
      </c>
      <c r="O1417" s="56">
        <f>VLOOKUP(_stats[[#This Row],[tournament]],tournaments_n_rules[],5,0)</f>
        <v>46265</v>
      </c>
    </row>
    <row r="1418" spans="1:15" x14ac:dyDescent="0.25">
      <c r="A1418" s="6">
        <v>46208</v>
      </c>
      <c r="B1418" s="7">
        <v>3</v>
      </c>
      <c r="C1418" s="7" t="s">
        <v>59</v>
      </c>
      <c r="D1418" s="10" t="str">
        <f>IFERROR(VLOOKUP(_stats[[#This Row],[player_id]],_players[[player_id]:[player_name]],2,0),"")</f>
        <v>Юра Пименов</v>
      </c>
      <c r="E1418" s="7">
        <v>0</v>
      </c>
      <c r="F1418" s="8">
        <v>2</v>
      </c>
      <c r="G1418" s="10">
        <f>SUMIFS(_teams[wins_on_date],_teams[date],_stats[[#This Row],[date]],_teams[team_number],_stats[[#This Row],[team_number]])</f>
        <v>4</v>
      </c>
      <c r="H1418" s="10">
        <f>SUMIFS(_teams[draws_on_date],_teams[date],_stats[[#This Row],[date]],_teams[team_number],_stats[[#This Row],[team_number]])</f>
        <v>2</v>
      </c>
      <c r="I1418" s="10">
        <v>1</v>
      </c>
      <c r="J1418" s="10">
        <v>0</v>
      </c>
      <c r="K1418" s="10">
        <v>7</v>
      </c>
      <c r="L1418" s="55" t="str">
        <f>VLOOKUP(_stats[[#This Row],[tournament]],tournaments_n_rules[],2,0)</f>
        <v>УПК</v>
      </c>
      <c r="M1418" s="55" t="str">
        <f>VLOOKUP(_stats[[#This Row],[tournament]],tournaments_n_rules[],3,0)</f>
        <v>Лето 2026</v>
      </c>
      <c r="N1418" s="56">
        <f>VLOOKUP(_stats[[#This Row],[tournament]],tournaments_n_rules[],4,0)</f>
        <v>46194</v>
      </c>
      <c r="O1418" s="56">
        <f>VLOOKUP(_stats[[#This Row],[tournament]],tournaments_n_rules[],5,0)</f>
        <v>46265</v>
      </c>
    </row>
    <row r="1419" spans="1:15" x14ac:dyDescent="0.25">
      <c r="A1419" s="6">
        <v>46208</v>
      </c>
      <c r="B1419" s="7">
        <v>1</v>
      </c>
      <c r="C1419" s="7" t="s">
        <v>10</v>
      </c>
      <c r="D1419" s="10" t="str">
        <f>IFERROR(VLOOKUP(_stats[[#This Row],[player_id]],_players[[player_id]:[player_name]],2,0),"")</f>
        <v>Тёма</v>
      </c>
      <c r="E1419" s="7">
        <v>0</v>
      </c>
      <c r="F1419" s="8">
        <v>1</v>
      </c>
      <c r="G1419" s="10">
        <f>SUMIFS(_teams[wins_on_date],_teams[date],_stats[[#This Row],[date]],_teams[team_number],_stats[[#This Row],[team_number]])</f>
        <v>2</v>
      </c>
      <c r="H1419" s="10">
        <f>SUMIFS(_teams[draws_on_date],_teams[date],_stats[[#This Row],[date]],_teams[team_number],_stats[[#This Row],[team_number]])</f>
        <v>2</v>
      </c>
      <c r="I1419" s="10">
        <v>0</v>
      </c>
      <c r="J1419" s="10">
        <v>0</v>
      </c>
      <c r="K1419" s="10">
        <v>7</v>
      </c>
      <c r="L1419" s="55" t="str">
        <f>VLOOKUP(_stats[[#This Row],[tournament]],tournaments_n_rules[],2,0)</f>
        <v>УПК</v>
      </c>
      <c r="M1419" s="55" t="str">
        <f>VLOOKUP(_stats[[#This Row],[tournament]],tournaments_n_rules[],3,0)</f>
        <v>Лето 2026</v>
      </c>
      <c r="N1419" s="56">
        <f>VLOOKUP(_stats[[#This Row],[tournament]],tournaments_n_rules[],4,0)</f>
        <v>46194</v>
      </c>
      <c r="O1419" s="56">
        <f>VLOOKUP(_stats[[#This Row],[tournament]],tournaments_n_rules[],5,0)</f>
        <v>46265</v>
      </c>
    </row>
    <row r="1420" spans="1:15" x14ac:dyDescent="0.25">
      <c r="A1420" s="6">
        <v>46208</v>
      </c>
      <c r="B1420" s="7">
        <v>1</v>
      </c>
      <c r="C1420" s="7" t="s">
        <v>25</v>
      </c>
      <c r="D1420" s="10" t="str">
        <f>IFERROR(VLOOKUP(_stats[[#This Row],[player_id]],_players[[player_id]:[player_name]],2,0),"")</f>
        <v>Олег Шишкин</v>
      </c>
      <c r="E1420" s="7">
        <v>0</v>
      </c>
      <c r="F1420" s="8">
        <v>1</v>
      </c>
      <c r="G1420" s="10">
        <f>SUMIFS(_teams[wins_on_date],_teams[date],_stats[[#This Row],[date]],_teams[team_number],_stats[[#This Row],[team_number]])</f>
        <v>2</v>
      </c>
      <c r="H1420" s="10">
        <f>SUMIFS(_teams[draws_on_date],_teams[date],_stats[[#This Row],[date]],_teams[team_number],_stats[[#This Row],[team_number]])</f>
        <v>2</v>
      </c>
      <c r="I1420" s="10">
        <v>0</v>
      </c>
      <c r="J1420" s="10">
        <v>0</v>
      </c>
      <c r="K1420" s="10">
        <v>7</v>
      </c>
      <c r="L1420" s="55" t="str">
        <f>VLOOKUP(_stats[[#This Row],[tournament]],tournaments_n_rules[],2,0)</f>
        <v>УПК</v>
      </c>
      <c r="M1420" s="55" t="str">
        <f>VLOOKUP(_stats[[#This Row],[tournament]],tournaments_n_rules[],3,0)</f>
        <v>Лето 2026</v>
      </c>
      <c r="N1420" s="56">
        <f>VLOOKUP(_stats[[#This Row],[tournament]],tournaments_n_rules[],4,0)</f>
        <v>46194</v>
      </c>
      <c r="O1420" s="56">
        <f>VLOOKUP(_stats[[#This Row],[tournament]],tournaments_n_rules[],5,0)</f>
        <v>46265</v>
      </c>
    </row>
    <row r="1421" spans="1:15" x14ac:dyDescent="0.25">
      <c r="A1421" s="6">
        <v>46208</v>
      </c>
      <c r="B1421" s="7">
        <v>2</v>
      </c>
      <c r="C1421" s="7" t="s">
        <v>42</v>
      </c>
      <c r="D1421" s="10" t="str">
        <f>IFERROR(VLOOKUP(_stats[[#This Row],[player_id]],_players[[player_id]:[player_name]],2,0),"")</f>
        <v>Нурик</v>
      </c>
      <c r="E1421" s="7">
        <v>3</v>
      </c>
      <c r="F1421" s="8">
        <v>1</v>
      </c>
      <c r="G1421" s="10">
        <f>SUMIFS(_teams[wins_on_date],_teams[date],_stats[[#This Row],[date]],_teams[team_number],_stats[[#This Row],[team_number]])</f>
        <v>3</v>
      </c>
      <c r="H1421" s="10">
        <f>SUMIFS(_teams[draws_on_date],_teams[date],_stats[[#This Row],[date]],_teams[team_number],_stats[[#This Row],[team_number]])</f>
        <v>1</v>
      </c>
      <c r="I1421" s="10">
        <v>0</v>
      </c>
      <c r="J1421" s="10">
        <v>0</v>
      </c>
      <c r="K1421" s="10">
        <v>7</v>
      </c>
      <c r="L1421" s="55" t="str">
        <f>VLOOKUP(_stats[[#This Row],[tournament]],tournaments_n_rules[],2,0)</f>
        <v>УПК</v>
      </c>
      <c r="M1421" s="55" t="str">
        <f>VLOOKUP(_stats[[#This Row],[tournament]],tournaments_n_rules[],3,0)</f>
        <v>Лето 2026</v>
      </c>
      <c r="N1421" s="56">
        <f>VLOOKUP(_stats[[#This Row],[tournament]],tournaments_n_rules[],4,0)</f>
        <v>46194</v>
      </c>
      <c r="O1421" s="56">
        <f>VLOOKUP(_stats[[#This Row],[tournament]],tournaments_n_rules[],5,0)</f>
        <v>46265</v>
      </c>
    </row>
    <row r="1422" spans="1:15" x14ac:dyDescent="0.25">
      <c r="A1422" s="6">
        <v>46208</v>
      </c>
      <c r="B1422" s="7">
        <v>1</v>
      </c>
      <c r="C1422" s="7" t="s">
        <v>18</v>
      </c>
      <c r="D1422" s="10" t="str">
        <f>IFERROR(VLOOKUP(_stats[[#This Row],[player_id]],_players[[player_id]:[player_name]],2,0),"")</f>
        <v>Расул</v>
      </c>
      <c r="E1422" s="7">
        <v>0</v>
      </c>
      <c r="F1422" s="8">
        <v>1</v>
      </c>
      <c r="G1422" s="10">
        <f>SUMIFS(_teams[wins_on_date],_teams[date],_stats[[#This Row],[date]],_teams[team_number],_stats[[#This Row],[team_number]])</f>
        <v>2</v>
      </c>
      <c r="H1422" s="10">
        <f>SUMIFS(_teams[draws_on_date],_teams[date],_stats[[#This Row],[date]],_teams[team_number],_stats[[#This Row],[team_number]])</f>
        <v>2</v>
      </c>
      <c r="I1422" s="10">
        <v>0</v>
      </c>
      <c r="J1422" s="10">
        <v>0</v>
      </c>
      <c r="K1422" s="10">
        <v>7</v>
      </c>
      <c r="L1422" s="55" t="str">
        <f>VLOOKUP(_stats[[#This Row],[tournament]],tournaments_n_rules[],2,0)</f>
        <v>УПК</v>
      </c>
      <c r="M1422" s="55" t="str">
        <f>VLOOKUP(_stats[[#This Row],[tournament]],tournaments_n_rules[],3,0)</f>
        <v>Лето 2026</v>
      </c>
      <c r="N1422" s="56">
        <f>VLOOKUP(_stats[[#This Row],[tournament]],tournaments_n_rules[],4,0)</f>
        <v>46194</v>
      </c>
      <c r="O1422" s="56">
        <f>VLOOKUP(_stats[[#This Row],[tournament]],tournaments_n_rules[],5,0)</f>
        <v>46265</v>
      </c>
    </row>
    <row r="1423" spans="1:15" x14ac:dyDescent="0.25">
      <c r="A1423" s="6">
        <v>46208</v>
      </c>
      <c r="B1423" s="7">
        <v>1</v>
      </c>
      <c r="C1423" s="7" t="s">
        <v>22</v>
      </c>
      <c r="D1423" s="10" t="str">
        <f>IFERROR(VLOOKUP(_stats[[#This Row],[player_id]],_players[[player_id]:[player_name]],2,0),"")</f>
        <v>Женя (кипер)</v>
      </c>
      <c r="E1423" s="7">
        <v>0</v>
      </c>
      <c r="F1423" s="8">
        <v>0</v>
      </c>
      <c r="G1423" s="10">
        <f>SUMIFS(_teams[wins_on_date],_teams[date],_stats[[#This Row],[date]],_teams[team_number],_stats[[#This Row],[team_number]])</f>
        <v>2</v>
      </c>
      <c r="H1423" s="10">
        <f>SUMIFS(_teams[draws_on_date],_teams[date],_stats[[#This Row],[date]],_teams[team_number],_stats[[#This Row],[team_number]])</f>
        <v>2</v>
      </c>
      <c r="I1423" s="10">
        <v>1</v>
      </c>
      <c r="J1423" s="10">
        <v>0</v>
      </c>
      <c r="K1423" s="10">
        <v>7</v>
      </c>
      <c r="L1423" s="55" t="str">
        <f>VLOOKUP(_stats[[#This Row],[tournament]],tournaments_n_rules[],2,0)</f>
        <v>УПК</v>
      </c>
      <c r="M1423" s="55" t="str">
        <f>VLOOKUP(_stats[[#This Row],[tournament]],tournaments_n_rules[],3,0)</f>
        <v>Лето 2026</v>
      </c>
      <c r="N1423" s="56">
        <f>VLOOKUP(_stats[[#This Row],[tournament]],tournaments_n_rules[],4,0)</f>
        <v>46194</v>
      </c>
      <c r="O1423" s="56">
        <f>VLOOKUP(_stats[[#This Row],[tournament]],tournaments_n_rules[],5,0)</f>
        <v>46265</v>
      </c>
    </row>
    <row r="1424" spans="1:15" x14ac:dyDescent="0.25">
      <c r="A1424" s="6">
        <v>46208</v>
      </c>
      <c r="B1424" s="7">
        <v>3</v>
      </c>
      <c r="C1424" s="7" t="s">
        <v>63</v>
      </c>
      <c r="D1424" s="10" t="str">
        <f>IFERROR(VLOOKUP(_stats[[#This Row],[player_id]],_players[[player_id]:[player_name]],2,0),"")</f>
        <v>Александр Костюнин</v>
      </c>
      <c r="E1424" s="7">
        <v>4</v>
      </c>
      <c r="F1424" s="8">
        <v>0</v>
      </c>
      <c r="G1424" s="10">
        <f>SUMIFS(_teams[wins_on_date],_teams[date],_stats[[#This Row],[date]],_teams[team_number],_stats[[#This Row],[team_number]])</f>
        <v>4</v>
      </c>
      <c r="H1424" s="10">
        <f>SUMIFS(_teams[draws_on_date],_teams[date],_stats[[#This Row],[date]],_teams[team_number],_stats[[#This Row],[team_number]])</f>
        <v>2</v>
      </c>
      <c r="I1424" s="10">
        <v>0</v>
      </c>
      <c r="J1424" s="10">
        <v>0</v>
      </c>
      <c r="K1424" s="10">
        <v>7</v>
      </c>
      <c r="L1424" s="55" t="str">
        <f>VLOOKUP(_stats[[#This Row],[tournament]],tournaments_n_rules[],2,0)</f>
        <v>УПК</v>
      </c>
      <c r="M1424" s="55" t="str">
        <f>VLOOKUP(_stats[[#This Row],[tournament]],tournaments_n_rules[],3,0)</f>
        <v>Лето 2026</v>
      </c>
      <c r="N1424" s="56">
        <f>VLOOKUP(_stats[[#This Row],[tournament]],tournaments_n_rules[],4,0)</f>
        <v>46194</v>
      </c>
      <c r="O1424" s="56">
        <f>VLOOKUP(_stats[[#This Row],[tournament]],tournaments_n_rules[],5,0)</f>
        <v>46265</v>
      </c>
    </row>
    <row r="1425" spans="1:15" x14ac:dyDescent="0.25">
      <c r="A1425" s="6">
        <v>46208</v>
      </c>
      <c r="B1425" s="7">
        <v>3</v>
      </c>
      <c r="C1425" s="7" t="s">
        <v>17</v>
      </c>
      <c r="D1425" s="10" t="str">
        <f>IFERROR(VLOOKUP(_stats[[#This Row],[player_id]],_players[[player_id]:[player_name]],2,0),"")</f>
        <v>Костя</v>
      </c>
      <c r="E1425" s="7">
        <v>2</v>
      </c>
      <c r="F1425" s="8">
        <v>0</v>
      </c>
      <c r="G1425" s="10">
        <f>SUMIFS(_teams[wins_on_date],_teams[date],_stats[[#This Row],[date]],_teams[team_number],_stats[[#This Row],[team_number]])</f>
        <v>4</v>
      </c>
      <c r="H1425" s="10">
        <f>SUMIFS(_teams[draws_on_date],_teams[date],_stats[[#This Row],[date]],_teams[team_number],_stats[[#This Row],[team_number]])</f>
        <v>2</v>
      </c>
      <c r="I1425" s="10">
        <v>0</v>
      </c>
      <c r="J1425" s="10">
        <v>0</v>
      </c>
      <c r="K1425" s="10">
        <v>7</v>
      </c>
      <c r="L1425" s="55" t="str">
        <f>VLOOKUP(_stats[[#This Row],[tournament]],tournaments_n_rules[],2,0)</f>
        <v>УПК</v>
      </c>
      <c r="M1425" s="55" t="str">
        <f>VLOOKUP(_stats[[#This Row],[tournament]],tournaments_n_rules[],3,0)</f>
        <v>Лето 2026</v>
      </c>
      <c r="N1425" s="56">
        <f>VLOOKUP(_stats[[#This Row],[tournament]],tournaments_n_rules[],4,0)</f>
        <v>46194</v>
      </c>
      <c r="O1425" s="56">
        <f>VLOOKUP(_stats[[#This Row],[tournament]],tournaments_n_rules[],5,0)</f>
        <v>46265</v>
      </c>
    </row>
    <row r="1426" spans="1:15" x14ac:dyDescent="0.25">
      <c r="A1426" s="6">
        <v>46208</v>
      </c>
      <c r="B1426" s="7">
        <v>3</v>
      </c>
      <c r="C1426" s="7" t="s">
        <v>28</v>
      </c>
      <c r="D1426" s="10" t="str">
        <f>IFERROR(VLOOKUP(_stats[[#This Row],[player_id]],_players[[player_id]:[player_name]],2,0),"")</f>
        <v>Никита</v>
      </c>
      <c r="E1426" s="7">
        <v>0</v>
      </c>
      <c r="F1426" s="8">
        <v>0</v>
      </c>
      <c r="G1426" s="10">
        <f>SUMIFS(_teams[wins_on_date],_teams[date],_stats[[#This Row],[date]],_teams[team_number],_stats[[#This Row],[team_number]])</f>
        <v>4</v>
      </c>
      <c r="H1426" s="10">
        <f>SUMIFS(_teams[draws_on_date],_teams[date],_stats[[#This Row],[date]],_teams[team_number],_stats[[#This Row],[team_number]])</f>
        <v>2</v>
      </c>
      <c r="I1426" s="10">
        <v>0</v>
      </c>
      <c r="J1426" s="10">
        <v>0</v>
      </c>
      <c r="K1426" s="10">
        <v>7</v>
      </c>
      <c r="L1426" s="55" t="str">
        <f>VLOOKUP(_stats[[#This Row],[tournament]],tournaments_n_rules[],2,0)</f>
        <v>УПК</v>
      </c>
      <c r="M1426" s="55" t="str">
        <f>VLOOKUP(_stats[[#This Row],[tournament]],tournaments_n_rules[],3,0)</f>
        <v>Лето 2026</v>
      </c>
      <c r="N1426" s="56">
        <f>VLOOKUP(_stats[[#This Row],[tournament]],tournaments_n_rules[],4,0)</f>
        <v>46194</v>
      </c>
      <c r="O1426" s="56">
        <f>VLOOKUP(_stats[[#This Row],[tournament]],tournaments_n_rules[],5,0)</f>
        <v>46265</v>
      </c>
    </row>
    <row r="1427" spans="1:15" x14ac:dyDescent="0.25">
      <c r="A1427" s="6">
        <v>46208</v>
      </c>
      <c r="B1427" s="7">
        <v>2</v>
      </c>
      <c r="C1427" s="7" t="s">
        <v>134</v>
      </c>
      <c r="D1427" s="10" t="str">
        <f>IFERROR(VLOOKUP(_stats[[#This Row],[player_id]],_players[[player_id]:[player_name]],2,0),"")</f>
        <v>Арги</v>
      </c>
      <c r="E1427" s="7">
        <v>1</v>
      </c>
      <c r="F1427" s="8">
        <v>0</v>
      </c>
      <c r="G1427" s="10">
        <f>SUMIFS(_teams[wins_on_date],_teams[date],_stats[[#This Row],[date]],_teams[team_number],_stats[[#This Row],[team_number]])</f>
        <v>3</v>
      </c>
      <c r="H1427" s="10">
        <f>SUMIFS(_teams[draws_on_date],_teams[date],_stats[[#This Row],[date]],_teams[team_number],_stats[[#This Row],[team_number]])</f>
        <v>1</v>
      </c>
      <c r="I1427" s="10">
        <v>0</v>
      </c>
      <c r="J1427" s="10">
        <v>0</v>
      </c>
      <c r="K1427" s="10">
        <v>7</v>
      </c>
      <c r="L1427" s="55" t="str">
        <f>VLOOKUP(_stats[[#This Row],[tournament]],tournaments_n_rules[],2,0)</f>
        <v>УПК</v>
      </c>
      <c r="M1427" s="55" t="str">
        <f>VLOOKUP(_stats[[#This Row],[tournament]],tournaments_n_rules[],3,0)</f>
        <v>Лето 2026</v>
      </c>
      <c r="N1427" s="56">
        <f>VLOOKUP(_stats[[#This Row],[tournament]],tournaments_n_rules[],4,0)</f>
        <v>46194</v>
      </c>
      <c r="O1427" s="56">
        <f>VLOOKUP(_stats[[#This Row],[tournament]],tournaments_n_rules[],5,0)</f>
        <v>46265</v>
      </c>
    </row>
    <row r="1428" spans="1:15" x14ac:dyDescent="0.25">
      <c r="A1428" s="6">
        <v>46208</v>
      </c>
      <c r="B1428" s="7">
        <v>3</v>
      </c>
      <c r="C1428" s="7" t="s">
        <v>19</v>
      </c>
      <c r="D1428" s="10" t="str">
        <f>IFERROR(VLOOKUP(_stats[[#This Row],[player_id]],_players[[player_id]:[player_name]],2,0),"")</f>
        <v>Сергей Крюков</v>
      </c>
      <c r="E1428" s="7">
        <v>1</v>
      </c>
      <c r="F1428" s="8">
        <v>2</v>
      </c>
      <c r="G1428" s="10">
        <f>SUMIFS(_teams[wins_on_date],_teams[date],_stats[[#This Row],[date]],_teams[team_number],_stats[[#This Row],[team_number]])</f>
        <v>4</v>
      </c>
      <c r="H1428" s="10">
        <f>SUMIFS(_teams[draws_on_date],_teams[date],_stats[[#This Row],[date]],_teams[team_number],_stats[[#This Row],[team_number]])</f>
        <v>2</v>
      </c>
      <c r="I1428" s="10">
        <v>0</v>
      </c>
      <c r="J1428" s="10">
        <v>0</v>
      </c>
      <c r="K1428" s="10">
        <v>7</v>
      </c>
      <c r="L1428" s="55" t="str">
        <f>VLOOKUP(_stats[[#This Row],[tournament]],tournaments_n_rules[],2,0)</f>
        <v>УПК</v>
      </c>
      <c r="M1428" s="55" t="str">
        <f>VLOOKUP(_stats[[#This Row],[tournament]],tournaments_n_rules[],3,0)</f>
        <v>Лето 2026</v>
      </c>
      <c r="N1428" s="56">
        <f>VLOOKUP(_stats[[#This Row],[tournament]],tournaments_n_rules[],4,0)</f>
        <v>46194</v>
      </c>
      <c r="O1428" s="56">
        <f>VLOOKUP(_stats[[#This Row],[tournament]],tournaments_n_rules[],5,0)</f>
        <v>46265</v>
      </c>
    </row>
    <row r="1429" spans="1:15" x14ac:dyDescent="0.25">
      <c r="A1429" s="6">
        <v>46208</v>
      </c>
      <c r="B1429" s="7">
        <v>1</v>
      </c>
      <c r="C1429" s="7" t="s">
        <v>82</v>
      </c>
      <c r="D1429" s="10" t="str">
        <f>IFERROR(VLOOKUP(_stats[[#This Row],[player_id]],_players[[player_id]:[player_name]],2,0),"")</f>
        <v>Марат (Атай+1)</v>
      </c>
      <c r="E1429" s="7">
        <v>1</v>
      </c>
      <c r="F1429" s="8">
        <v>0</v>
      </c>
      <c r="G1429" s="10">
        <f>SUMIFS(_teams[wins_on_date],_teams[date],_stats[[#This Row],[date]],_teams[team_number],_stats[[#This Row],[team_number]])</f>
        <v>2</v>
      </c>
      <c r="H1429" s="10">
        <f>SUMIFS(_teams[draws_on_date],_teams[date],_stats[[#This Row],[date]],_teams[team_number],_stats[[#This Row],[team_number]])</f>
        <v>2</v>
      </c>
      <c r="I1429" s="10">
        <v>0</v>
      </c>
      <c r="J1429" s="10">
        <v>0</v>
      </c>
      <c r="K1429" s="10">
        <v>7</v>
      </c>
      <c r="L1429" s="55" t="str">
        <f>VLOOKUP(_stats[[#This Row],[tournament]],tournaments_n_rules[],2,0)</f>
        <v>УПК</v>
      </c>
      <c r="M1429" s="55" t="str">
        <f>VLOOKUP(_stats[[#This Row],[tournament]],tournaments_n_rules[],3,0)</f>
        <v>Лето 2026</v>
      </c>
      <c r="N1429" s="56">
        <f>VLOOKUP(_stats[[#This Row],[tournament]],tournaments_n_rules[],4,0)</f>
        <v>46194</v>
      </c>
      <c r="O1429" s="56">
        <f>VLOOKUP(_stats[[#This Row],[tournament]],tournaments_n_rules[],5,0)</f>
        <v>46265</v>
      </c>
    </row>
    <row r="1430" spans="1:15" x14ac:dyDescent="0.25">
      <c r="A1430" s="6">
        <v>46208</v>
      </c>
      <c r="B1430" s="7">
        <v>1</v>
      </c>
      <c r="C1430" s="7" t="s">
        <v>41</v>
      </c>
      <c r="D1430" s="10" t="str">
        <f>IFERROR(VLOOKUP(_stats[[#This Row],[player_id]],_players[[player_id]:[player_name]],2,0),"")</f>
        <v>Атай</v>
      </c>
      <c r="E1430" s="7">
        <v>0</v>
      </c>
      <c r="F1430" s="8">
        <v>1</v>
      </c>
      <c r="G1430" s="10">
        <f>SUMIFS(_teams[wins_on_date],_teams[date],_stats[[#This Row],[date]],_teams[team_number],_stats[[#This Row],[team_number]])</f>
        <v>2</v>
      </c>
      <c r="H1430" s="10">
        <f>SUMIFS(_teams[draws_on_date],_teams[date],_stats[[#This Row],[date]],_teams[team_number],_stats[[#This Row],[team_number]])</f>
        <v>2</v>
      </c>
      <c r="I1430" s="10">
        <v>0</v>
      </c>
      <c r="J1430" s="10">
        <v>0</v>
      </c>
      <c r="K1430" s="10">
        <v>7</v>
      </c>
      <c r="L1430" s="55" t="str">
        <f>VLOOKUP(_stats[[#This Row],[tournament]],tournaments_n_rules[],2,0)</f>
        <v>УПК</v>
      </c>
      <c r="M1430" s="55" t="str">
        <f>VLOOKUP(_stats[[#This Row],[tournament]],tournaments_n_rules[],3,0)</f>
        <v>Лето 2026</v>
      </c>
      <c r="N1430" s="56">
        <f>VLOOKUP(_stats[[#This Row],[tournament]],tournaments_n_rules[],4,0)</f>
        <v>46194</v>
      </c>
      <c r="O1430" s="56">
        <f>VLOOKUP(_stats[[#This Row],[tournament]],tournaments_n_rules[],5,0)</f>
        <v>46265</v>
      </c>
    </row>
    <row r="1431" spans="1:15" x14ac:dyDescent="0.25">
      <c r="A1431" s="6">
        <v>46208</v>
      </c>
      <c r="B1431" s="7">
        <v>3</v>
      </c>
      <c r="C1431" s="7" t="s">
        <v>52</v>
      </c>
      <c r="D1431" s="10" t="str">
        <f>IFERROR(VLOOKUP(_stats[[#This Row],[player_id]],_players[[player_id]:[player_name]],2,0),"")</f>
        <v>Игорь Фомичев</v>
      </c>
      <c r="E1431" s="7">
        <v>1</v>
      </c>
      <c r="F1431" s="8">
        <v>2</v>
      </c>
      <c r="G1431" s="10">
        <f>SUMIFS(_teams[wins_on_date],_teams[date],_stats[[#This Row],[date]],_teams[team_number],_stats[[#This Row],[team_number]])</f>
        <v>4</v>
      </c>
      <c r="H1431" s="10">
        <f>SUMIFS(_teams[draws_on_date],_teams[date],_stats[[#This Row],[date]],_teams[team_number],_stats[[#This Row],[team_number]])</f>
        <v>2</v>
      </c>
      <c r="I1431" s="10">
        <v>0</v>
      </c>
      <c r="J1431" s="10">
        <v>0</v>
      </c>
      <c r="K1431" s="10">
        <v>7</v>
      </c>
      <c r="L1431" s="55" t="str">
        <f>VLOOKUP(_stats[[#This Row],[tournament]],tournaments_n_rules[],2,0)</f>
        <v>УПК</v>
      </c>
      <c r="M1431" s="55" t="str">
        <f>VLOOKUP(_stats[[#This Row],[tournament]],tournaments_n_rules[],3,0)</f>
        <v>Лето 2026</v>
      </c>
      <c r="N1431" s="56">
        <f>VLOOKUP(_stats[[#This Row],[tournament]],tournaments_n_rules[],4,0)</f>
        <v>46194</v>
      </c>
      <c r="O1431" s="56">
        <f>VLOOKUP(_stats[[#This Row],[tournament]],tournaments_n_rules[],5,0)</f>
        <v>46265</v>
      </c>
    </row>
    <row r="1432" spans="1:15" x14ac:dyDescent="0.25">
      <c r="A1432" s="6">
        <v>46208</v>
      </c>
      <c r="B1432" s="7">
        <v>2</v>
      </c>
      <c r="C1432" s="7" t="s">
        <v>38</v>
      </c>
      <c r="D1432" s="10" t="str">
        <f>IFERROR(VLOOKUP(_stats[[#This Row],[player_id]],_players[[player_id]:[player_name]],2,0),"")</f>
        <v>Эд (Сэм)</v>
      </c>
      <c r="E1432" s="7">
        <v>0</v>
      </c>
      <c r="F1432" s="8">
        <v>2</v>
      </c>
      <c r="G1432" s="10">
        <f>SUMIFS(_teams[wins_on_date],_teams[date],_stats[[#This Row],[date]],_teams[team_number],_stats[[#This Row],[team_number]])</f>
        <v>3</v>
      </c>
      <c r="H1432" s="10">
        <f>SUMIFS(_teams[draws_on_date],_teams[date],_stats[[#This Row],[date]],_teams[team_number],_stats[[#This Row],[team_number]])</f>
        <v>1</v>
      </c>
      <c r="I1432" s="10">
        <v>0</v>
      </c>
      <c r="J1432" s="10">
        <v>0</v>
      </c>
      <c r="K1432" s="10">
        <v>7</v>
      </c>
      <c r="L1432" s="55" t="str">
        <f>VLOOKUP(_stats[[#This Row],[tournament]],tournaments_n_rules[],2,0)</f>
        <v>УПК</v>
      </c>
      <c r="M1432" s="55" t="str">
        <f>VLOOKUP(_stats[[#This Row],[tournament]],tournaments_n_rules[],3,0)</f>
        <v>Лето 2026</v>
      </c>
      <c r="N1432" s="56">
        <f>VLOOKUP(_stats[[#This Row],[tournament]],tournaments_n_rules[],4,0)</f>
        <v>46194</v>
      </c>
      <c r="O1432" s="56">
        <f>VLOOKUP(_stats[[#This Row],[tournament]],tournaments_n_rules[],5,0)</f>
        <v>46265</v>
      </c>
    </row>
    <row r="1433" spans="1:15" x14ac:dyDescent="0.25">
      <c r="A1433" s="6">
        <v>46208</v>
      </c>
      <c r="B1433" s="7">
        <v>2</v>
      </c>
      <c r="C1433" s="7" t="s">
        <v>152</v>
      </c>
      <c r="D1433" s="10" t="str">
        <f>IFERROR(VLOOKUP(_stats[[#This Row],[player_id]],_players[[player_id]:[player_name]],2,0),"")</f>
        <v>Сурэн</v>
      </c>
      <c r="E1433" s="7">
        <v>0</v>
      </c>
      <c r="F1433" s="8">
        <v>0</v>
      </c>
      <c r="G1433" s="10">
        <f>SUMIFS(_teams[wins_on_date],_teams[date],_stats[[#This Row],[date]],_teams[team_number],_stats[[#This Row],[team_number]])</f>
        <v>3</v>
      </c>
      <c r="H1433" s="10">
        <f>SUMIFS(_teams[draws_on_date],_teams[date],_stats[[#This Row],[date]],_teams[team_number],_stats[[#This Row],[team_number]])</f>
        <v>1</v>
      </c>
      <c r="I1433" s="10">
        <v>0</v>
      </c>
      <c r="J1433" s="10">
        <v>0</v>
      </c>
      <c r="K1433" s="10">
        <v>7</v>
      </c>
      <c r="L1433" s="55" t="str">
        <f>VLOOKUP(_stats[[#This Row],[tournament]],tournaments_n_rules[],2,0)</f>
        <v>УПК</v>
      </c>
      <c r="M1433" s="55" t="str">
        <f>VLOOKUP(_stats[[#This Row],[tournament]],tournaments_n_rules[],3,0)</f>
        <v>Лето 2026</v>
      </c>
      <c r="N1433" s="56">
        <f>VLOOKUP(_stats[[#This Row],[tournament]],tournaments_n_rules[],4,0)</f>
        <v>46194</v>
      </c>
      <c r="O1433" s="56">
        <f>VLOOKUP(_stats[[#This Row],[tournament]],tournaments_n_rules[],5,0)</f>
        <v>46265</v>
      </c>
    </row>
    <row r="1434" spans="1:15" x14ac:dyDescent="0.25">
      <c r="A1434" s="6">
        <v>46208</v>
      </c>
      <c r="B1434" s="7">
        <v>1</v>
      </c>
      <c r="C1434" s="7" t="s">
        <v>190</v>
      </c>
      <c r="D1434" s="10" t="str">
        <f>IFERROR(VLOOKUP(_stats[[#This Row],[player_id]],_players[[player_id]:[player_name]],2,0),"")</f>
        <v>Никита (Сурэн+1)</v>
      </c>
      <c r="E1434" s="7">
        <v>2</v>
      </c>
      <c r="F1434" s="8">
        <v>0</v>
      </c>
      <c r="G1434" s="10">
        <f>SUMIFS(_teams[wins_on_date],_teams[date],_stats[[#This Row],[date]],_teams[team_number],_stats[[#This Row],[team_number]])</f>
        <v>2</v>
      </c>
      <c r="H1434" s="10">
        <f>SUMIFS(_teams[draws_on_date],_teams[date],_stats[[#This Row],[date]],_teams[team_number],_stats[[#This Row],[team_number]])</f>
        <v>2</v>
      </c>
      <c r="I1434" s="10">
        <v>0</v>
      </c>
      <c r="J1434" s="10">
        <v>0</v>
      </c>
      <c r="K1434" s="10">
        <v>7</v>
      </c>
      <c r="L1434" s="55" t="str">
        <f>VLOOKUP(_stats[[#This Row],[tournament]],tournaments_n_rules[],2,0)</f>
        <v>УПК</v>
      </c>
      <c r="M1434" s="55" t="str">
        <f>VLOOKUP(_stats[[#This Row],[tournament]],tournaments_n_rules[],3,0)</f>
        <v>Лето 2026</v>
      </c>
      <c r="N1434" s="56">
        <f>VLOOKUP(_stats[[#This Row],[tournament]],tournaments_n_rules[],4,0)</f>
        <v>46194</v>
      </c>
      <c r="O1434" s="56">
        <f>VLOOKUP(_stats[[#This Row],[tournament]],tournaments_n_rules[],5,0)</f>
        <v>46265</v>
      </c>
    </row>
    <row r="1435" spans="1:15" x14ac:dyDescent="0.25">
      <c r="A1435" s="6">
        <v>46208</v>
      </c>
      <c r="B1435" s="7">
        <v>2</v>
      </c>
      <c r="C1435" s="7" t="s">
        <v>189</v>
      </c>
      <c r="D1435" s="10" t="str">
        <f>IFERROR(VLOOKUP(_stats[[#This Row],[player_id]],_players[[player_id]:[player_name]],2,0),"")</f>
        <v>Миша (Сурэн+1)</v>
      </c>
      <c r="E1435" s="7">
        <v>0</v>
      </c>
      <c r="F1435" s="8">
        <v>0</v>
      </c>
      <c r="G1435" s="10">
        <f>SUMIFS(_teams[wins_on_date],_teams[date],_stats[[#This Row],[date]],_teams[team_number],_stats[[#This Row],[team_number]])</f>
        <v>3</v>
      </c>
      <c r="H1435" s="10">
        <f>SUMIFS(_teams[draws_on_date],_teams[date],_stats[[#This Row],[date]],_teams[team_number],_stats[[#This Row],[team_number]])</f>
        <v>1</v>
      </c>
      <c r="I1435" s="10">
        <v>0</v>
      </c>
      <c r="J1435" s="10">
        <v>0</v>
      </c>
      <c r="K1435" s="10">
        <v>7</v>
      </c>
      <c r="L1435" s="55" t="str">
        <f>VLOOKUP(_stats[[#This Row],[tournament]],tournaments_n_rules[],2,0)</f>
        <v>УПК</v>
      </c>
      <c r="M1435" s="55" t="str">
        <f>VLOOKUP(_stats[[#This Row],[tournament]],tournaments_n_rules[],3,0)</f>
        <v>Лето 2026</v>
      </c>
      <c r="N1435" s="56">
        <f>VLOOKUP(_stats[[#This Row],[tournament]],tournaments_n_rules[],4,0)</f>
        <v>46194</v>
      </c>
      <c r="O1435" s="56">
        <f>VLOOKUP(_stats[[#This Row],[tournament]],tournaments_n_rules[],5,0)</f>
        <v>46265</v>
      </c>
    </row>
    <row r="1436" spans="1:15" x14ac:dyDescent="0.25">
      <c r="A1436" s="6">
        <v>46208</v>
      </c>
      <c r="B1436" s="7">
        <v>2</v>
      </c>
      <c r="C1436" s="7" t="s">
        <v>76</v>
      </c>
      <c r="D1436" s="10" t="str">
        <f>IFERROR(VLOOKUP(_stats[[#This Row],[player_id]],_players[[player_id]:[player_name]],2,0),"")</f>
        <v>Даниил</v>
      </c>
      <c r="E1436" s="7">
        <v>2</v>
      </c>
      <c r="F1436" s="8">
        <v>0</v>
      </c>
      <c r="G1436" s="10">
        <f>SUMIFS(_teams[wins_on_date],_teams[date],_stats[[#This Row],[date]],_teams[team_number],_stats[[#This Row],[team_number]])</f>
        <v>3</v>
      </c>
      <c r="H1436" s="10">
        <f>SUMIFS(_teams[draws_on_date],_teams[date],_stats[[#This Row],[date]],_teams[team_number],_stats[[#This Row],[team_number]])</f>
        <v>1</v>
      </c>
      <c r="I1436" s="10">
        <v>0</v>
      </c>
      <c r="J1436" s="10">
        <v>0</v>
      </c>
      <c r="K1436" s="10">
        <v>7</v>
      </c>
      <c r="L1436" s="55" t="str">
        <f>VLOOKUP(_stats[[#This Row],[tournament]],tournaments_n_rules[],2,0)</f>
        <v>УПК</v>
      </c>
      <c r="M1436" s="55" t="str">
        <f>VLOOKUP(_stats[[#This Row],[tournament]],tournaments_n_rules[],3,0)</f>
        <v>Лето 2026</v>
      </c>
      <c r="N1436" s="56">
        <f>VLOOKUP(_stats[[#This Row],[tournament]],tournaments_n_rules[],4,0)</f>
        <v>46194</v>
      </c>
      <c r="O1436" s="56">
        <f>VLOOKUP(_stats[[#This Row],[tournament]],tournaments_n_rules[],5,0)</f>
        <v>46265</v>
      </c>
    </row>
    <row r="1437" spans="1:15" x14ac:dyDescent="0.25">
      <c r="A1437" s="6">
        <v>46212</v>
      </c>
      <c r="B1437" s="7">
        <v>2</v>
      </c>
      <c r="C1437" s="7" t="s">
        <v>140</v>
      </c>
      <c r="D1437" s="10" t="str">
        <f>IFERROR(VLOOKUP(_stats[[#This Row],[player_id]],_players[[player_id]:[player_name]],2,0),"")</f>
        <v>Коля (АК+1)</v>
      </c>
      <c r="E1437" s="7">
        <v>2</v>
      </c>
      <c r="F1437" s="8">
        <v>1</v>
      </c>
      <c r="G1437" s="10">
        <f>SUMIFS(_teams[wins_on_date],_teams[date],_stats[[#This Row],[date]],_teams[team_number],_stats[[#This Row],[team_number]])</f>
        <v>5</v>
      </c>
      <c r="H1437" s="10">
        <f>SUMIFS(_teams[draws_on_date],_teams[date],_stats[[#This Row],[date]],_teams[team_number],_stats[[#This Row],[team_number]])</f>
        <v>1</v>
      </c>
      <c r="I1437" s="10">
        <v>0</v>
      </c>
      <c r="J1437" s="10">
        <v>0</v>
      </c>
      <c r="K1437" s="10">
        <v>7</v>
      </c>
      <c r="L1437" s="55" t="str">
        <f>VLOOKUP(_stats[[#This Row],[tournament]],tournaments_n_rules[],2,0)</f>
        <v>УПК</v>
      </c>
      <c r="M1437" s="55" t="str">
        <f>VLOOKUP(_stats[[#This Row],[tournament]],tournaments_n_rules[],3,0)</f>
        <v>Лето 2026</v>
      </c>
      <c r="N1437" s="56">
        <f>VLOOKUP(_stats[[#This Row],[tournament]],tournaments_n_rules[],4,0)</f>
        <v>46194</v>
      </c>
      <c r="O1437" s="56">
        <f>VLOOKUP(_stats[[#This Row],[tournament]],tournaments_n_rules[],5,0)</f>
        <v>46265</v>
      </c>
    </row>
    <row r="1438" spans="1:15" x14ac:dyDescent="0.25">
      <c r="A1438" s="6">
        <v>46212</v>
      </c>
      <c r="B1438" s="7">
        <v>3</v>
      </c>
      <c r="C1438" s="7" t="s">
        <v>19</v>
      </c>
      <c r="D1438" s="10" t="str">
        <f>IFERROR(VLOOKUP(_stats[[#This Row],[player_id]],_players[[player_id]:[player_name]],2,0),"")</f>
        <v>Сергей Крюков</v>
      </c>
      <c r="E1438" s="7">
        <v>1</v>
      </c>
      <c r="F1438" s="8">
        <v>1</v>
      </c>
      <c r="G1438" s="10">
        <f>SUMIFS(_teams[wins_on_date],_teams[date],_stats[[#This Row],[date]],_teams[team_number],_stats[[#This Row],[team_number]])</f>
        <v>4</v>
      </c>
      <c r="H1438" s="10">
        <f>SUMIFS(_teams[draws_on_date],_teams[date],_stats[[#This Row],[date]],_teams[team_number],_stats[[#This Row],[team_number]])</f>
        <v>2</v>
      </c>
      <c r="I1438" s="10">
        <v>0</v>
      </c>
      <c r="J1438" s="10">
        <v>0</v>
      </c>
      <c r="K1438" s="10">
        <v>7</v>
      </c>
      <c r="L1438" s="55" t="str">
        <f>VLOOKUP(_stats[[#This Row],[tournament]],tournaments_n_rules[],2,0)</f>
        <v>УПК</v>
      </c>
      <c r="M1438" s="55" t="str">
        <f>VLOOKUP(_stats[[#This Row],[tournament]],tournaments_n_rules[],3,0)</f>
        <v>Лето 2026</v>
      </c>
      <c r="N1438" s="56">
        <f>VLOOKUP(_stats[[#This Row],[tournament]],tournaments_n_rules[],4,0)</f>
        <v>46194</v>
      </c>
      <c r="O1438" s="56">
        <f>VLOOKUP(_stats[[#This Row],[tournament]],tournaments_n_rules[],5,0)</f>
        <v>46265</v>
      </c>
    </row>
    <row r="1439" spans="1:15" x14ac:dyDescent="0.25">
      <c r="A1439" s="6">
        <v>46212</v>
      </c>
      <c r="B1439" s="7">
        <v>4</v>
      </c>
      <c r="C1439" s="7" t="s">
        <v>18</v>
      </c>
      <c r="D1439" s="10" t="str">
        <f>IFERROR(VLOOKUP(_stats[[#This Row],[player_id]],_players[[player_id]:[player_name]],2,0),"")</f>
        <v>Расул</v>
      </c>
      <c r="E1439" s="7">
        <v>0</v>
      </c>
      <c r="F1439" s="8">
        <v>1</v>
      </c>
      <c r="G1439" s="10">
        <f>SUMIFS(_teams[wins_on_date],_teams[date],_stats[[#This Row],[date]],_teams[team_number],_stats[[#This Row],[team_number]])</f>
        <v>2</v>
      </c>
      <c r="H1439" s="10">
        <f>SUMIFS(_teams[draws_on_date],_teams[date],_stats[[#This Row],[date]],_teams[team_number],_stats[[#This Row],[team_number]])</f>
        <v>0</v>
      </c>
      <c r="I1439" s="10">
        <v>0</v>
      </c>
      <c r="J1439" s="10">
        <v>0</v>
      </c>
      <c r="K1439" s="10">
        <v>7</v>
      </c>
      <c r="L1439" s="55" t="str">
        <f>VLOOKUP(_stats[[#This Row],[tournament]],tournaments_n_rules[],2,0)</f>
        <v>УПК</v>
      </c>
      <c r="M1439" s="55" t="str">
        <f>VLOOKUP(_stats[[#This Row],[tournament]],tournaments_n_rules[],3,0)</f>
        <v>Лето 2026</v>
      </c>
      <c r="N1439" s="56">
        <f>VLOOKUP(_stats[[#This Row],[tournament]],tournaments_n_rules[],4,0)</f>
        <v>46194</v>
      </c>
      <c r="O1439" s="56">
        <f>VLOOKUP(_stats[[#This Row],[tournament]],tournaments_n_rules[],5,0)</f>
        <v>46265</v>
      </c>
    </row>
    <row r="1440" spans="1:15" x14ac:dyDescent="0.25">
      <c r="A1440" s="6">
        <v>46212</v>
      </c>
      <c r="B1440" s="7">
        <v>3</v>
      </c>
      <c r="C1440" s="7" t="s">
        <v>185</v>
      </c>
      <c r="D1440" s="10" t="str">
        <f>IFERROR(VLOOKUP(_stats[[#This Row],[player_id]],_players[[player_id]:[player_name]],2,0),"")</f>
        <v>Богдан</v>
      </c>
      <c r="E1440" s="7">
        <v>0</v>
      </c>
      <c r="F1440" s="8">
        <v>0</v>
      </c>
      <c r="G1440" s="10">
        <f>SUMIFS(_teams[wins_on_date],_teams[date],_stats[[#This Row],[date]],_teams[team_number],_stats[[#This Row],[team_number]])</f>
        <v>4</v>
      </c>
      <c r="H1440" s="10">
        <f>SUMIFS(_teams[draws_on_date],_teams[date],_stats[[#This Row],[date]],_teams[team_number],_stats[[#This Row],[team_number]])</f>
        <v>2</v>
      </c>
      <c r="I1440" s="10">
        <v>0</v>
      </c>
      <c r="J1440" s="10">
        <v>1</v>
      </c>
      <c r="K1440" s="10">
        <v>7</v>
      </c>
      <c r="L1440" s="55" t="str">
        <f>VLOOKUP(_stats[[#This Row],[tournament]],tournaments_n_rules[],2,0)</f>
        <v>УПК</v>
      </c>
      <c r="M1440" s="55" t="str">
        <f>VLOOKUP(_stats[[#This Row],[tournament]],tournaments_n_rules[],3,0)</f>
        <v>Лето 2026</v>
      </c>
      <c r="N1440" s="56">
        <f>VLOOKUP(_stats[[#This Row],[tournament]],tournaments_n_rules[],4,0)</f>
        <v>46194</v>
      </c>
      <c r="O1440" s="56">
        <f>VLOOKUP(_stats[[#This Row],[tournament]],tournaments_n_rules[],5,0)</f>
        <v>46265</v>
      </c>
    </row>
    <row r="1441" spans="1:15" x14ac:dyDescent="0.25">
      <c r="A1441" s="6">
        <v>46212</v>
      </c>
      <c r="B1441" s="7">
        <v>3</v>
      </c>
      <c r="C1441" s="7" t="s">
        <v>63</v>
      </c>
      <c r="D1441" s="10" t="str">
        <f>IFERROR(VLOOKUP(_stats[[#This Row],[player_id]],_players[[player_id]:[player_name]],2,0),"")</f>
        <v>Александр Костюнин</v>
      </c>
      <c r="E1441" s="7">
        <v>1</v>
      </c>
      <c r="F1441" s="8">
        <v>4</v>
      </c>
      <c r="G1441" s="10">
        <f>SUMIFS(_teams[wins_on_date],_teams[date],_stats[[#This Row],[date]],_teams[team_number],_stats[[#This Row],[team_number]])</f>
        <v>4</v>
      </c>
      <c r="H1441" s="10">
        <f>SUMIFS(_teams[draws_on_date],_teams[date],_stats[[#This Row],[date]],_teams[team_number],_stats[[#This Row],[team_number]])</f>
        <v>2</v>
      </c>
      <c r="I1441" s="10">
        <v>0</v>
      </c>
      <c r="J1441" s="10">
        <v>0</v>
      </c>
      <c r="K1441" s="10">
        <v>7</v>
      </c>
      <c r="L1441" s="55" t="str">
        <f>VLOOKUP(_stats[[#This Row],[tournament]],tournaments_n_rules[],2,0)</f>
        <v>УПК</v>
      </c>
      <c r="M1441" s="55" t="str">
        <f>VLOOKUP(_stats[[#This Row],[tournament]],tournaments_n_rules[],3,0)</f>
        <v>Лето 2026</v>
      </c>
      <c r="N1441" s="56">
        <f>VLOOKUP(_stats[[#This Row],[tournament]],tournaments_n_rules[],4,0)</f>
        <v>46194</v>
      </c>
      <c r="O1441" s="56">
        <f>VLOOKUP(_stats[[#This Row],[tournament]],tournaments_n_rules[],5,0)</f>
        <v>46265</v>
      </c>
    </row>
    <row r="1442" spans="1:15" x14ac:dyDescent="0.25">
      <c r="A1442" s="6">
        <v>46212</v>
      </c>
      <c r="B1442" s="7">
        <v>2</v>
      </c>
      <c r="C1442" s="7" t="s">
        <v>201</v>
      </c>
      <c r="D1442" s="10" t="str">
        <f>IFERROR(VLOOKUP(_stats[[#This Row],[player_id]],_players[[player_id]:[player_name]],2,0),"")</f>
        <v>Паша (1747)</v>
      </c>
      <c r="E1442" s="7">
        <v>3</v>
      </c>
      <c r="F1442" s="8">
        <v>3</v>
      </c>
      <c r="G1442" s="10">
        <f>SUMIFS(_teams[wins_on_date],_teams[date],_stats[[#This Row],[date]],_teams[team_number],_stats[[#This Row],[team_number]])</f>
        <v>5</v>
      </c>
      <c r="H1442" s="10">
        <f>SUMIFS(_teams[draws_on_date],_teams[date],_stats[[#This Row],[date]],_teams[team_number],_stats[[#This Row],[team_number]])</f>
        <v>1</v>
      </c>
      <c r="I1442" s="10">
        <v>0</v>
      </c>
      <c r="J1442" s="10">
        <v>0</v>
      </c>
      <c r="K1442" s="10">
        <v>7</v>
      </c>
      <c r="L1442" s="55" t="str">
        <f>VLOOKUP(_stats[[#This Row],[tournament]],tournaments_n_rules[],2,0)</f>
        <v>УПК</v>
      </c>
      <c r="M1442" s="55" t="str">
        <f>VLOOKUP(_stats[[#This Row],[tournament]],tournaments_n_rules[],3,0)</f>
        <v>Лето 2026</v>
      </c>
      <c r="N1442" s="56">
        <f>VLOOKUP(_stats[[#This Row],[tournament]],tournaments_n_rules[],4,0)</f>
        <v>46194</v>
      </c>
      <c r="O1442" s="56">
        <f>VLOOKUP(_stats[[#This Row],[tournament]],tournaments_n_rules[],5,0)</f>
        <v>46265</v>
      </c>
    </row>
    <row r="1443" spans="1:15" x14ac:dyDescent="0.25">
      <c r="A1443" s="6">
        <v>46212</v>
      </c>
      <c r="B1443" s="7">
        <v>4</v>
      </c>
      <c r="C1443" s="7" t="s">
        <v>47</v>
      </c>
      <c r="D1443" s="10" t="str">
        <f>IFERROR(VLOOKUP(_stats[[#This Row],[player_id]],_players[[player_id]:[player_name]],2,0),"")</f>
        <v>Андрей (АК+1)</v>
      </c>
      <c r="E1443" s="7">
        <v>1</v>
      </c>
      <c r="F1443" s="8">
        <v>0</v>
      </c>
      <c r="G1443" s="10">
        <f>SUMIFS(_teams[wins_on_date],_teams[date],_stats[[#This Row],[date]],_teams[team_number],_stats[[#This Row],[team_number]])</f>
        <v>2</v>
      </c>
      <c r="H1443" s="10">
        <f>SUMIFS(_teams[draws_on_date],_teams[date],_stats[[#This Row],[date]],_teams[team_number],_stats[[#This Row],[team_number]])</f>
        <v>0</v>
      </c>
      <c r="I1443" s="10">
        <v>0</v>
      </c>
      <c r="J1443" s="10">
        <v>0</v>
      </c>
      <c r="K1443" s="10">
        <v>7</v>
      </c>
      <c r="L1443" s="55" t="str">
        <f>VLOOKUP(_stats[[#This Row],[tournament]],tournaments_n_rules[],2,0)</f>
        <v>УПК</v>
      </c>
      <c r="M1443" s="55" t="str">
        <f>VLOOKUP(_stats[[#This Row],[tournament]],tournaments_n_rules[],3,0)</f>
        <v>Лето 2026</v>
      </c>
      <c r="N1443" s="56">
        <f>VLOOKUP(_stats[[#This Row],[tournament]],tournaments_n_rules[],4,0)</f>
        <v>46194</v>
      </c>
      <c r="O1443" s="56">
        <f>VLOOKUP(_stats[[#This Row],[tournament]],tournaments_n_rules[],5,0)</f>
        <v>46265</v>
      </c>
    </row>
    <row r="1444" spans="1:15" x14ac:dyDescent="0.25">
      <c r="A1444" s="6">
        <v>46212</v>
      </c>
      <c r="B1444" s="7">
        <v>1</v>
      </c>
      <c r="C1444" s="7" t="s">
        <v>25</v>
      </c>
      <c r="D1444" s="10" t="str">
        <f>IFERROR(VLOOKUP(_stats[[#This Row],[player_id]],_players[[player_id]:[player_name]],2,0),"")</f>
        <v>Олег Шишкин</v>
      </c>
      <c r="E1444" s="7">
        <v>0</v>
      </c>
      <c r="F1444" s="8">
        <v>0</v>
      </c>
      <c r="G1444" s="10">
        <f>SUMIFS(_teams[wins_on_date],_teams[date],_stats[[#This Row],[date]],_teams[team_number],_stats[[#This Row],[team_number]])</f>
        <v>3</v>
      </c>
      <c r="H1444" s="10">
        <f>SUMIFS(_teams[draws_on_date],_teams[date],_stats[[#This Row],[date]],_teams[team_number],_stats[[#This Row],[team_number]])</f>
        <v>1</v>
      </c>
      <c r="I1444" s="10">
        <v>1</v>
      </c>
      <c r="J1444" s="10">
        <v>0</v>
      </c>
      <c r="K1444" s="10">
        <v>7</v>
      </c>
      <c r="L1444" s="55" t="str">
        <f>VLOOKUP(_stats[[#This Row],[tournament]],tournaments_n_rules[],2,0)</f>
        <v>УПК</v>
      </c>
      <c r="M1444" s="55" t="str">
        <f>VLOOKUP(_stats[[#This Row],[tournament]],tournaments_n_rules[],3,0)</f>
        <v>Лето 2026</v>
      </c>
      <c r="N1444" s="56">
        <f>VLOOKUP(_stats[[#This Row],[tournament]],tournaments_n_rules[],4,0)</f>
        <v>46194</v>
      </c>
      <c r="O1444" s="56">
        <f>VLOOKUP(_stats[[#This Row],[tournament]],tournaments_n_rules[],5,0)</f>
        <v>46265</v>
      </c>
    </row>
    <row r="1445" spans="1:15" x14ac:dyDescent="0.25">
      <c r="A1445" s="6">
        <v>46212</v>
      </c>
      <c r="B1445" s="7">
        <v>1</v>
      </c>
      <c r="C1445" s="7" t="s">
        <v>27</v>
      </c>
      <c r="D1445" s="10" t="str">
        <f>IFERROR(VLOOKUP(_stats[[#This Row],[player_id]],_players[[player_id]:[player_name]],2,0),"")</f>
        <v>Миша</v>
      </c>
      <c r="E1445" s="7">
        <v>0</v>
      </c>
      <c r="F1445" s="8">
        <v>3</v>
      </c>
      <c r="G1445" s="10">
        <f>SUMIFS(_teams[wins_on_date],_teams[date],_stats[[#This Row],[date]],_teams[team_number],_stats[[#This Row],[team_number]])</f>
        <v>3</v>
      </c>
      <c r="H1445" s="10">
        <f>SUMIFS(_teams[draws_on_date],_teams[date],_stats[[#This Row],[date]],_teams[team_number],_stats[[#This Row],[team_number]])</f>
        <v>1</v>
      </c>
      <c r="I1445" s="10">
        <v>0</v>
      </c>
      <c r="J1445" s="10">
        <v>0</v>
      </c>
      <c r="K1445" s="10">
        <v>7</v>
      </c>
      <c r="L1445" s="55" t="str">
        <f>VLOOKUP(_stats[[#This Row],[tournament]],tournaments_n_rules[],2,0)</f>
        <v>УПК</v>
      </c>
      <c r="M1445" s="55" t="str">
        <f>VLOOKUP(_stats[[#This Row],[tournament]],tournaments_n_rules[],3,0)</f>
        <v>Лето 2026</v>
      </c>
      <c r="N1445" s="56">
        <f>VLOOKUP(_stats[[#This Row],[tournament]],tournaments_n_rules[],4,0)</f>
        <v>46194</v>
      </c>
      <c r="O1445" s="56">
        <f>VLOOKUP(_stats[[#This Row],[tournament]],tournaments_n_rules[],5,0)</f>
        <v>46265</v>
      </c>
    </row>
    <row r="1446" spans="1:15" x14ac:dyDescent="0.25">
      <c r="A1446" s="6">
        <v>46212</v>
      </c>
      <c r="B1446" s="7">
        <v>3</v>
      </c>
      <c r="C1446" s="7" t="s">
        <v>94</v>
      </c>
      <c r="D1446" s="10" t="str">
        <f>IFERROR(VLOOKUP(_stats[[#This Row],[player_id]],_players[[player_id]:[player_name]],2,0),"")</f>
        <v>Энтони Тепеев</v>
      </c>
      <c r="E1446" s="7">
        <v>5</v>
      </c>
      <c r="F1446" s="8">
        <v>1</v>
      </c>
      <c r="G1446" s="10">
        <f>SUMIFS(_teams[wins_on_date],_teams[date],_stats[[#This Row],[date]],_teams[team_number],_stats[[#This Row],[team_number]])</f>
        <v>4</v>
      </c>
      <c r="H1446" s="10">
        <f>SUMIFS(_teams[draws_on_date],_teams[date],_stats[[#This Row],[date]],_teams[team_number],_stats[[#This Row],[team_number]])</f>
        <v>2</v>
      </c>
      <c r="I1446" s="10">
        <v>0</v>
      </c>
      <c r="J1446" s="10">
        <v>0</v>
      </c>
      <c r="K1446" s="10">
        <v>7</v>
      </c>
      <c r="L1446" s="55" t="str">
        <f>VLOOKUP(_stats[[#This Row],[tournament]],tournaments_n_rules[],2,0)</f>
        <v>УПК</v>
      </c>
      <c r="M1446" s="55" t="str">
        <f>VLOOKUP(_stats[[#This Row],[tournament]],tournaments_n_rules[],3,0)</f>
        <v>Лето 2026</v>
      </c>
      <c r="N1446" s="56">
        <f>VLOOKUP(_stats[[#This Row],[tournament]],tournaments_n_rules[],4,0)</f>
        <v>46194</v>
      </c>
      <c r="O1446" s="56">
        <f>VLOOKUP(_stats[[#This Row],[tournament]],tournaments_n_rules[],5,0)</f>
        <v>46265</v>
      </c>
    </row>
    <row r="1447" spans="1:15" x14ac:dyDescent="0.25">
      <c r="A1447" s="6">
        <v>46212</v>
      </c>
      <c r="B1447" s="7">
        <v>1</v>
      </c>
      <c r="C1447" s="7" t="s">
        <v>69</v>
      </c>
      <c r="D1447" s="10" t="str">
        <f>IFERROR(VLOOKUP(_stats[[#This Row],[player_id]],_players[[player_id]:[player_name]],2,0),"")</f>
        <v>Макс (Миша +1)</v>
      </c>
      <c r="E1447" s="7">
        <v>2</v>
      </c>
      <c r="F1447" s="8">
        <v>3</v>
      </c>
      <c r="G1447" s="10">
        <f>SUMIFS(_teams[wins_on_date],_teams[date],_stats[[#This Row],[date]],_teams[team_number],_stats[[#This Row],[team_number]])</f>
        <v>3</v>
      </c>
      <c r="H1447" s="10">
        <f>SUMIFS(_teams[draws_on_date],_teams[date],_stats[[#This Row],[date]],_teams[team_number],_stats[[#This Row],[team_number]])</f>
        <v>1</v>
      </c>
      <c r="I1447" s="10">
        <v>0</v>
      </c>
      <c r="J1447" s="10">
        <v>0</v>
      </c>
      <c r="K1447" s="10">
        <v>7</v>
      </c>
      <c r="L1447" s="55" t="str">
        <f>VLOOKUP(_stats[[#This Row],[tournament]],tournaments_n_rules[],2,0)</f>
        <v>УПК</v>
      </c>
      <c r="M1447" s="55" t="str">
        <f>VLOOKUP(_stats[[#This Row],[tournament]],tournaments_n_rules[],3,0)</f>
        <v>Лето 2026</v>
      </c>
      <c r="N1447" s="56">
        <f>VLOOKUP(_stats[[#This Row],[tournament]],tournaments_n_rules[],4,0)</f>
        <v>46194</v>
      </c>
      <c r="O1447" s="56">
        <f>VLOOKUP(_stats[[#This Row],[tournament]],tournaments_n_rules[],5,0)</f>
        <v>46265</v>
      </c>
    </row>
    <row r="1448" spans="1:15" x14ac:dyDescent="0.25">
      <c r="A1448" s="6">
        <v>46212</v>
      </c>
      <c r="B1448" s="7">
        <v>3</v>
      </c>
      <c r="C1448" s="7" t="s">
        <v>22</v>
      </c>
      <c r="D1448" s="10" t="str">
        <f>IFERROR(VLOOKUP(_stats[[#This Row],[player_id]],_players[[player_id]:[player_name]],2,0),"")</f>
        <v>Женя (кипер)</v>
      </c>
      <c r="E1448" s="7">
        <v>0</v>
      </c>
      <c r="F1448" s="8">
        <v>0</v>
      </c>
      <c r="G1448" s="10">
        <f>SUMIFS(_teams[wins_on_date],_teams[date],_stats[[#This Row],[date]],_teams[team_number],_stats[[#This Row],[team_number]])</f>
        <v>4</v>
      </c>
      <c r="H1448" s="10">
        <f>SUMIFS(_teams[draws_on_date],_teams[date],_stats[[#This Row],[date]],_teams[team_number],_stats[[#This Row],[team_number]])</f>
        <v>2</v>
      </c>
      <c r="I1448" s="10">
        <v>5</v>
      </c>
      <c r="J1448" s="10">
        <v>0</v>
      </c>
      <c r="K1448" s="10">
        <v>7</v>
      </c>
      <c r="L1448" s="55" t="str">
        <f>VLOOKUP(_stats[[#This Row],[tournament]],tournaments_n_rules[],2,0)</f>
        <v>УПК</v>
      </c>
      <c r="M1448" s="55" t="str">
        <f>VLOOKUP(_stats[[#This Row],[tournament]],tournaments_n_rules[],3,0)</f>
        <v>Лето 2026</v>
      </c>
      <c r="N1448" s="56">
        <f>VLOOKUP(_stats[[#This Row],[tournament]],tournaments_n_rules[],4,0)</f>
        <v>46194</v>
      </c>
      <c r="O1448" s="56">
        <f>VLOOKUP(_stats[[#This Row],[tournament]],tournaments_n_rules[],5,0)</f>
        <v>46265</v>
      </c>
    </row>
    <row r="1449" spans="1:15" x14ac:dyDescent="0.25">
      <c r="A1449" s="6">
        <v>46212</v>
      </c>
      <c r="B1449" s="7">
        <v>3</v>
      </c>
      <c r="C1449" s="7" t="s">
        <v>182</v>
      </c>
      <c r="D1449" s="10" t="str">
        <f>IFERROR(VLOOKUP(_stats[[#This Row],[player_id]],_players[[player_id]:[player_name]],2,0),"")</f>
        <v>Евгений</v>
      </c>
      <c r="E1449" s="7">
        <v>1</v>
      </c>
      <c r="F1449" s="8">
        <v>1</v>
      </c>
      <c r="G1449" s="10">
        <f>SUMIFS(_teams[wins_on_date],_teams[date],_stats[[#This Row],[date]],_teams[team_number],_stats[[#This Row],[team_number]])</f>
        <v>4</v>
      </c>
      <c r="H1449" s="10">
        <f>SUMIFS(_teams[draws_on_date],_teams[date],_stats[[#This Row],[date]],_teams[team_number],_stats[[#This Row],[team_number]])</f>
        <v>2</v>
      </c>
      <c r="I1449" s="10">
        <v>0</v>
      </c>
      <c r="J1449" s="10">
        <v>0</v>
      </c>
      <c r="K1449" s="10">
        <v>7</v>
      </c>
      <c r="L1449" s="55" t="str">
        <f>VLOOKUP(_stats[[#This Row],[tournament]],tournaments_n_rules[],2,0)</f>
        <v>УПК</v>
      </c>
      <c r="M1449" s="55" t="str">
        <f>VLOOKUP(_stats[[#This Row],[tournament]],tournaments_n_rules[],3,0)</f>
        <v>Лето 2026</v>
      </c>
      <c r="N1449" s="56">
        <f>VLOOKUP(_stats[[#This Row],[tournament]],tournaments_n_rules[],4,0)</f>
        <v>46194</v>
      </c>
      <c r="O1449" s="56">
        <f>VLOOKUP(_stats[[#This Row],[tournament]],tournaments_n_rules[],5,0)</f>
        <v>46265</v>
      </c>
    </row>
    <row r="1450" spans="1:15" x14ac:dyDescent="0.25">
      <c r="A1450" s="6">
        <v>46212</v>
      </c>
      <c r="B1450" s="7">
        <v>4</v>
      </c>
      <c r="C1450" s="7" t="s">
        <v>42</v>
      </c>
      <c r="D1450" s="10" t="str">
        <f>IFERROR(VLOOKUP(_stats[[#This Row],[player_id]],_players[[player_id]:[player_name]],2,0),"")</f>
        <v>Нурик</v>
      </c>
      <c r="E1450" s="7">
        <v>0</v>
      </c>
      <c r="F1450" s="8">
        <v>0</v>
      </c>
      <c r="G1450" s="10">
        <f>SUMIFS(_teams[wins_on_date],_teams[date],_stats[[#This Row],[date]],_teams[team_number],_stats[[#This Row],[team_number]])</f>
        <v>2</v>
      </c>
      <c r="H1450" s="10">
        <f>SUMIFS(_teams[draws_on_date],_teams[date],_stats[[#This Row],[date]],_teams[team_number],_stats[[#This Row],[team_number]])</f>
        <v>0</v>
      </c>
      <c r="I1450" s="10">
        <v>0</v>
      </c>
      <c r="J1450" s="10">
        <v>0</v>
      </c>
      <c r="K1450" s="10">
        <v>7</v>
      </c>
      <c r="L1450" s="55" t="str">
        <f>VLOOKUP(_stats[[#This Row],[tournament]],tournaments_n_rules[],2,0)</f>
        <v>УПК</v>
      </c>
      <c r="M1450" s="55" t="str">
        <f>VLOOKUP(_stats[[#This Row],[tournament]],tournaments_n_rules[],3,0)</f>
        <v>Лето 2026</v>
      </c>
      <c r="N1450" s="56">
        <f>VLOOKUP(_stats[[#This Row],[tournament]],tournaments_n_rules[],4,0)</f>
        <v>46194</v>
      </c>
      <c r="O1450" s="56">
        <f>VLOOKUP(_stats[[#This Row],[tournament]],tournaments_n_rules[],5,0)</f>
        <v>46265</v>
      </c>
    </row>
    <row r="1451" spans="1:15" x14ac:dyDescent="0.25">
      <c r="A1451" s="6">
        <v>46212</v>
      </c>
      <c r="B1451" s="7">
        <v>3</v>
      </c>
      <c r="C1451" s="7" t="s">
        <v>79</v>
      </c>
      <c r="D1451" s="10" t="str">
        <f>IFERROR(VLOOKUP(_stats[[#This Row],[player_id]],_players[[player_id]:[player_name]],2,0),"")</f>
        <v>Анашкин</v>
      </c>
      <c r="E1451" s="7">
        <v>0</v>
      </c>
      <c r="F1451" s="8">
        <v>0</v>
      </c>
      <c r="G1451" s="10">
        <f>SUMIFS(_teams[wins_on_date],_teams[date],_stats[[#This Row],[date]],_teams[team_number],_stats[[#This Row],[team_number]])</f>
        <v>4</v>
      </c>
      <c r="H1451" s="10">
        <f>SUMIFS(_teams[draws_on_date],_teams[date],_stats[[#This Row],[date]],_teams[team_number],_stats[[#This Row],[team_number]])</f>
        <v>2</v>
      </c>
      <c r="I1451" s="10">
        <v>0</v>
      </c>
      <c r="J1451" s="10">
        <v>0</v>
      </c>
      <c r="K1451" s="10">
        <v>7</v>
      </c>
      <c r="L1451" s="55" t="str">
        <f>VLOOKUP(_stats[[#This Row],[tournament]],tournaments_n_rules[],2,0)</f>
        <v>УПК</v>
      </c>
      <c r="M1451" s="55" t="str">
        <f>VLOOKUP(_stats[[#This Row],[tournament]],tournaments_n_rules[],3,0)</f>
        <v>Лето 2026</v>
      </c>
      <c r="N1451" s="56">
        <f>VLOOKUP(_stats[[#This Row],[tournament]],tournaments_n_rules[],4,0)</f>
        <v>46194</v>
      </c>
      <c r="O1451" s="56">
        <f>VLOOKUP(_stats[[#This Row],[tournament]],tournaments_n_rules[],5,0)</f>
        <v>46265</v>
      </c>
    </row>
    <row r="1452" spans="1:15" x14ac:dyDescent="0.25">
      <c r="A1452" s="6">
        <v>46212</v>
      </c>
      <c r="B1452" s="7">
        <v>1</v>
      </c>
      <c r="C1452" s="7" t="s">
        <v>75</v>
      </c>
      <c r="D1452" s="10" t="str">
        <f>IFERROR(VLOOKUP(_stats[[#This Row],[player_id]],_players[[player_id]:[player_name]],2,0),"")</f>
        <v>Никита (АК+1)</v>
      </c>
      <c r="E1452" s="7">
        <v>1</v>
      </c>
      <c r="F1452" s="8">
        <v>1</v>
      </c>
      <c r="G1452" s="10">
        <f>SUMIFS(_teams[wins_on_date],_teams[date],_stats[[#This Row],[date]],_teams[team_number],_stats[[#This Row],[team_number]])</f>
        <v>3</v>
      </c>
      <c r="H1452" s="10">
        <f>SUMIFS(_teams[draws_on_date],_teams[date],_stats[[#This Row],[date]],_teams[team_number],_stats[[#This Row],[team_number]])</f>
        <v>1</v>
      </c>
      <c r="I1452" s="10">
        <v>0</v>
      </c>
      <c r="J1452" s="10">
        <v>0</v>
      </c>
      <c r="K1452" s="10">
        <v>7</v>
      </c>
      <c r="L1452" s="55" t="str">
        <f>VLOOKUP(_stats[[#This Row],[tournament]],tournaments_n_rules[],2,0)</f>
        <v>УПК</v>
      </c>
      <c r="M1452" s="55" t="str">
        <f>VLOOKUP(_stats[[#This Row],[tournament]],tournaments_n_rules[],3,0)</f>
        <v>Лето 2026</v>
      </c>
      <c r="N1452" s="56">
        <f>VLOOKUP(_stats[[#This Row],[tournament]],tournaments_n_rules[],4,0)</f>
        <v>46194</v>
      </c>
      <c r="O1452" s="56">
        <f>VLOOKUP(_stats[[#This Row],[tournament]],tournaments_n_rules[],5,0)</f>
        <v>46265</v>
      </c>
    </row>
    <row r="1453" spans="1:15" x14ac:dyDescent="0.25">
      <c r="A1453" s="6">
        <v>46212</v>
      </c>
      <c r="B1453" s="7">
        <v>4</v>
      </c>
      <c r="C1453" s="7" t="s">
        <v>134</v>
      </c>
      <c r="D1453" s="10" t="str">
        <f>IFERROR(VLOOKUP(_stats[[#This Row],[player_id]],_players[[player_id]:[player_name]],2,0),"")</f>
        <v>Арги</v>
      </c>
      <c r="E1453" s="7">
        <v>0</v>
      </c>
      <c r="F1453" s="8">
        <v>0</v>
      </c>
      <c r="G1453" s="10">
        <f>SUMIFS(_teams[wins_on_date],_teams[date],_stats[[#This Row],[date]],_teams[team_number],_stats[[#This Row],[team_number]])</f>
        <v>2</v>
      </c>
      <c r="H1453" s="10">
        <f>SUMIFS(_teams[draws_on_date],_teams[date],_stats[[#This Row],[date]],_teams[team_number],_stats[[#This Row],[team_number]])</f>
        <v>0</v>
      </c>
      <c r="I1453" s="10">
        <v>0</v>
      </c>
      <c r="J1453" s="10">
        <v>0</v>
      </c>
      <c r="K1453" s="10">
        <v>7</v>
      </c>
      <c r="L1453" s="55" t="str">
        <f>VLOOKUP(_stats[[#This Row],[tournament]],tournaments_n_rules[],2,0)</f>
        <v>УПК</v>
      </c>
      <c r="M1453" s="55" t="str">
        <f>VLOOKUP(_stats[[#This Row],[tournament]],tournaments_n_rules[],3,0)</f>
        <v>Лето 2026</v>
      </c>
      <c r="N1453" s="56">
        <f>VLOOKUP(_stats[[#This Row],[tournament]],tournaments_n_rules[],4,0)</f>
        <v>46194</v>
      </c>
      <c r="O1453" s="56">
        <f>VLOOKUP(_stats[[#This Row],[tournament]],tournaments_n_rules[],5,0)</f>
        <v>46265</v>
      </c>
    </row>
    <row r="1454" spans="1:15" x14ac:dyDescent="0.25">
      <c r="A1454" s="6">
        <v>46212</v>
      </c>
      <c r="B1454" s="7">
        <v>2</v>
      </c>
      <c r="C1454" s="7" t="s">
        <v>202</v>
      </c>
      <c r="D1454" s="10" t="str">
        <f>IFERROR(VLOOKUP(_stats[[#This Row],[player_id]],_players[[player_id]:[player_name]],2,0),"")</f>
        <v>Вадим (1747)</v>
      </c>
      <c r="E1454" s="7">
        <v>1</v>
      </c>
      <c r="F1454" s="8">
        <v>1</v>
      </c>
      <c r="G1454" s="10">
        <f>SUMIFS(_teams[wins_on_date],_teams[date],_stats[[#This Row],[date]],_teams[team_number],_stats[[#This Row],[team_number]])</f>
        <v>5</v>
      </c>
      <c r="H1454" s="10">
        <f>SUMIFS(_teams[draws_on_date],_teams[date],_stats[[#This Row],[date]],_teams[team_number],_stats[[#This Row],[team_number]])</f>
        <v>1</v>
      </c>
      <c r="I1454" s="10">
        <v>0</v>
      </c>
      <c r="J1454" s="10">
        <v>0</v>
      </c>
      <c r="K1454" s="10">
        <v>7</v>
      </c>
      <c r="L1454" s="55" t="str">
        <f>VLOOKUP(_stats[[#This Row],[tournament]],tournaments_n_rules[],2,0)</f>
        <v>УПК</v>
      </c>
      <c r="M1454" s="55" t="str">
        <f>VLOOKUP(_stats[[#This Row],[tournament]],tournaments_n_rules[],3,0)</f>
        <v>Лето 2026</v>
      </c>
      <c r="N1454" s="56">
        <f>VLOOKUP(_stats[[#This Row],[tournament]],tournaments_n_rules[],4,0)</f>
        <v>46194</v>
      </c>
      <c r="O1454" s="56">
        <f>VLOOKUP(_stats[[#This Row],[tournament]],tournaments_n_rules[],5,0)</f>
        <v>46265</v>
      </c>
    </row>
    <row r="1455" spans="1:15" x14ac:dyDescent="0.25">
      <c r="A1455" s="6">
        <v>46212</v>
      </c>
      <c r="B1455" s="7">
        <v>2</v>
      </c>
      <c r="C1455" s="7" t="s">
        <v>203</v>
      </c>
      <c r="D1455" s="10" t="str">
        <f>IFERROR(VLOOKUP(_stats[[#This Row],[player_id]],_players[[player_id]:[player_name]],2,0),"")</f>
        <v>Саша (1747)</v>
      </c>
      <c r="E1455" s="7">
        <v>1</v>
      </c>
      <c r="F1455" s="8">
        <v>0</v>
      </c>
      <c r="G1455" s="10">
        <f>SUMIFS(_teams[wins_on_date],_teams[date],_stats[[#This Row],[date]],_teams[team_number],_stats[[#This Row],[team_number]])</f>
        <v>5</v>
      </c>
      <c r="H1455" s="10">
        <f>SUMIFS(_teams[draws_on_date],_teams[date],_stats[[#This Row],[date]],_teams[team_number],_stats[[#This Row],[team_number]])</f>
        <v>1</v>
      </c>
      <c r="I1455" s="10">
        <v>0</v>
      </c>
      <c r="J1455" s="10">
        <v>0</v>
      </c>
      <c r="K1455" s="10">
        <v>7</v>
      </c>
      <c r="L1455" s="55" t="str">
        <f>VLOOKUP(_stats[[#This Row],[tournament]],tournaments_n_rules[],2,0)</f>
        <v>УПК</v>
      </c>
      <c r="M1455" s="55" t="str">
        <f>VLOOKUP(_stats[[#This Row],[tournament]],tournaments_n_rules[],3,0)</f>
        <v>Лето 2026</v>
      </c>
      <c r="N1455" s="56">
        <f>VLOOKUP(_stats[[#This Row],[tournament]],tournaments_n_rules[],4,0)</f>
        <v>46194</v>
      </c>
      <c r="O1455" s="56">
        <f>VLOOKUP(_stats[[#This Row],[tournament]],tournaments_n_rules[],5,0)</f>
        <v>46265</v>
      </c>
    </row>
    <row r="1456" spans="1:15" x14ac:dyDescent="0.25">
      <c r="A1456" s="6">
        <v>46212</v>
      </c>
      <c r="B1456" s="7">
        <v>2</v>
      </c>
      <c r="C1456" s="7" t="s">
        <v>51</v>
      </c>
      <c r="D1456" s="10" t="str">
        <f>IFERROR(VLOOKUP(_stats[[#This Row],[player_id]],_players[[player_id]:[player_name]],2,0),"")</f>
        <v>Егор (АК+1)</v>
      </c>
      <c r="E1456" s="7">
        <v>0</v>
      </c>
      <c r="F1456" s="8">
        <v>0</v>
      </c>
      <c r="G1456" s="10">
        <f>SUMIFS(_teams[wins_on_date],_teams[date],_stats[[#This Row],[date]],_teams[team_number],_stats[[#This Row],[team_number]])</f>
        <v>5</v>
      </c>
      <c r="H1456" s="10">
        <f>SUMIFS(_teams[draws_on_date],_teams[date],_stats[[#This Row],[date]],_teams[team_number],_stats[[#This Row],[team_number]])</f>
        <v>1</v>
      </c>
      <c r="I1456" s="10">
        <v>0</v>
      </c>
      <c r="J1456" s="10">
        <v>0</v>
      </c>
      <c r="K1456" s="10">
        <v>7</v>
      </c>
      <c r="L1456" s="55" t="str">
        <f>VLOOKUP(_stats[[#This Row],[tournament]],tournaments_n_rules[],2,0)</f>
        <v>УПК</v>
      </c>
      <c r="M1456" s="55" t="str">
        <f>VLOOKUP(_stats[[#This Row],[tournament]],tournaments_n_rules[],3,0)</f>
        <v>Лето 2026</v>
      </c>
      <c r="N1456" s="56">
        <f>VLOOKUP(_stats[[#This Row],[tournament]],tournaments_n_rules[],4,0)</f>
        <v>46194</v>
      </c>
      <c r="O1456" s="56">
        <f>VLOOKUP(_stats[[#This Row],[tournament]],tournaments_n_rules[],5,0)</f>
        <v>46265</v>
      </c>
    </row>
    <row r="1457" spans="1:15" x14ac:dyDescent="0.25">
      <c r="A1457" s="6">
        <v>46212</v>
      </c>
      <c r="B1457" s="7">
        <v>1</v>
      </c>
      <c r="C1457" s="7" t="s">
        <v>21</v>
      </c>
      <c r="D1457" s="10" t="str">
        <f>IFERROR(VLOOKUP(_stats[[#This Row],[player_id]],_players[[player_id]:[player_name]],2,0),"")</f>
        <v>Влад</v>
      </c>
      <c r="E1457" s="7">
        <v>0</v>
      </c>
      <c r="F1457" s="8">
        <v>0</v>
      </c>
      <c r="G1457" s="10">
        <f>SUMIFS(_teams[wins_on_date],_teams[date],_stats[[#This Row],[date]],_teams[team_number],_stats[[#This Row],[team_number]])</f>
        <v>3</v>
      </c>
      <c r="H1457" s="10">
        <f>SUMIFS(_teams[draws_on_date],_teams[date],_stats[[#This Row],[date]],_teams[team_number],_stats[[#This Row],[team_number]])</f>
        <v>1</v>
      </c>
      <c r="I1457" s="10">
        <v>0</v>
      </c>
      <c r="J1457" s="10">
        <v>0</v>
      </c>
      <c r="K1457" s="10">
        <v>7</v>
      </c>
      <c r="L1457" s="55" t="str">
        <f>VLOOKUP(_stats[[#This Row],[tournament]],tournaments_n_rules[],2,0)</f>
        <v>УПК</v>
      </c>
      <c r="M1457" s="55" t="str">
        <f>VLOOKUP(_stats[[#This Row],[tournament]],tournaments_n_rules[],3,0)</f>
        <v>Лето 2026</v>
      </c>
      <c r="N1457" s="56">
        <f>VLOOKUP(_stats[[#This Row],[tournament]],tournaments_n_rules[],4,0)</f>
        <v>46194</v>
      </c>
      <c r="O1457" s="56">
        <f>VLOOKUP(_stats[[#This Row],[tournament]],tournaments_n_rules[],5,0)</f>
        <v>46265</v>
      </c>
    </row>
    <row r="1458" spans="1:15" x14ac:dyDescent="0.25">
      <c r="A1458" s="6">
        <v>46212</v>
      </c>
      <c r="B1458" s="7">
        <v>1</v>
      </c>
      <c r="C1458" s="7" t="s">
        <v>17</v>
      </c>
      <c r="D1458" s="10" t="str">
        <f>IFERROR(VLOOKUP(_stats[[#This Row],[player_id]],_players[[player_id]:[player_name]],2,0),"")</f>
        <v>Костя</v>
      </c>
      <c r="E1458" s="7">
        <v>2</v>
      </c>
      <c r="F1458" s="8">
        <v>1</v>
      </c>
      <c r="G1458" s="10">
        <f>SUMIFS(_teams[wins_on_date],_teams[date],_stats[[#This Row],[date]],_teams[team_number],_stats[[#This Row],[team_number]])</f>
        <v>3</v>
      </c>
      <c r="H1458" s="10">
        <f>SUMIFS(_teams[draws_on_date],_teams[date],_stats[[#This Row],[date]],_teams[team_number],_stats[[#This Row],[team_number]])</f>
        <v>1</v>
      </c>
      <c r="I1458" s="10">
        <v>0</v>
      </c>
      <c r="J1458" s="10">
        <v>0</v>
      </c>
      <c r="K1458" s="10">
        <v>7</v>
      </c>
      <c r="L1458" s="55" t="str">
        <f>VLOOKUP(_stats[[#This Row],[tournament]],tournaments_n_rules[],2,0)</f>
        <v>УПК</v>
      </c>
      <c r="M1458" s="55" t="str">
        <f>VLOOKUP(_stats[[#This Row],[tournament]],tournaments_n_rules[],3,0)</f>
        <v>Лето 2026</v>
      </c>
      <c r="N1458" s="56">
        <f>VLOOKUP(_stats[[#This Row],[tournament]],tournaments_n_rules[],4,0)</f>
        <v>46194</v>
      </c>
      <c r="O1458" s="56">
        <f>VLOOKUP(_stats[[#This Row],[tournament]],tournaments_n_rules[],5,0)</f>
        <v>46265</v>
      </c>
    </row>
    <row r="1459" spans="1:15" x14ac:dyDescent="0.25">
      <c r="A1459" s="6">
        <v>46212</v>
      </c>
      <c r="B1459" s="7">
        <v>1</v>
      </c>
      <c r="C1459" s="7" t="s">
        <v>49</v>
      </c>
      <c r="D1459" s="10" t="str">
        <f>IFERROR(VLOOKUP(_stats[[#This Row],[player_id]],_players[[player_id]:[player_name]],2,0),"")</f>
        <v>Витя</v>
      </c>
      <c r="E1459" s="7">
        <v>2</v>
      </c>
      <c r="F1459" s="8">
        <v>0</v>
      </c>
      <c r="G1459" s="10">
        <f>SUMIFS(_teams[wins_on_date],_teams[date],_stats[[#This Row],[date]],_teams[team_number],_stats[[#This Row],[team_number]])</f>
        <v>3</v>
      </c>
      <c r="H1459" s="10">
        <f>SUMIFS(_teams[draws_on_date],_teams[date],_stats[[#This Row],[date]],_teams[team_number],_stats[[#This Row],[team_number]])</f>
        <v>1</v>
      </c>
      <c r="I1459" s="10">
        <v>0</v>
      </c>
      <c r="J1459" s="10">
        <v>0</v>
      </c>
      <c r="K1459" s="10">
        <v>7</v>
      </c>
      <c r="L1459" s="55" t="str">
        <f>VLOOKUP(_stats[[#This Row],[tournament]],tournaments_n_rules[],2,0)</f>
        <v>УПК</v>
      </c>
      <c r="M1459" s="55" t="str">
        <f>VLOOKUP(_stats[[#This Row],[tournament]],tournaments_n_rules[],3,0)</f>
        <v>Лето 2026</v>
      </c>
      <c r="N1459" s="56">
        <f>VLOOKUP(_stats[[#This Row],[tournament]],tournaments_n_rules[],4,0)</f>
        <v>46194</v>
      </c>
      <c r="O1459" s="56">
        <f>VLOOKUP(_stats[[#This Row],[tournament]],tournaments_n_rules[],5,0)</f>
        <v>46265</v>
      </c>
    </row>
    <row r="1460" spans="1:15" x14ac:dyDescent="0.25">
      <c r="A1460" s="6">
        <v>46212</v>
      </c>
      <c r="B1460" s="7">
        <v>2</v>
      </c>
      <c r="C1460" s="7" t="s">
        <v>204</v>
      </c>
      <c r="D1460" s="10" t="str">
        <f>IFERROR(VLOOKUP(_stats[[#This Row],[player_id]],_players[[player_id]:[player_name]],2,0),"")</f>
        <v>Ваге (УПК)</v>
      </c>
      <c r="E1460" s="7">
        <v>1</v>
      </c>
      <c r="F1460" s="8">
        <v>0</v>
      </c>
      <c r="G1460" s="10">
        <f>SUMIFS(_teams[wins_on_date],_teams[date],_stats[[#This Row],[date]],_teams[team_number],_stats[[#This Row],[team_number]])</f>
        <v>5</v>
      </c>
      <c r="H1460" s="10">
        <f>SUMIFS(_teams[draws_on_date],_teams[date],_stats[[#This Row],[date]],_teams[team_number],_stats[[#This Row],[team_number]])</f>
        <v>1</v>
      </c>
      <c r="I1460" s="10">
        <v>0</v>
      </c>
      <c r="J1460" s="10">
        <v>0</v>
      </c>
      <c r="K1460" s="10">
        <v>7</v>
      </c>
      <c r="L1460" s="55" t="str">
        <f>VLOOKUP(_stats[[#This Row],[tournament]],tournaments_n_rules[],2,0)</f>
        <v>УПК</v>
      </c>
      <c r="M1460" s="55" t="str">
        <f>VLOOKUP(_stats[[#This Row],[tournament]],tournaments_n_rules[],3,0)</f>
        <v>Лето 2026</v>
      </c>
      <c r="N1460" s="56">
        <f>VLOOKUP(_stats[[#This Row],[tournament]],tournaments_n_rules[],4,0)</f>
        <v>46194</v>
      </c>
      <c r="O1460" s="56">
        <f>VLOOKUP(_stats[[#This Row],[tournament]],tournaments_n_rules[],5,0)</f>
        <v>46265</v>
      </c>
    </row>
    <row r="1461" spans="1:15" x14ac:dyDescent="0.25">
      <c r="A1461" s="6">
        <v>46212</v>
      </c>
      <c r="B1461" s="7">
        <v>2</v>
      </c>
      <c r="C1461" s="7" t="s">
        <v>205</v>
      </c>
      <c r="D1461" s="10" t="str">
        <f>IFERROR(VLOOKUP(_stats[[#This Row],[player_id]],_players[[player_id]:[player_name]],2,0),"")</f>
        <v>Родион (УПК)</v>
      </c>
      <c r="E1461" s="7">
        <v>0</v>
      </c>
      <c r="F1461" s="8">
        <v>0</v>
      </c>
      <c r="G1461" s="10">
        <f>SUMIFS(_teams[wins_on_date],_teams[date],_stats[[#This Row],[date]],_teams[team_number],_stats[[#This Row],[team_number]])</f>
        <v>5</v>
      </c>
      <c r="H1461" s="10">
        <f>SUMIFS(_teams[draws_on_date],_teams[date],_stats[[#This Row],[date]],_teams[team_number],_stats[[#This Row],[team_number]])</f>
        <v>1</v>
      </c>
      <c r="I1461" s="10">
        <v>0</v>
      </c>
      <c r="J1461" s="10">
        <v>0</v>
      </c>
      <c r="K1461" s="10">
        <v>7</v>
      </c>
      <c r="L1461" s="55" t="str">
        <f>VLOOKUP(_stats[[#This Row],[tournament]],tournaments_n_rules[],2,0)</f>
        <v>УПК</v>
      </c>
      <c r="M1461" s="55" t="str">
        <f>VLOOKUP(_stats[[#This Row],[tournament]],tournaments_n_rules[],3,0)</f>
        <v>Лето 2026</v>
      </c>
      <c r="N1461" s="56">
        <f>VLOOKUP(_stats[[#This Row],[tournament]],tournaments_n_rules[],4,0)</f>
        <v>46194</v>
      </c>
      <c r="O1461" s="56">
        <f>VLOOKUP(_stats[[#This Row],[tournament]],tournaments_n_rules[],5,0)</f>
        <v>46265</v>
      </c>
    </row>
    <row r="1462" spans="1:15" x14ac:dyDescent="0.25">
      <c r="A1462" s="6">
        <v>46212</v>
      </c>
      <c r="B1462" s="7">
        <v>4</v>
      </c>
      <c r="C1462" s="7" t="s">
        <v>213</v>
      </c>
      <c r="D1462" s="10" t="str">
        <f>IFERROR(VLOOKUP(_stats[[#This Row],[player_id]],_players[[player_id]:[player_name]],2,0),"")</f>
        <v>Кирилл (УПК)</v>
      </c>
      <c r="E1462" s="7">
        <v>0</v>
      </c>
      <c r="F1462" s="8">
        <v>0</v>
      </c>
      <c r="G1462" s="10">
        <f>SUMIFS(_teams[wins_on_date],_teams[date],_stats[[#This Row],[date]],_teams[team_number],_stats[[#This Row],[team_number]])</f>
        <v>2</v>
      </c>
      <c r="H1462" s="10">
        <f>SUMIFS(_teams[draws_on_date],_teams[date],_stats[[#This Row],[date]],_teams[team_number],_stats[[#This Row],[team_number]])</f>
        <v>0</v>
      </c>
      <c r="I1462" s="10">
        <v>0</v>
      </c>
      <c r="J1462" s="10">
        <v>0</v>
      </c>
      <c r="K1462" s="10">
        <v>7</v>
      </c>
      <c r="L1462" s="55" t="str">
        <f>VLOOKUP(_stats[[#This Row],[tournament]],tournaments_n_rules[],2,0)</f>
        <v>УПК</v>
      </c>
      <c r="M1462" s="55" t="str">
        <f>VLOOKUP(_stats[[#This Row],[tournament]],tournaments_n_rules[],3,0)</f>
        <v>Лето 2026</v>
      </c>
      <c r="N1462" s="56">
        <f>VLOOKUP(_stats[[#This Row],[tournament]],tournaments_n_rules[],4,0)</f>
        <v>46194</v>
      </c>
      <c r="O1462" s="56">
        <f>VLOOKUP(_stats[[#This Row],[tournament]],tournaments_n_rules[],5,0)</f>
        <v>46265</v>
      </c>
    </row>
    <row r="1463" spans="1:15" x14ac:dyDescent="0.25">
      <c r="A1463" s="6">
        <v>46212</v>
      </c>
      <c r="B1463" s="7">
        <v>4</v>
      </c>
      <c r="C1463" s="7" t="s">
        <v>214</v>
      </c>
      <c r="D1463" s="10" t="str">
        <f>IFERROR(VLOOKUP(_stats[[#This Row],[player_id]],_players[[player_id]:[player_name]],2,0),"")</f>
        <v>Женя (УПК)</v>
      </c>
      <c r="E1463" s="7">
        <v>0</v>
      </c>
      <c r="F1463" s="8">
        <v>0</v>
      </c>
      <c r="G1463" s="10">
        <f>SUMIFS(_teams[wins_on_date],_teams[date],_stats[[#This Row],[date]],_teams[team_number],_stats[[#This Row],[team_number]])</f>
        <v>2</v>
      </c>
      <c r="H1463" s="10">
        <f>SUMIFS(_teams[draws_on_date],_teams[date],_stats[[#This Row],[date]],_teams[team_number],_stats[[#This Row],[team_number]])</f>
        <v>0</v>
      </c>
      <c r="I1463" s="10">
        <v>0</v>
      </c>
      <c r="J1463" s="10">
        <v>0</v>
      </c>
      <c r="K1463" s="10">
        <v>7</v>
      </c>
      <c r="L1463" s="55" t="str">
        <f>VLOOKUP(_stats[[#This Row],[tournament]],tournaments_n_rules[],2,0)</f>
        <v>УПК</v>
      </c>
      <c r="M1463" s="55" t="str">
        <f>VLOOKUP(_stats[[#This Row],[tournament]],tournaments_n_rules[],3,0)</f>
        <v>Лето 2026</v>
      </c>
      <c r="N1463" s="56">
        <f>VLOOKUP(_stats[[#This Row],[tournament]],tournaments_n_rules[],4,0)</f>
        <v>46194</v>
      </c>
      <c r="O1463" s="56">
        <f>VLOOKUP(_stats[[#This Row],[tournament]],tournaments_n_rules[],5,0)</f>
        <v>46265</v>
      </c>
    </row>
    <row r="1464" spans="1:15" x14ac:dyDescent="0.25">
      <c r="A1464" s="6">
        <v>46212</v>
      </c>
      <c r="B1464" s="7">
        <v>4</v>
      </c>
      <c r="C1464" s="7" t="s">
        <v>215</v>
      </c>
      <c r="D1464" s="10" t="str">
        <f>IFERROR(VLOOKUP(_stats[[#This Row],[player_id]],_players[[player_id]:[player_name]],2,0),"")</f>
        <v>Егор (УПК)</v>
      </c>
      <c r="E1464" s="7">
        <v>1</v>
      </c>
      <c r="F1464" s="8">
        <v>0</v>
      </c>
      <c r="G1464" s="10">
        <f>SUMIFS(_teams[wins_on_date],_teams[date],_stats[[#This Row],[date]],_teams[team_number],_stats[[#This Row],[team_number]])</f>
        <v>2</v>
      </c>
      <c r="H1464" s="10">
        <f>SUMIFS(_teams[draws_on_date],_teams[date],_stats[[#This Row],[date]],_teams[team_number],_stats[[#This Row],[team_number]])</f>
        <v>0</v>
      </c>
      <c r="I1464" s="10">
        <v>0</v>
      </c>
      <c r="J1464" s="10">
        <v>0</v>
      </c>
      <c r="K1464" s="10">
        <v>7</v>
      </c>
      <c r="L1464" s="55" t="str">
        <f>VLOOKUP(_stats[[#This Row],[tournament]],tournaments_n_rules[],2,0)</f>
        <v>УПК</v>
      </c>
      <c r="M1464" s="55" t="str">
        <f>VLOOKUP(_stats[[#This Row],[tournament]],tournaments_n_rules[],3,0)</f>
        <v>Лето 2026</v>
      </c>
      <c r="N1464" s="56">
        <f>VLOOKUP(_stats[[#This Row],[tournament]],tournaments_n_rules[],4,0)</f>
        <v>46194</v>
      </c>
      <c r="O1464" s="56">
        <f>VLOOKUP(_stats[[#This Row],[tournament]],tournaments_n_rules[],5,0)</f>
        <v>46265</v>
      </c>
    </row>
    <row r="1465" spans="1:15" x14ac:dyDescent="0.25">
      <c r="A1465" s="6">
        <v>46212</v>
      </c>
      <c r="B1465" s="7">
        <v>5</v>
      </c>
      <c r="C1465" s="7" t="s">
        <v>206</v>
      </c>
      <c r="D1465" s="10" t="str">
        <f>IFERROR(VLOOKUP(_stats[[#This Row],[player_id]],_players[[player_id]:[player_name]],2,0),"")</f>
        <v>Костя (УПК)</v>
      </c>
      <c r="E1465" s="7">
        <v>0</v>
      </c>
      <c r="F1465" s="8">
        <v>0</v>
      </c>
      <c r="G1465" s="10">
        <f>SUMIFS(_teams[wins_on_date],_teams[date],_stats[[#This Row],[date]],_teams[team_number],_stats[[#This Row],[team_number]])</f>
        <v>1</v>
      </c>
      <c r="H1465" s="10">
        <f>SUMIFS(_teams[draws_on_date],_teams[date],_stats[[#This Row],[date]],_teams[team_number],_stats[[#This Row],[team_number]])</f>
        <v>0</v>
      </c>
      <c r="I1465" s="10">
        <v>0</v>
      </c>
      <c r="J1465" s="10">
        <v>0</v>
      </c>
      <c r="K1465" s="10">
        <v>7</v>
      </c>
      <c r="L1465" s="55" t="str">
        <f>VLOOKUP(_stats[[#This Row],[tournament]],tournaments_n_rules[],2,0)</f>
        <v>УПК</v>
      </c>
      <c r="M1465" s="55" t="str">
        <f>VLOOKUP(_stats[[#This Row],[tournament]],tournaments_n_rules[],3,0)</f>
        <v>Лето 2026</v>
      </c>
      <c r="N1465" s="56">
        <f>VLOOKUP(_stats[[#This Row],[tournament]],tournaments_n_rules[],4,0)</f>
        <v>46194</v>
      </c>
      <c r="O1465" s="56">
        <f>VLOOKUP(_stats[[#This Row],[tournament]],tournaments_n_rules[],5,0)</f>
        <v>46265</v>
      </c>
    </row>
    <row r="1466" spans="1:15" x14ac:dyDescent="0.25">
      <c r="A1466" s="6">
        <v>46212</v>
      </c>
      <c r="B1466" s="7">
        <v>5</v>
      </c>
      <c r="C1466" s="7" t="s">
        <v>207</v>
      </c>
      <c r="D1466" s="10" t="str">
        <f>IFERROR(VLOOKUP(_stats[[#This Row],[player_id]],_players[[player_id]:[player_name]],2,0),"")</f>
        <v>Жора (УПК)</v>
      </c>
      <c r="E1466" s="7">
        <v>0</v>
      </c>
      <c r="F1466" s="8">
        <v>0</v>
      </c>
      <c r="G1466" s="10">
        <f>SUMIFS(_teams[wins_on_date],_teams[date],_stats[[#This Row],[date]],_teams[team_number],_stats[[#This Row],[team_number]])</f>
        <v>1</v>
      </c>
      <c r="H1466" s="10">
        <f>SUMIFS(_teams[draws_on_date],_teams[date],_stats[[#This Row],[date]],_teams[team_number],_stats[[#This Row],[team_number]])</f>
        <v>0</v>
      </c>
      <c r="I1466" s="10">
        <v>0</v>
      </c>
      <c r="J1466" s="10">
        <v>0</v>
      </c>
      <c r="K1466" s="10">
        <v>7</v>
      </c>
      <c r="L1466" s="55" t="str">
        <f>VLOOKUP(_stats[[#This Row],[tournament]],tournaments_n_rules[],2,0)</f>
        <v>УПК</v>
      </c>
      <c r="M1466" s="55" t="str">
        <f>VLOOKUP(_stats[[#This Row],[tournament]],tournaments_n_rules[],3,0)</f>
        <v>Лето 2026</v>
      </c>
      <c r="N1466" s="56">
        <f>VLOOKUP(_stats[[#This Row],[tournament]],tournaments_n_rules[],4,0)</f>
        <v>46194</v>
      </c>
      <c r="O1466" s="56">
        <f>VLOOKUP(_stats[[#This Row],[tournament]],tournaments_n_rules[],5,0)</f>
        <v>46265</v>
      </c>
    </row>
    <row r="1467" spans="1:15" x14ac:dyDescent="0.25">
      <c r="A1467" s="6">
        <v>46212</v>
      </c>
      <c r="B1467" s="7">
        <v>5</v>
      </c>
      <c r="C1467" s="7" t="s">
        <v>208</v>
      </c>
      <c r="D1467" s="10" t="str">
        <f>IFERROR(VLOOKUP(_stats[[#This Row],[player_id]],_players[[player_id]:[player_name]],2,0),"")</f>
        <v>Тиран (УПК)</v>
      </c>
      <c r="E1467" s="7">
        <v>0</v>
      </c>
      <c r="F1467" s="8">
        <v>0</v>
      </c>
      <c r="G1467" s="10">
        <f>SUMIFS(_teams[wins_on_date],_teams[date],_stats[[#This Row],[date]],_teams[team_number],_stats[[#This Row],[team_number]])</f>
        <v>1</v>
      </c>
      <c r="H1467" s="10">
        <f>SUMIFS(_teams[draws_on_date],_teams[date],_stats[[#This Row],[date]],_teams[team_number],_stats[[#This Row],[team_number]])</f>
        <v>0</v>
      </c>
      <c r="I1467" s="10">
        <v>0</v>
      </c>
      <c r="J1467" s="10">
        <v>0</v>
      </c>
      <c r="K1467" s="10">
        <v>7</v>
      </c>
      <c r="L1467" s="55" t="str">
        <f>VLOOKUP(_stats[[#This Row],[tournament]],tournaments_n_rules[],2,0)</f>
        <v>УПК</v>
      </c>
      <c r="M1467" s="55" t="str">
        <f>VLOOKUP(_stats[[#This Row],[tournament]],tournaments_n_rules[],3,0)</f>
        <v>Лето 2026</v>
      </c>
      <c r="N1467" s="56">
        <f>VLOOKUP(_stats[[#This Row],[tournament]],tournaments_n_rules[],4,0)</f>
        <v>46194</v>
      </c>
      <c r="O1467" s="56">
        <f>VLOOKUP(_stats[[#This Row],[tournament]],tournaments_n_rules[],5,0)</f>
        <v>46265</v>
      </c>
    </row>
    <row r="1468" spans="1:15" x14ac:dyDescent="0.25">
      <c r="A1468" s="6">
        <v>46212</v>
      </c>
      <c r="B1468" s="7">
        <v>5</v>
      </c>
      <c r="C1468" s="7" t="s">
        <v>209</v>
      </c>
      <c r="D1468" s="10" t="str">
        <f>IFERROR(VLOOKUP(_stats[[#This Row],[player_id]],_players[[player_id]:[player_name]],2,0),"")</f>
        <v>Егор К (УПК)</v>
      </c>
      <c r="E1468" s="7">
        <v>0</v>
      </c>
      <c r="F1468" s="8">
        <v>0</v>
      </c>
      <c r="G1468" s="10">
        <f>SUMIFS(_teams[wins_on_date],_teams[date],_stats[[#This Row],[date]],_teams[team_number],_stats[[#This Row],[team_number]])</f>
        <v>1</v>
      </c>
      <c r="H1468" s="10">
        <f>SUMIFS(_teams[draws_on_date],_teams[date],_stats[[#This Row],[date]],_teams[team_number],_stats[[#This Row],[team_number]])</f>
        <v>0</v>
      </c>
      <c r="I1468" s="10">
        <v>0</v>
      </c>
      <c r="J1468" s="10">
        <v>0</v>
      </c>
      <c r="K1468" s="10">
        <v>7</v>
      </c>
      <c r="L1468" s="55" t="str">
        <f>VLOOKUP(_stats[[#This Row],[tournament]],tournaments_n_rules[],2,0)</f>
        <v>УПК</v>
      </c>
      <c r="M1468" s="55" t="str">
        <f>VLOOKUP(_stats[[#This Row],[tournament]],tournaments_n_rules[],3,0)</f>
        <v>Лето 2026</v>
      </c>
      <c r="N1468" s="56">
        <f>VLOOKUP(_stats[[#This Row],[tournament]],tournaments_n_rules[],4,0)</f>
        <v>46194</v>
      </c>
      <c r="O1468" s="56">
        <f>VLOOKUP(_stats[[#This Row],[tournament]],tournaments_n_rules[],5,0)</f>
        <v>46265</v>
      </c>
    </row>
    <row r="1469" spans="1:15" x14ac:dyDescent="0.25">
      <c r="A1469" s="6">
        <v>46212</v>
      </c>
      <c r="B1469" s="7">
        <v>5</v>
      </c>
      <c r="C1469" s="7" t="s">
        <v>210</v>
      </c>
      <c r="D1469" s="10" t="str">
        <f>IFERROR(VLOOKUP(_stats[[#This Row],[player_id]],_players[[player_id]:[player_name]],2,0),"")</f>
        <v>Эд (УПК)</v>
      </c>
      <c r="E1469" s="7">
        <v>0</v>
      </c>
      <c r="F1469" s="8">
        <v>0</v>
      </c>
      <c r="G1469" s="10">
        <f>SUMIFS(_teams[wins_on_date],_teams[date],_stats[[#This Row],[date]],_teams[team_number],_stats[[#This Row],[team_number]])</f>
        <v>1</v>
      </c>
      <c r="H1469" s="10">
        <f>SUMIFS(_teams[draws_on_date],_teams[date],_stats[[#This Row],[date]],_teams[team_number],_stats[[#This Row],[team_number]])</f>
        <v>0</v>
      </c>
      <c r="I1469" s="10">
        <v>0</v>
      </c>
      <c r="J1469" s="10">
        <v>0</v>
      </c>
      <c r="K1469" s="10">
        <v>7</v>
      </c>
      <c r="L1469" s="55" t="str">
        <f>VLOOKUP(_stats[[#This Row],[tournament]],tournaments_n_rules[],2,0)</f>
        <v>УПК</v>
      </c>
      <c r="M1469" s="55" t="str">
        <f>VLOOKUP(_stats[[#This Row],[tournament]],tournaments_n_rules[],3,0)</f>
        <v>Лето 2026</v>
      </c>
      <c r="N1469" s="56">
        <f>VLOOKUP(_stats[[#This Row],[tournament]],tournaments_n_rules[],4,0)</f>
        <v>46194</v>
      </c>
      <c r="O1469" s="56">
        <f>VLOOKUP(_stats[[#This Row],[tournament]],tournaments_n_rules[],5,0)</f>
        <v>46265</v>
      </c>
    </row>
    <row r="1470" spans="1:15" x14ac:dyDescent="0.25">
      <c r="A1470" s="6">
        <v>46212</v>
      </c>
      <c r="B1470" s="7">
        <v>5</v>
      </c>
      <c r="C1470" s="7" t="s">
        <v>211</v>
      </c>
      <c r="D1470" s="10" t="str">
        <f>IFERROR(VLOOKUP(_stats[[#This Row],[player_id]],_players[[player_id]:[player_name]],2,0),"")</f>
        <v>Степан (УПК)</v>
      </c>
      <c r="E1470" s="7">
        <v>0</v>
      </c>
      <c r="F1470" s="8">
        <v>0</v>
      </c>
      <c r="G1470" s="10">
        <f>SUMIFS(_teams[wins_on_date],_teams[date],_stats[[#This Row],[date]],_teams[team_number],_stats[[#This Row],[team_number]])</f>
        <v>1</v>
      </c>
      <c r="H1470" s="10">
        <f>SUMIFS(_teams[draws_on_date],_teams[date],_stats[[#This Row],[date]],_teams[team_number],_stats[[#This Row],[team_number]])</f>
        <v>0</v>
      </c>
      <c r="I1470" s="10">
        <v>0</v>
      </c>
      <c r="J1470" s="10">
        <v>0</v>
      </c>
      <c r="K1470" s="10">
        <v>7</v>
      </c>
      <c r="L1470" s="55" t="str">
        <f>VLOOKUP(_stats[[#This Row],[tournament]],tournaments_n_rules[],2,0)</f>
        <v>УПК</v>
      </c>
      <c r="M1470" s="55" t="str">
        <f>VLOOKUP(_stats[[#This Row],[tournament]],tournaments_n_rules[],3,0)</f>
        <v>Лето 2026</v>
      </c>
      <c r="N1470" s="56">
        <f>VLOOKUP(_stats[[#This Row],[tournament]],tournaments_n_rules[],4,0)</f>
        <v>46194</v>
      </c>
      <c r="O1470" s="56">
        <f>VLOOKUP(_stats[[#This Row],[tournament]],tournaments_n_rules[],5,0)</f>
        <v>46265</v>
      </c>
    </row>
    <row r="1471" spans="1:15" x14ac:dyDescent="0.25">
      <c r="A1471" s="6">
        <v>46212</v>
      </c>
      <c r="B1471" s="7">
        <v>5</v>
      </c>
      <c r="C1471" s="7" t="s">
        <v>57</v>
      </c>
      <c r="D1471" s="10" t="str">
        <f>IFERROR(VLOOKUP(_stats[[#This Row],[player_id]],_players[[player_id]:[player_name]],2,0),"")</f>
        <v>Рамиль (АК+1)</v>
      </c>
      <c r="E1471" s="7">
        <v>1</v>
      </c>
      <c r="F1471" s="8">
        <v>0</v>
      </c>
      <c r="G1471" s="10">
        <f>SUMIFS(_teams[wins_on_date],_teams[date],_stats[[#This Row],[date]],_teams[team_number],_stats[[#This Row],[team_number]])</f>
        <v>1</v>
      </c>
      <c r="H1471" s="10">
        <f>SUMIFS(_teams[draws_on_date],_teams[date],_stats[[#This Row],[date]],_teams[team_number],_stats[[#This Row],[team_number]])</f>
        <v>0</v>
      </c>
      <c r="I1471" s="10">
        <v>0</v>
      </c>
      <c r="J1471" s="10">
        <v>0</v>
      </c>
      <c r="K1471" s="10">
        <v>7</v>
      </c>
      <c r="L1471" s="55" t="str">
        <f>VLOOKUP(_stats[[#This Row],[tournament]],tournaments_n_rules[],2,0)</f>
        <v>УПК</v>
      </c>
      <c r="M1471" s="55" t="str">
        <f>VLOOKUP(_stats[[#This Row],[tournament]],tournaments_n_rules[],3,0)</f>
        <v>Лето 2026</v>
      </c>
      <c r="N1471" s="56">
        <f>VLOOKUP(_stats[[#This Row],[tournament]],tournaments_n_rules[],4,0)</f>
        <v>46194</v>
      </c>
      <c r="O1471" s="56">
        <f>VLOOKUP(_stats[[#This Row],[tournament]],tournaments_n_rules[],5,0)</f>
        <v>46265</v>
      </c>
    </row>
    <row r="1472" spans="1:15" x14ac:dyDescent="0.25">
      <c r="A1472" s="6">
        <v>46212</v>
      </c>
      <c r="B1472" s="7">
        <v>4</v>
      </c>
      <c r="C1472" s="7" t="s">
        <v>212</v>
      </c>
      <c r="D1472" s="10" t="str">
        <f>IFERROR(VLOOKUP(_stats[[#This Row],[player_id]],_players[[player_id]:[player_name]],2,0),"")</f>
        <v>Георгий (УПК)</v>
      </c>
      <c r="E1472" s="7">
        <v>0</v>
      </c>
      <c r="F1472" s="8">
        <v>0</v>
      </c>
      <c r="G1472" s="10">
        <f>SUMIFS(_teams[wins_on_date],_teams[date],_stats[[#This Row],[date]],_teams[team_number],_stats[[#This Row],[team_number]])</f>
        <v>2</v>
      </c>
      <c r="H1472" s="10">
        <f>SUMIFS(_teams[draws_on_date],_teams[date],_stats[[#This Row],[date]],_teams[team_number],_stats[[#This Row],[team_number]])</f>
        <v>0</v>
      </c>
      <c r="I1472" s="10">
        <v>0</v>
      </c>
      <c r="J1472" s="10">
        <v>0</v>
      </c>
      <c r="K1472" s="10">
        <v>7</v>
      </c>
      <c r="L1472" s="55" t="str">
        <f>VLOOKUP(_stats[[#This Row],[tournament]],tournaments_n_rules[],2,0)</f>
        <v>УПК</v>
      </c>
      <c r="M1472" s="55" t="str">
        <f>VLOOKUP(_stats[[#This Row],[tournament]],tournaments_n_rules[],3,0)</f>
        <v>Лето 2026</v>
      </c>
      <c r="N1472" s="56">
        <f>VLOOKUP(_stats[[#This Row],[tournament]],tournaments_n_rules[],4,0)</f>
        <v>46194</v>
      </c>
      <c r="O1472" s="56">
        <f>VLOOKUP(_stats[[#This Row],[tournament]],tournaments_n_rules[],5,0)</f>
        <v>46265</v>
      </c>
    </row>
    <row r="1473" spans="1:15" x14ac:dyDescent="0.25">
      <c r="A1473" s="6">
        <v>46212</v>
      </c>
      <c r="B1473" s="7">
        <v>1</v>
      </c>
      <c r="C1473" s="7" t="s">
        <v>80</v>
      </c>
      <c r="D1473" s="10" t="str">
        <f>IFERROR(VLOOKUP(_stats[[#This Row],[player_id]],_players[[player_id]:[player_name]],2,0),"")</f>
        <v>Даня (сын Вити)</v>
      </c>
      <c r="E1473" s="7">
        <v>0</v>
      </c>
      <c r="F1473" s="8">
        <v>0</v>
      </c>
      <c r="G1473" s="10">
        <f>SUMIFS(_teams[wins_on_date],_teams[date],_stats[[#This Row],[date]],_teams[team_number],_stats[[#This Row],[team_number]])</f>
        <v>3</v>
      </c>
      <c r="H1473" s="10">
        <f>SUMIFS(_teams[draws_on_date],_teams[date],_stats[[#This Row],[date]],_teams[team_number],_stats[[#This Row],[team_number]])</f>
        <v>1</v>
      </c>
      <c r="I1473" s="10">
        <v>0</v>
      </c>
      <c r="J1473" s="10">
        <v>0</v>
      </c>
      <c r="K1473" s="10">
        <v>7</v>
      </c>
      <c r="L1473" s="55" t="str">
        <f>VLOOKUP(_stats[[#This Row],[tournament]],tournaments_n_rules[],2,0)</f>
        <v>УПК</v>
      </c>
      <c r="M1473" s="55" t="str">
        <f>VLOOKUP(_stats[[#This Row],[tournament]],tournaments_n_rules[],3,0)</f>
        <v>Лето 2026</v>
      </c>
      <c r="N1473" s="56">
        <f>VLOOKUP(_stats[[#This Row],[tournament]],tournaments_n_rules[],4,0)</f>
        <v>46194</v>
      </c>
      <c r="O1473" s="56">
        <f>VLOOKUP(_stats[[#This Row],[tournament]],tournaments_n_rules[],5,0)</f>
        <v>46265</v>
      </c>
    </row>
    <row r="1474" spans="1:15" x14ac:dyDescent="0.25">
      <c r="A1474" s="6">
        <v>46214</v>
      </c>
      <c r="B1474" s="7">
        <v>3</v>
      </c>
      <c r="C1474" s="7" t="s">
        <v>124</v>
      </c>
      <c r="D1474" s="10" t="str">
        <f>IFERROR(VLOOKUP(_stats[[#This Row],[player_id]],_players[[player_id]:[player_name]],2,0),"")</f>
        <v>Богдан Ждамаров</v>
      </c>
      <c r="E1474" s="7">
        <v>0</v>
      </c>
      <c r="F1474" s="8">
        <v>0</v>
      </c>
      <c r="G1474" s="10">
        <f>SUMIFS(_teams[wins_on_date],_teams[date],_stats[[#This Row],[date]],_teams[team_number],_stats[[#This Row],[team_number]])</f>
        <v>2</v>
      </c>
      <c r="H1474" s="10">
        <f>SUMIFS(_teams[draws_on_date],_teams[date],_stats[[#This Row],[date]],_teams[team_number],_stats[[#This Row],[team_number]])</f>
        <v>1</v>
      </c>
      <c r="I1474" s="10">
        <v>2</v>
      </c>
      <c r="J1474" s="10">
        <v>0</v>
      </c>
      <c r="K1474" s="10">
        <v>7</v>
      </c>
      <c r="L1474" s="55" t="str">
        <f>VLOOKUP(_stats[[#This Row],[tournament]],tournaments_n_rules[],2,0)</f>
        <v>УПК</v>
      </c>
      <c r="M1474" s="55" t="str">
        <f>VLOOKUP(_stats[[#This Row],[tournament]],tournaments_n_rules[],3,0)</f>
        <v>Лето 2026</v>
      </c>
      <c r="N1474" s="56">
        <f>VLOOKUP(_stats[[#This Row],[tournament]],tournaments_n_rules[],4,0)</f>
        <v>46194</v>
      </c>
      <c r="O1474" s="56">
        <f>VLOOKUP(_stats[[#This Row],[tournament]],tournaments_n_rules[],5,0)</f>
        <v>46265</v>
      </c>
    </row>
    <row r="1475" spans="1:15" x14ac:dyDescent="0.25">
      <c r="A1475" s="6">
        <v>46214</v>
      </c>
      <c r="B1475" s="7">
        <v>1</v>
      </c>
      <c r="C1475" s="7" t="s">
        <v>155</v>
      </c>
      <c r="D1475" s="10" t="str">
        <f>IFERROR(VLOOKUP(_stats[[#This Row],[player_id]],_players[[player_id]:[player_name]],2,0),"")</f>
        <v>Никита Марс (АК+1)</v>
      </c>
      <c r="E1475" s="7">
        <v>2</v>
      </c>
      <c r="F1475" s="8">
        <v>1</v>
      </c>
      <c r="G1475" s="10">
        <f>SUMIFS(_teams[wins_on_date],_teams[date],_stats[[#This Row],[date]],_teams[team_number],_stats[[#This Row],[team_number]])</f>
        <v>1</v>
      </c>
      <c r="H1475" s="10">
        <f>SUMIFS(_teams[draws_on_date],_teams[date],_stats[[#This Row],[date]],_teams[team_number],_stats[[#This Row],[team_number]])</f>
        <v>1</v>
      </c>
      <c r="I1475" s="10">
        <v>0</v>
      </c>
      <c r="J1475" s="10">
        <v>0</v>
      </c>
      <c r="K1475" s="10">
        <v>7</v>
      </c>
      <c r="L1475" s="55" t="str">
        <f>VLOOKUP(_stats[[#This Row],[tournament]],tournaments_n_rules[],2,0)</f>
        <v>УПК</v>
      </c>
      <c r="M1475" s="55" t="str">
        <f>VLOOKUP(_stats[[#This Row],[tournament]],tournaments_n_rules[],3,0)</f>
        <v>Лето 2026</v>
      </c>
      <c r="N1475" s="56">
        <f>VLOOKUP(_stats[[#This Row],[tournament]],tournaments_n_rules[],4,0)</f>
        <v>46194</v>
      </c>
      <c r="O1475" s="56">
        <f>VLOOKUP(_stats[[#This Row],[tournament]],tournaments_n_rules[],5,0)</f>
        <v>46265</v>
      </c>
    </row>
    <row r="1476" spans="1:15" x14ac:dyDescent="0.25">
      <c r="A1476" s="6">
        <v>46214</v>
      </c>
      <c r="B1476" s="7">
        <v>2</v>
      </c>
      <c r="C1476" s="7" t="s">
        <v>140</v>
      </c>
      <c r="D1476" s="10" t="str">
        <f>IFERROR(VLOOKUP(_stats[[#This Row],[player_id]],_players[[player_id]:[player_name]],2,0),"")</f>
        <v>Коля (АК+1)</v>
      </c>
      <c r="E1476" s="7">
        <v>2</v>
      </c>
      <c r="F1476" s="8">
        <v>1</v>
      </c>
      <c r="G1476" s="10">
        <f>SUMIFS(_teams[wins_on_date],_teams[date],_stats[[#This Row],[date]],_teams[team_number],_stats[[#This Row],[team_number]])</f>
        <v>5</v>
      </c>
      <c r="H1476" s="10">
        <f>SUMIFS(_teams[draws_on_date],_teams[date],_stats[[#This Row],[date]],_teams[team_number],_stats[[#This Row],[team_number]])</f>
        <v>4</v>
      </c>
      <c r="I1476" s="10">
        <v>0</v>
      </c>
      <c r="J1476" s="10">
        <v>0</v>
      </c>
      <c r="K1476" s="10">
        <v>7</v>
      </c>
      <c r="L1476" s="55" t="str">
        <f>VLOOKUP(_stats[[#This Row],[tournament]],tournaments_n_rules[],2,0)</f>
        <v>УПК</v>
      </c>
      <c r="M1476" s="55" t="str">
        <f>VLOOKUP(_stats[[#This Row],[tournament]],tournaments_n_rules[],3,0)</f>
        <v>Лето 2026</v>
      </c>
      <c r="N1476" s="56">
        <f>VLOOKUP(_stats[[#This Row],[tournament]],tournaments_n_rules[],4,0)</f>
        <v>46194</v>
      </c>
      <c r="O1476" s="56">
        <f>VLOOKUP(_stats[[#This Row],[tournament]],tournaments_n_rules[],5,0)</f>
        <v>46265</v>
      </c>
    </row>
    <row r="1477" spans="1:15" x14ac:dyDescent="0.25">
      <c r="A1477" s="6">
        <v>46214</v>
      </c>
      <c r="B1477" s="7">
        <v>2</v>
      </c>
      <c r="C1477" s="7" t="s">
        <v>11</v>
      </c>
      <c r="D1477" s="10" t="str">
        <f>IFERROR(VLOOKUP(_stats[[#This Row],[player_id]],_players[[player_id]:[player_name]],2,0),"")</f>
        <v>Максим Строцкий</v>
      </c>
      <c r="E1477" s="7">
        <v>2</v>
      </c>
      <c r="F1477" s="8">
        <v>3</v>
      </c>
      <c r="G1477" s="10">
        <f>SUMIFS(_teams[wins_on_date],_teams[date],_stats[[#This Row],[date]],_teams[team_number],_stats[[#This Row],[team_number]])</f>
        <v>5</v>
      </c>
      <c r="H1477" s="10">
        <f>SUMIFS(_teams[draws_on_date],_teams[date],_stats[[#This Row],[date]],_teams[team_number],_stats[[#This Row],[team_number]])</f>
        <v>4</v>
      </c>
      <c r="I1477" s="10">
        <v>0</v>
      </c>
      <c r="J1477" s="10">
        <v>0</v>
      </c>
      <c r="K1477" s="10">
        <v>7</v>
      </c>
      <c r="L1477" s="55" t="str">
        <f>VLOOKUP(_stats[[#This Row],[tournament]],tournaments_n_rules[],2,0)</f>
        <v>УПК</v>
      </c>
      <c r="M1477" s="55" t="str">
        <f>VLOOKUP(_stats[[#This Row],[tournament]],tournaments_n_rules[],3,0)</f>
        <v>Лето 2026</v>
      </c>
      <c r="N1477" s="56">
        <f>VLOOKUP(_stats[[#This Row],[tournament]],tournaments_n_rules[],4,0)</f>
        <v>46194</v>
      </c>
      <c r="O1477" s="56">
        <f>VLOOKUP(_stats[[#This Row],[tournament]],tournaments_n_rules[],5,0)</f>
        <v>46265</v>
      </c>
    </row>
    <row r="1478" spans="1:15" x14ac:dyDescent="0.25">
      <c r="A1478" s="6">
        <v>46214</v>
      </c>
      <c r="B1478" s="7">
        <v>3</v>
      </c>
      <c r="C1478" s="7" t="s">
        <v>16</v>
      </c>
      <c r="D1478" s="10" t="str">
        <f>IFERROR(VLOOKUP(_stats[[#This Row],[player_id]],_players[[player_id]:[player_name]],2,0),"")</f>
        <v>Анатолий</v>
      </c>
      <c r="E1478" s="7">
        <v>0</v>
      </c>
      <c r="F1478" s="8">
        <v>0</v>
      </c>
      <c r="G1478" s="10">
        <f>SUMIFS(_teams[wins_on_date],_teams[date],_stats[[#This Row],[date]],_teams[team_number],_stats[[#This Row],[team_number]])</f>
        <v>2</v>
      </c>
      <c r="H1478" s="10">
        <f>SUMIFS(_teams[draws_on_date],_teams[date],_stats[[#This Row],[date]],_teams[team_number],_stats[[#This Row],[team_number]])</f>
        <v>1</v>
      </c>
      <c r="I1478" s="10">
        <v>0</v>
      </c>
      <c r="J1478" s="10">
        <v>0</v>
      </c>
      <c r="K1478" s="10">
        <v>7</v>
      </c>
      <c r="L1478" s="55" t="str">
        <f>VLOOKUP(_stats[[#This Row],[tournament]],tournaments_n_rules[],2,0)</f>
        <v>УПК</v>
      </c>
      <c r="M1478" s="55" t="str">
        <f>VLOOKUP(_stats[[#This Row],[tournament]],tournaments_n_rules[],3,0)</f>
        <v>Лето 2026</v>
      </c>
      <c r="N1478" s="56">
        <f>VLOOKUP(_stats[[#This Row],[tournament]],tournaments_n_rules[],4,0)</f>
        <v>46194</v>
      </c>
      <c r="O1478" s="56">
        <f>VLOOKUP(_stats[[#This Row],[tournament]],tournaments_n_rules[],5,0)</f>
        <v>46265</v>
      </c>
    </row>
    <row r="1479" spans="1:15" x14ac:dyDescent="0.25">
      <c r="A1479" s="6">
        <v>46214</v>
      </c>
      <c r="B1479" s="7">
        <v>2</v>
      </c>
      <c r="C1479" s="7" t="s">
        <v>79</v>
      </c>
      <c r="D1479" s="10" t="str">
        <f>IFERROR(VLOOKUP(_stats[[#This Row],[player_id]],_players[[player_id]:[player_name]],2,0),"")</f>
        <v>Анашкин</v>
      </c>
      <c r="E1479" s="7">
        <v>1</v>
      </c>
      <c r="F1479" s="8">
        <v>0</v>
      </c>
      <c r="G1479" s="10">
        <f>SUMIFS(_teams[wins_on_date],_teams[date],_stats[[#This Row],[date]],_teams[team_number],_stats[[#This Row],[team_number]])</f>
        <v>5</v>
      </c>
      <c r="H1479" s="10">
        <f>SUMIFS(_teams[draws_on_date],_teams[date],_stats[[#This Row],[date]],_teams[team_number],_stats[[#This Row],[team_number]])</f>
        <v>4</v>
      </c>
      <c r="I1479" s="10">
        <v>0</v>
      </c>
      <c r="J1479" s="10">
        <v>0</v>
      </c>
      <c r="K1479" s="10">
        <v>7</v>
      </c>
      <c r="L1479" s="55" t="str">
        <f>VLOOKUP(_stats[[#This Row],[tournament]],tournaments_n_rules[],2,0)</f>
        <v>УПК</v>
      </c>
      <c r="M1479" s="55" t="str">
        <f>VLOOKUP(_stats[[#This Row],[tournament]],tournaments_n_rules[],3,0)</f>
        <v>Лето 2026</v>
      </c>
      <c r="N1479" s="56">
        <f>VLOOKUP(_stats[[#This Row],[tournament]],tournaments_n_rules[],4,0)</f>
        <v>46194</v>
      </c>
      <c r="O1479" s="56">
        <f>VLOOKUP(_stats[[#This Row],[tournament]],tournaments_n_rules[],5,0)</f>
        <v>46265</v>
      </c>
    </row>
    <row r="1480" spans="1:15" x14ac:dyDescent="0.25">
      <c r="A1480" s="6">
        <v>46214</v>
      </c>
      <c r="B1480" s="7">
        <v>3</v>
      </c>
      <c r="C1480" s="7" t="s">
        <v>21</v>
      </c>
      <c r="D1480" s="10" t="str">
        <f>IFERROR(VLOOKUP(_stats[[#This Row],[player_id]],_players[[player_id]:[player_name]],2,0),"")</f>
        <v>Влад</v>
      </c>
      <c r="E1480" s="7">
        <v>0</v>
      </c>
      <c r="F1480" s="8">
        <v>2</v>
      </c>
      <c r="G1480" s="10">
        <f>SUMIFS(_teams[wins_on_date],_teams[date],_stats[[#This Row],[date]],_teams[team_number],_stats[[#This Row],[team_number]])</f>
        <v>2</v>
      </c>
      <c r="H1480" s="10">
        <f>SUMIFS(_teams[draws_on_date],_teams[date],_stats[[#This Row],[date]],_teams[team_number],_stats[[#This Row],[team_number]])</f>
        <v>1</v>
      </c>
      <c r="I1480" s="10">
        <v>0</v>
      </c>
      <c r="J1480" s="10">
        <v>0</v>
      </c>
      <c r="K1480" s="10">
        <v>7</v>
      </c>
      <c r="L1480" s="55" t="str">
        <f>VLOOKUP(_stats[[#This Row],[tournament]],tournaments_n_rules[],2,0)</f>
        <v>УПК</v>
      </c>
      <c r="M1480" s="55" t="str">
        <f>VLOOKUP(_stats[[#This Row],[tournament]],tournaments_n_rules[],3,0)</f>
        <v>Лето 2026</v>
      </c>
      <c r="N1480" s="56">
        <f>VLOOKUP(_stats[[#This Row],[tournament]],tournaments_n_rules[],4,0)</f>
        <v>46194</v>
      </c>
      <c r="O1480" s="56">
        <f>VLOOKUP(_stats[[#This Row],[tournament]],tournaments_n_rules[],5,0)</f>
        <v>46265</v>
      </c>
    </row>
    <row r="1481" spans="1:15" x14ac:dyDescent="0.25">
      <c r="A1481" s="6">
        <v>46214</v>
      </c>
      <c r="B1481" s="7">
        <v>2</v>
      </c>
      <c r="C1481" s="7" t="s">
        <v>27</v>
      </c>
      <c r="D1481" s="10" t="str">
        <f>IFERROR(VLOOKUP(_stats[[#This Row],[player_id]],_players[[player_id]:[player_name]],2,0),"")</f>
        <v>Миша</v>
      </c>
      <c r="E1481" s="7">
        <v>2</v>
      </c>
      <c r="F1481" s="8">
        <v>3</v>
      </c>
      <c r="G1481" s="10">
        <f>SUMIFS(_teams[wins_on_date],_teams[date],_stats[[#This Row],[date]],_teams[team_number],_stats[[#This Row],[team_number]])</f>
        <v>5</v>
      </c>
      <c r="H1481" s="10">
        <f>SUMIFS(_teams[draws_on_date],_teams[date],_stats[[#This Row],[date]],_teams[team_number],_stats[[#This Row],[team_number]])</f>
        <v>4</v>
      </c>
      <c r="I1481" s="10">
        <v>0</v>
      </c>
      <c r="J1481" s="10">
        <v>0</v>
      </c>
      <c r="K1481" s="10">
        <v>7</v>
      </c>
      <c r="L1481" s="55" t="str">
        <f>VLOOKUP(_stats[[#This Row],[tournament]],tournaments_n_rules[],2,0)</f>
        <v>УПК</v>
      </c>
      <c r="M1481" s="55" t="str">
        <f>VLOOKUP(_stats[[#This Row],[tournament]],tournaments_n_rules[],3,0)</f>
        <v>Лето 2026</v>
      </c>
      <c r="N1481" s="56">
        <f>VLOOKUP(_stats[[#This Row],[tournament]],tournaments_n_rules[],4,0)</f>
        <v>46194</v>
      </c>
      <c r="O1481" s="56">
        <f>VLOOKUP(_stats[[#This Row],[tournament]],tournaments_n_rules[],5,0)</f>
        <v>46265</v>
      </c>
    </row>
    <row r="1482" spans="1:15" x14ac:dyDescent="0.25">
      <c r="A1482" s="6">
        <v>46214</v>
      </c>
      <c r="B1482" s="7">
        <v>1</v>
      </c>
      <c r="C1482" s="7" t="s">
        <v>10</v>
      </c>
      <c r="D1482" s="10" t="str">
        <f>IFERROR(VLOOKUP(_stats[[#This Row],[player_id]],_players[[player_id]:[player_name]],2,0),"")</f>
        <v>Тёма</v>
      </c>
      <c r="E1482" s="7">
        <v>0</v>
      </c>
      <c r="F1482" s="8">
        <v>0</v>
      </c>
      <c r="G1482" s="10">
        <f>SUMIFS(_teams[wins_on_date],_teams[date],_stats[[#This Row],[date]],_teams[team_number],_stats[[#This Row],[team_number]])</f>
        <v>1</v>
      </c>
      <c r="H1482" s="10">
        <f>SUMIFS(_teams[draws_on_date],_teams[date],_stats[[#This Row],[date]],_teams[team_number],_stats[[#This Row],[team_number]])</f>
        <v>1</v>
      </c>
      <c r="I1482" s="10">
        <v>0</v>
      </c>
      <c r="J1482" s="10">
        <v>0</v>
      </c>
      <c r="K1482" s="10">
        <v>7</v>
      </c>
      <c r="L1482" s="55" t="str">
        <f>VLOOKUP(_stats[[#This Row],[tournament]],tournaments_n_rules[],2,0)</f>
        <v>УПК</v>
      </c>
      <c r="M1482" s="55" t="str">
        <f>VLOOKUP(_stats[[#This Row],[tournament]],tournaments_n_rules[],3,0)</f>
        <v>Лето 2026</v>
      </c>
      <c r="N1482" s="56">
        <f>VLOOKUP(_stats[[#This Row],[tournament]],tournaments_n_rules[],4,0)</f>
        <v>46194</v>
      </c>
      <c r="O1482" s="56">
        <f>VLOOKUP(_stats[[#This Row],[tournament]],tournaments_n_rules[],5,0)</f>
        <v>46265</v>
      </c>
    </row>
    <row r="1483" spans="1:15" x14ac:dyDescent="0.25">
      <c r="A1483" s="6">
        <v>46214</v>
      </c>
      <c r="B1483" s="7">
        <v>3</v>
      </c>
      <c r="C1483" s="7" t="s">
        <v>42</v>
      </c>
      <c r="D1483" s="10" t="str">
        <f>IFERROR(VLOOKUP(_stats[[#This Row],[player_id]],_players[[player_id]:[player_name]],2,0),"")</f>
        <v>Нурик</v>
      </c>
      <c r="E1483" s="7">
        <v>3</v>
      </c>
      <c r="F1483" s="8">
        <v>0</v>
      </c>
      <c r="G1483" s="10">
        <f>SUMIFS(_teams[wins_on_date],_teams[date],_stats[[#This Row],[date]],_teams[team_number],_stats[[#This Row],[team_number]])</f>
        <v>2</v>
      </c>
      <c r="H1483" s="10">
        <f>SUMIFS(_teams[draws_on_date],_teams[date],_stats[[#This Row],[date]],_teams[team_number],_stats[[#This Row],[team_number]])</f>
        <v>1</v>
      </c>
      <c r="I1483" s="10">
        <v>0</v>
      </c>
      <c r="J1483" s="10">
        <v>0</v>
      </c>
      <c r="K1483" s="10">
        <v>7</v>
      </c>
      <c r="L1483" s="55" t="str">
        <f>VLOOKUP(_stats[[#This Row],[tournament]],tournaments_n_rules[],2,0)</f>
        <v>УПК</v>
      </c>
      <c r="M1483" s="55" t="str">
        <f>VLOOKUP(_stats[[#This Row],[tournament]],tournaments_n_rules[],3,0)</f>
        <v>Лето 2026</v>
      </c>
      <c r="N1483" s="56">
        <f>VLOOKUP(_stats[[#This Row],[tournament]],tournaments_n_rules[],4,0)</f>
        <v>46194</v>
      </c>
      <c r="O1483" s="56">
        <f>VLOOKUP(_stats[[#This Row],[tournament]],tournaments_n_rules[],5,0)</f>
        <v>46265</v>
      </c>
    </row>
    <row r="1484" spans="1:15" x14ac:dyDescent="0.25">
      <c r="A1484" s="6">
        <v>46214</v>
      </c>
      <c r="B1484" s="7">
        <v>1</v>
      </c>
      <c r="C1484" s="7" t="s">
        <v>134</v>
      </c>
      <c r="D1484" s="10" t="str">
        <f>IFERROR(VLOOKUP(_stats[[#This Row],[player_id]],_players[[player_id]:[player_name]],2,0),"")</f>
        <v>Арги</v>
      </c>
      <c r="E1484" s="7">
        <v>4</v>
      </c>
      <c r="F1484" s="8">
        <v>1</v>
      </c>
      <c r="G1484" s="10">
        <f>SUMIFS(_teams[wins_on_date],_teams[date],_stats[[#This Row],[date]],_teams[team_number],_stats[[#This Row],[team_number]])</f>
        <v>1</v>
      </c>
      <c r="H1484" s="10">
        <f>SUMIFS(_teams[draws_on_date],_teams[date],_stats[[#This Row],[date]],_teams[team_number],_stats[[#This Row],[team_number]])</f>
        <v>1</v>
      </c>
      <c r="I1484" s="10">
        <v>0</v>
      </c>
      <c r="J1484" s="10">
        <v>0</v>
      </c>
      <c r="K1484" s="10">
        <v>7</v>
      </c>
      <c r="L1484" s="55" t="str">
        <f>VLOOKUP(_stats[[#This Row],[tournament]],tournaments_n_rules[],2,0)</f>
        <v>УПК</v>
      </c>
      <c r="M1484" s="55" t="str">
        <f>VLOOKUP(_stats[[#This Row],[tournament]],tournaments_n_rules[],3,0)</f>
        <v>Лето 2026</v>
      </c>
      <c r="N1484" s="56">
        <f>VLOOKUP(_stats[[#This Row],[tournament]],tournaments_n_rules[],4,0)</f>
        <v>46194</v>
      </c>
      <c r="O1484" s="56">
        <f>VLOOKUP(_stats[[#This Row],[tournament]],tournaments_n_rules[],5,0)</f>
        <v>46265</v>
      </c>
    </row>
    <row r="1485" spans="1:15" x14ac:dyDescent="0.25">
      <c r="A1485" s="6">
        <v>46214</v>
      </c>
      <c r="B1485" s="7">
        <v>1</v>
      </c>
      <c r="C1485" s="7" t="s">
        <v>12</v>
      </c>
      <c r="D1485" s="10" t="str">
        <f>IFERROR(VLOOKUP(_stats[[#This Row],[player_id]],_players[[player_id]:[player_name]],2,0),"")</f>
        <v>Толя Шлаев</v>
      </c>
      <c r="E1485" s="7">
        <v>0</v>
      </c>
      <c r="F1485" s="8">
        <v>0</v>
      </c>
      <c r="G1485" s="10">
        <f>SUMIFS(_teams[wins_on_date],_teams[date],_stats[[#This Row],[date]],_teams[team_number],_stats[[#This Row],[team_number]])</f>
        <v>1</v>
      </c>
      <c r="H1485" s="10">
        <f>SUMIFS(_teams[draws_on_date],_teams[date],_stats[[#This Row],[date]],_teams[team_number],_stats[[#This Row],[team_number]])</f>
        <v>1</v>
      </c>
      <c r="I1485" s="10">
        <v>0</v>
      </c>
      <c r="J1485" s="10">
        <v>0</v>
      </c>
      <c r="K1485" s="10">
        <v>7</v>
      </c>
      <c r="L1485" s="55" t="str">
        <f>VLOOKUP(_stats[[#This Row],[tournament]],tournaments_n_rules[],2,0)</f>
        <v>УПК</v>
      </c>
      <c r="M1485" s="55" t="str">
        <f>VLOOKUP(_stats[[#This Row],[tournament]],tournaments_n_rules[],3,0)</f>
        <v>Лето 2026</v>
      </c>
      <c r="N1485" s="56">
        <f>VLOOKUP(_stats[[#This Row],[tournament]],tournaments_n_rules[],4,0)</f>
        <v>46194</v>
      </c>
      <c r="O1485" s="56">
        <f>VLOOKUP(_stats[[#This Row],[tournament]],tournaments_n_rules[],5,0)</f>
        <v>46265</v>
      </c>
    </row>
    <row r="1486" spans="1:15" x14ac:dyDescent="0.25">
      <c r="A1486" s="6">
        <v>46214</v>
      </c>
      <c r="B1486" s="7">
        <v>2</v>
      </c>
      <c r="C1486" s="7" t="s">
        <v>22</v>
      </c>
      <c r="D1486" s="10" t="str">
        <f>IFERROR(VLOOKUP(_stats[[#This Row],[player_id]],_players[[player_id]:[player_name]],2,0),"")</f>
        <v>Женя (кипер)</v>
      </c>
      <c r="E1486" s="7">
        <v>0</v>
      </c>
      <c r="F1486" s="8">
        <v>0</v>
      </c>
      <c r="G1486" s="10">
        <f>SUMIFS(_teams[wins_on_date],_teams[date],_stats[[#This Row],[date]],_teams[team_number],_stats[[#This Row],[team_number]])</f>
        <v>5</v>
      </c>
      <c r="H1486" s="10">
        <f>SUMIFS(_teams[draws_on_date],_teams[date],_stats[[#This Row],[date]],_teams[team_number],_stats[[#This Row],[team_number]])</f>
        <v>4</v>
      </c>
      <c r="I1486" s="10">
        <v>6</v>
      </c>
      <c r="J1486" s="10">
        <v>0</v>
      </c>
      <c r="K1486" s="10">
        <v>7</v>
      </c>
      <c r="L1486" s="55" t="str">
        <f>VLOOKUP(_stats[[#This Row],[tournament]],tournaments_n_rules[],2,0)</f>
        <v>УПК</v>
      </c>
      <c r="M1486" s="55" t="str">
        <f>VLOOKUP(_stats[[#This Row],[tournament]],tournaments_n_rules[],3,0)</f>
        <v>Лето 2026</v>
      </c>
      <c r="N1486" s="56">
        <f>VLOOKUP(_stats[[#This Row],[tournament]],tournaments_n_rules[],4,0)</f>
        <v>46194</v>
      </c>
      <c r="O1486" s="56">
        <f>VLOOKUP(_stats[[#This Row],[tournament]],tournaments_n_rules[],5,0)</f>
        <v>46265</v>
      </c>
    </row>
    <row r="1487" spans="1:15" x14ac:dyDescent="0.25">
      <c r="A1487" s="6">
        <v>46214</v>
      </c>
      <c r="B1487" s="7">
        <v>2</v>
      </c>
      <c r="C1487" s="7" t="s">
        <v>185</v>
      </c>
      <c r="D1487" s="10" t="str">
        <f>IFERROR(VLOOKUP(_stats[[#This Row],[player_id]],_players[[player_id]:[player_name]],2,0),"")</f>
        <v>Богдан</v>
      </c>
      <c r="E1487" s="7">
        <v>0</v>
      </c>
      <c r="F1487" s="8">
        <v>0</v>
      </c>
      <c r="G1487" s="10">
        <f>SUMIFS(_teams[wins_on_date],_teams[date],_stats[[#This Row],[date]],_teams[team_number],_stats[[#This Row],[team_number]])</f>
        <v>5</v>
      </c>
      <c r="H1487" s="10">
        <f>SUMIFS(_teams[draws_on_date],_teams[date],_stats[[#This Row],[date]],_teams[team_number],_stats[[#This Row],[team_number]])</f>
        <v>4</v>
      </c>
      <c r="I1487" s="10">
        <v>0</v>
      </c>
      <c r="J1487" s="10">
        <v>0</v>
      </c>
      <c r="K1487" s="10">
        <v>7</v>
      </c>
      <c r="L1487" s="55" t="str">
        <f>VLOOKUP(_stats[[#This Row],[tournament]],tournaments_n_rules[],2,0)</f>
        <v>УПК</v>
      </c>
      <c r="M1487" s="55" t="str">
        <f>VLOOKUP(_stats[[#This Row],[tournament]],tournaments_n_rules[],3,0)</f>
        <v>Лето 2026</v>
      </c>
      <c r="N1487" s="56">
        <f>VLOOKUP(_stats[[#This Row],[tournament]],tournaments_n_rules[],4,0)</f>
        <v>46194</v>
      </c>
      <c r="O1487" s="56">
        <f>VLOOKUP(_stats[[#This Row],[tournament]],tournaments_n_rules[],5,0)</f>
        <v>46265</v>
      </c>
    </row>
    <row r="1488" spans="1:15" x14ac:dyDescent="0.25">
      <c r="A1488" s="6">
        <v>46214</v>
      </c>
      <c r="B1488" s="7">
        <v>2</v>
      </c>
      <c r="C1488" s="7" t="s">
        <v>29</v>
      </c>
      <c r="D1488" s="10" t="str">
        <f>IFERROR(VLOOKUP(_stats[[#This Row],[player_id]],_players[[player_id]:[player_name]],2,0),"")</f>
        <v>Александр Травкин</v>
      </c>
      <c r="E1488" s="7">
        <v>3</v>
      </c>
      <c r="F1488" s="8">
        <v>4</v>
      </c>
      <c r="G1488" s="10">
        <f>SUMIFS(_teams[wins_on_date],_teams[date],_stats[[#This Row],[date]],_teams[team_number],_stats[[#This Row],[team_number]])</f>
        <v>5</v>
      </c>
      <c r="H1488" s="10">
        <f>SUMIFS(_teams[draws_on_date],_teams[date],_stats[[#This Row],[date]],_teams[team_number],_stats[[#This Row],[team_number]])</f>
        <v>4</v>
      </c>
      <c r="I1488" s="10">
        <v>0</v>
      </c>
      <c r="J1488" s="10">
        <v>0</v>
      </c>
      <c r="K1488" s="10">
        <v>7</v>
      </c>
      <c r="L1488" s="55" t="str">
        <f>VLOOKUP(_stats[[#This Row],[tournament]],tournaments_n_rules[],2,0)</f>
        <v>УПК</v>
      </c>
      <c r="M1488" s="55" t="str">
        <f>VLOOKUP(_stats[[#This Row],[tournament]],tournaments_n_rules[],3,0)</f>
        <v>Лето 2026</v>
      </c>
      <c r="N1488" s="56">
        <f>VLOOKUP(_stats[[#This Row],[tournament]],tournaments_n_rules[],4,0)</f>
        <v>46194</v>
      </c>
      <c r="O1488" s="56">
        <f>VLOOKUP(_stats[[#This Row],[tournament]],tournaments_n_rules[],5,0)</f>
        <v>46265</v>
      </c>
    </row>
    <row r="1489" spans="1:15" x14ac:dyDescent="0.25">
      <c r="A1489" s="6">
        <v>46214</v>
      </c>
      <c r="B1489" s="7">
        <v>3</v>
      </c>
      <c r="C1489" s="7" t="s">
        <v>19</v>
      </c>
      <c r="D1489" s="10" t="str">
        <f>IFERROR(VLOOKUP(_stats[[#This Row],[player_id]],_players[[player_id]:[player_name]],2,0),"")</f>
        <v>Сергей Крюков</v>
      </c>
      <c r="E1489" s="7">
        <v>0</v>
      </c>
      <c r="F1489" s="8">
        <v>0</v>
      </c>
      <c r="G1489" s="10">
        <f>SUMIFS(_teams[wins_on_date],_teams[date],_stats[[#This Row],[date]],_teams[team_number],_stats[[#This Row],[team_number]])</f>
        <v>2</v>
      </c>
      <c r="H1489" s="10">
        <f>SUMIFS(_teams[draws_on_date],_teams[date],_stats[[#This Row],[date]],_teams[team_number],_stats[[#This Row],[team_number]])</f>
        <v>1</v>
      </c>
      <c r="I1489" s="10">
        <v>0</v>
      </c>
      <c r="J1489" s="10">
        <v>0</v>
      </c>
      <c r="K1489" s="10">
        <v>7</v>
      </c>
      <c r="L1489" s="55" t="str">
        <f>VLOOKUP(_stats[[#This Row],[tournament]],tournaments_n_rules[],2,0)</f>
        <v>УПК</v>
      </c>
      <c r="M1489" s="55" t="str">
        <f>VLOOKUP(_stats[[#This Row],[tournament]],tournaments_n_rules[],3,0)</f>
        <v>Лето 2026</v>
      </c>
      <c r="N1489" s="56">
        <f>VLOOKUP(_stats[[#This Row],[tournament]],tournaments_n_rules[],4,0)</f>
        <v>46194</v>
      </c>
      <c r="O1489" s="56">
        <f>VLOOKUP(_stats[[#This Row],[tournament]],tournaments_n_rules[],5,0)</f>
        <v>46265</v>
      </c>
    </row>
    <row r="1490" spans="1:15" x14ac:dyDescent="0.25">
      <c r="A1490" s="6">
        <v>46214</v>
      </c>
      <c r="B1490" s="7">
        <v>3</v>
      </c>
      <c r="C1490" s="7" t="s">
        <v>46</v>
      </c>
      <c r="D1490" s="10" t="str">
        <f>IFERROR(VLOOKUP(_stats[[#This Row],[player_id]],_players[[player_id]:[player_name]],2,0),"")</f>
        <v>Игорь (Ник +1)</v>
      </c>
      <c r="E1490" s="7">
        <v>1</v>
      </c>
      <c r="F1490" s="8">
        <v>0</v>
      </c>
      <c r="G1490" s="10">
        <f>SUMIFS(_teams[wins_on_date],_teams[date],_stats[[#This Row],[date]],_teams[team_number],_stats[[#This Row],[team_number]])</f>
        <v>2</v>
      </c>
      <c r="H1490" s="10">
        <f>SUMIFS(_teams[draws_on_date],_teams[date],_stats[[#This Row],[date]],_teams[team_number],_stats[[#This Row],[team_number]])</f>
        <v>1</v>
      </c>
      <c r="I1490" s="10">
        <v>0</v>
      </c>
      <c r="J1490" s="10">
        <v>0</v>
      </c>
      <c r="K1490" s="10">
        <v>7</v>
      </c>
      <c r="L1490" s="55" t="str">
        <f>VLOOKUP(_stats[[#This Row],[tournament]],tournaments_n_rules[],2,0)</f>
        <v>УПК</v>
      </c>
      <c r="M1490" s="55" t="str">
        <f>VLOOKUP(_stats[[#This Row],[tournament]],tournaments_n_rules[],3,0)</f>
        <v>Лето 2026</v>
      </c>
      <c r="N1490" s="56">
        <f>VLOOKUP(_stats[[#This Row],[tournament]],tournaments_n_rules[],4,0)</f>
        <v>46194</v>
      </c>
      <c r="O1490" s="56">
        <f>VLOOKUP(_stats[[#This Row],[tournament]],tournaments_n_rules[],5,0)</f>
        <v>46265</v>
      </c>
    </row>
    <row r="1491" spans="1:15" x14ac:dyDescent="0.25">
      <c r="A1491" s="6">
        <v>46214</v>
      </c>
      <c r="B1491" s="7">
        <v>1</v>
      </c>
      <c r="C1491" s="7" t="s">
        <v>146</v>
      </c>
      <c r="D1491" s="10" t="str">
        <f>IFERROR(VLOOKUP(_stats[[#This Row],[player_id]],_players[[player_id]:[player_name]],2,0),"")</f>
        <v>Антон Копач</v>
      </c>
      <c r="E1491" s="7">
        <v>0</v>
      </c>
      <c r="F1491" s="8">
        <v>1</v>
      </c>
      <c r="G1491" s="10">
        <f>SUMIFS(_teams[wins_on_date],_teams[date],_stats[[#This Row],[date]],_teams[team_number],_stats[[#This Row],[team_number]])</f>
        <v>1</v>
      </c>
      <c r="H1491" s="10">
        <f>SUMIFS(_teams[draws_on_date],_teams[date],_stats[[#This Row],[date]],_teams[team_number],_stats[[#This Row],[team_number]])</f>
        <v>1</v>
      </c>
      <c r="I1491" s="10">
        <v>0</v>
      </c>
      <c r="J1491" s="10">
        <v>0</v>
      </c>
      <c r="K1491" s="10">
        <v>7</v>
      </c>
      <c r="L1491" s="55" t="str">
        <f>VLOOKUP(_stats[[#This Row],[tournament]],tournaments_n_rules[],2,0)</f>
        <v>УПК</v>
      </c>
      <c r="M1491" s="55" t="str">
        <f>VLOOKUP(_stats[[#This Row],[tournament]],tournaments_n_rules[],3,0)</f>
        <v>Лето 2026</v>
      </c>
      <c r="N1491" s="56">
        <f>VLOOKUP(_stats[[#This Row],[tournament]],tournaments_n_rules[],4,0)</f>
        <v>46194</v>
      </c>
      <c r="O1491" s="56">
        <f>VLOOKUP(_stats[[#This Row],[tournament]],tournaments_n_rules[],5,0)</f>
        <v>46265</v>
      </c>
    </row>
    <row r="1492" spans="1:15" x14ac:dyDescent="0.25">
      <c r="A1492" s="6">
        <v>46214</v>
      </c>
      <c r="B1492" s="7">
        <v>3</v>
      </c>
      <c r="C1492" s="7" t="s">
        <v>18</v>
      </c>
      <c r="D1492" s="10" t="str">
        <f>IFERROR(VLOOKUP(_stats[[#This Row],[player_id]],_players[[player_id]:[player_name]],2,0),"")</f>
        <v>Расул</v>
      </c>
      <c r="E1492" s="7">
        <v>1</v>
      </c>
      <c r="F1492" s="8">
        <v>3</v>
      </c>
      <c r="G1492" s="10">
        <f>SUMIFS(_teams[wins_on_date],_teams[date],_stats[[#This Row],[date]],_teams[team_number],_stats[[#This Row],[team_number]])</f>
        <v>2</v>
      </c>
      <c r="H1492" s="10">
        <f>SUMIFS(_teams[draws_on_date],_teams[date],_stats[[#This Row],[date]],_teams[team_number],_stats[[#This Row],[team_number]])</f>
        <v>1</v>
      </c>
      <c r="I1492" s="10">
        <v>0</v>
      </c>
      <c r="J1492" s="10">
        <v>0</v>
      </c>
      <c r="K1492" s="10">
        <v>7</v>
      </c>
      <c r="L1492" s="55" t="str">
        <f>VLOOKUP(_stats[[#This Row],[tournament]],tournaments_n_rules[],2,0)</f>
        <v>УПК</v>
      </c>
      <c r="M1492" s="55" t="str">
        <f>VLOOKUP(_stats[[#This Row],[tournament]],tournaments_n_rules[],3,0)</f>
        <v>Лето 2026</v>
      </c>
      <c r="N1492" s="56">
        <f>VLOOKUP(_stats[[#This Row],[tournament]],tournaments_n_rules[],4,0)</f>
        <v>46194</v>
      </c>
      <c r="O1492" s="56">
        <f>VLOOKUP(_stats[[#This Row],[tournament]],tournaments_n_rules[],5,0)</f>
        <v>46265</v>
      </c>
    </row>
    <row r="1493" spans="1:15" x14ac:dyDescent="0.25">
      <c r="A1493" s="6">
        <v>46214</v>
      </c>
      <c r="B1493" s="7">
        <v>1</v>
      </c>
      <c r="C1493" s="7" t="s">
        <v>216</v>
      </c>
      <c r="D1493" s="10" t="str">
        <f>IFERROR(VLOOKUP(_stats[[#This Row],[player_id]],_players[[player_id]:[player_name]],2,0),"")</f>
        <v>Глеб (УПК)</v>
      </c>
      <c r="E1493" s="7">
        <v>0</v>
      </c>
      <c r="F1493" s="8">
        <v>0</v>
      </c>
      <c r="G1493" s="10">
        <f>SUMIFS(_teams[wins_on_date],_teams[date],_stats[[#This Row],[date]],_teams[team_number],_stats[[#This Row],[team_number]])</f>
        <v>1</v>
      </c>
      <c r="H1493" s="10">
        <f>SUMIFS(_teams[draws_on_date],_teams[date],_stats[[#This Row],[date]],_teams[team_number],_stats[[#This Row],[team_number]])</f>
        <v>1</v>
      </c>
      <c r="I1493" s="10">
        <v>0</v>
      </c>
      <c r="J1493" s="10">
        <v>1</v>
      </c>
      <c r="K1493" s="10">
        <v>7</v>
      </c>
      <c r="L1493" s="55" t="str">
        <f>VLOOKUP(_stats[[#This Row],[tournament]],tournaments_n_rules[],2,0)</f>
        <v>УПК</v>
      </c>
      <c r="M1493" s="55" t="str">
        <f>VLOOKUP(_stats[[#This Row],[tournament]],tournaments_n_rules[],3,0)</f>
        <v>Лето 2026</v>
      </c>
      <c r="N1493" s="56">
        <f>VLOOKUP(_stats[[#This Row],[tournament]],tournaments_n_rules[],4,0)</f>
        <v>46194</v>
      </c>
      <c r="O1493" s="56">
        <f>VLOOKUP(_stats[[#This Row],[tournament]],tournaments_n_rules[],5,0)</f>
        <v>46265</v>
      </c>
    </row>
    <row r="1494" spans="1:15" x14ac:dyDescent="0.25">
      <c r="A1494" s="6">
        <v>46214</v>
      </c>
      <c r="B1494" s="7">
        <v>1</v>
      </c>
      <c r="C1494" s="7" t="s">
        <v>210</v>
      </c>
      <c r="D1494" s="10" t="str">
        <f>IFERROR(VLOOKUP(_stats[[#This Row],[player_id]],_players[[player_id]:[player_name]],2,0),"")</f>
        <v>Эд (УПК)</v>
      </c>
      <c r="E1494" s="7">
        <v>1</v>
      </c>
      <c r="F1494" s="8">
        <v>0</v>
      </c>
      <c r="G1494" s="10">
        <f>SUMIFS(_teams[wins_on_date],_teams[date],_stats[[#This Row],[date]],_teams[team_number],_stats[[#This Row],[team_number]])</f>
        <v>1</v>
      </c>
      <c r="H1494" s="10">
        <f>SUMIFS(_teams[draws_on_date],_teams[date],_stats[[#This Row],[date]],_teams[team_number],_stats[[#This Row],[team_number]])</f>
        <v>1</v>
      </c>
      <c r="I1494" s="10">
        <v>0</v>
      </c>
      <c r="J1494" s="10">
        <v>0</v>
      </c>
      <c r="K1494" s="10">
        <v>7</v>
      </c>
      <c r="L1494" s="55" t="str">
        <f>VLOOKUP(_stats[[#This Row],[tournament]],tournaments_n_rules[],2,0)</f>
        <v>УПК</v>
      </c>
      <c r="M1494" s="55" t="str">
        <f>VLOOKUP(_stats[[#This Row],[tournament]],tournaments_n_rules[],3,0)</f>
        <v>Лето 2026</v>
      </c>
      <c r="N1494" s="56">
        <f>VLOOKUP(_stats[[#This Row],[tournament]],tournaments_n_rules[],4,0)</f>
        <v>46194</v>
      </c>
      <c r="O1494" s="56">
        <f>VLOOKUP(_stats[[#This Row],[tournament]],tournaments_n_rules[],5,0)</f>
        <v>46265</v>
      </c>
    </row>
    <row r="1495" spans="1:15" x14ac:dyDescent="0.25">
      <c r="A1495" s="6">
        <v>46214</v>
      </c>
      <c r="B1495" s="7">
        <v>2</v>
      </c>
      <c r="C1495" s="7" t="s">
        <v>203</v>
      </c>
      <c r="D1495" s="10" t="str">
        <f>IFERROR(VLOOKUP(_stats[[#This Row],[player_id]],_players[[player_id]:[player_name]],2,0),"")</f>
        <v>Саша (1747)</v>
      </c>
      <c r="E1495" s="7">
        <v>0</v>
      </c>
      <c r="F1495" s="8">
        <v>0</v>
      </c>
      <c r="G1495" s="10">
        <f>SUMIFS(_teams[wins_on_date],_teams[date],_stats[[#This Row],[date]],_teams[team_number],_stats[[#This Row],[team_number]])</f>
        <v>5</v>
      </c>
      <c r="H1495" s="10">
        <f>SUMIFS(_teams[draws_on_date],_teams[date],_stats[[#This Row],[date]],_teams[team_number],_stats[[#This Row],[team_number]])</f>
        <v>4</v>
      </c>
      <c r="I1495" s="10">
        <v>0</v>
      </c>
      <c r="J1495" s="10">
        <v>0</v>
      </c>
      <c r="K1495" s="10">
        <v>7</v>
      </c>
      <c r="L1495" s="55" t="str">
        <f>VLOOKUP(_stats[[#This Row],[tournament]],tournaments_n_rules[],2,0)</f>
        <v>УПК</v>
      </c>
      <c r="M1495" s="55" t="str">
        <f>VLOOKUP(_stats[[#This Row],[tournament]],tournaments_n_rules[],3,0)</f>
        <v>Лето 2026</v>
      </c>
      <c r="N1495" s="56">
        <f>VLOOKUP(_stats[[#This Row],[tournament]],tournaments_n_rules[],4,0)</f>
        <v>46194</v>
      </c>
      <c r="O1495" s="56">
        <f>VLOOKUP(_stats[[#This Row],[tournament]],tournaments_n_rules[],5,0)</f>
        <v>46265</v>
      </c>
    </row>
  </sheetData>
  <phoneticPr fontId="7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208"/>
  <sheetViews>
    <sheetView topLeftCell="A176" workbookViewId="0">
      <selection activeCell="E208" sqref="E208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  <row r="188" spans="1:9" x14ac:dyDescent="0.25">
      <c r="A188" s="13">
        <v>46194</v>
      </c>
      <c r="B188" s="7">
        <v>1</v>
      </c>
      <c r="C188" s="8">
        <v>0</v>
      </c>
      <c r="D188" s="8">
        <v>2</v>
      </c>
      <c r="E188" s="7">
        <v>7</v>
      </c>
      <c r="F188" s="55" t="str">
        <f>VLOOKUP(_teams[[#This Row],[tournament]],tournaments_n_rules[],2,0)</f>
        <v>УПК</v>
      </c>
      <c r="G188" s="55" t="str">
        <f>VLOOKUP(_teams[[#This Row],[tournament]],tournaments_n_rules[],3,0)</f>
        <v>Лето 2026</v>
      </c>
      <c r="H188" s="56">
        <f>VLOOKUP(_teams[[#This Row],[tournament]],tournaments_n_rules[],4,0)</f>
        <v>46194</v>
      </c>
      <c r="I188" s="56">
        <f>VLOOKUP(_teams[[#This Row],[tournament]],tournaments_n_rules[],5,0)</f>
        <v>46265</v>
      </c>
    </row>
    <row r="189" spans="1:9" x14ac:dyDescent="0.25">
      <c r="A189" s="13">
        <v>46194</v>
      </c>
      <c r="B189" s="7">
        <v>2</v>
      </c>
      <c r="C189" s="8">
        <v>4</v>
      </c>
      <c r="D189" s="8">
        <v>1</v>
      </c>
      <c r="E189" s="7">
        <v>7</v>
      </c>
      <c r="F189" s="55" t="str">
        <f>VLOOKUP(_teams[[#This Row],[tournament]],tournaments_n_rules[],2,0)</f>
        <v>УПК</v>
      </c>
      <c r="G189" s="55" t="str">
        <f>VLOOKUP(_teams[[#This Row],[tournament]],tournaments_n_rules[],3,0)</f>
        <v>Лето 2026</v>
      </c>
      <c r="H189" s="56">
        <f>VLOOKUP(_teams[[#This Row],[tournament]],tournaments_n_rules[],4,0)</f>
        <v>46194</v>
      </c>
      <c r="I189" s="56">
        <f>VLOOKUP(_teams[[#This Row],[tournament]],tournaments_n_rules[],5,0)</f>
        <v>46265</v>
      </c>
    </row>
    <row r="190" spans="1:9" x14ac:dyDescent="0.25">
      <c r="A190" s="13">
        <v>46194</v>
      </c>
      <c r="B190" s="7">
        <v>3</v>
      </c>
      <c r="C190" s="8">
        <v>7</v>
      </c>
      <c r="D190" s="8">
        <v>1</v>
      </c>
      <c r="E190" s="7">
        <v>7</v>
      </c>
      <c r="F190" s="55" t="str">
        <f>VLOOKUP(_teams[[#This Row],[tournament]],tournaments_n_rules[],2,0)</f>
        <v>УПК</v>
      </c>
      <c r="G190" s="55" t="str">
        <f>VLOOKUP(_teams[[#This Row],[tournament]],tournaments_n_rules[],3,0)</f>
        <v>Лето 2026</v>
      </c>
      <c r="H190" s="56">
        <f>VLOOKUP(_teams[[#This Row],[tournament]],tournaments_n_rules[],4,0)</f>
        <v>46194</v>
      </c>
      <c r="I190" s="56">
        <f>VLOOKUP(_teams[[#This Row],[tournament]],tournaments_n_rules[],5,0)</f>
        <v>46265</v>
      </c>
    </row>
    <row r="191" spans="1:9" x14ac:dyDescent="0.25">
      <c r="A191" s="13">
        <v>46198</v>
      </c>
      <c r="B191" s="7">
        <v>1</v>
      </c>
      <c r="C191" s="8">
        <v>4</v>
      </c>
      <c r="D191" s="8">
        <v>2</v>
      </c>
      <c r="E191" s="7">
        <v>7</v>
      </c>
      <c r="F191" s="55" t="str">
        <f>VLOOKUP(_teams[[#This Row],[tournament]],tournaments_n_rules[],2,0)</f>
        <v>УПК</v>
      </c>
      <c r="G191" s="55" t="str">
        <f>VLOOKUP(_teams[[#This Row],[tournament]],tournaments_n_rules[],3,0)</f>
        <v>Лето 2026</v>
      </c>
      <c r="H191" s="56">
        <f>VLOOKUP(_teams[[#This Row],[tournament]],tournaments_n_rules[],4,0)</f>
        <v>46194</v>
      </c>
      <c r="I191" s="56">
        <f>VLOOKUP(_teams[[#This Row],[tournament]],tournaments_n_rules[],5,0)</f>
        <v>46265</v>
      </c>
    </row>
    <row r="192" spans="1:9" x14ac:dyDescent="0.25">
      <c r="A192" s="13">
        <v>46198</v>
      </c>
      <c r="B192" s="7">
        <v>2</v>
      </c>
      <c r="C192" s="8">
        <v>2</v>
      </c>
      <c r="D192" s="8">
        <v>3</v>
      </c>
      <c r="E192" s="7">
        <v>7</v>
      </c>
      <c r="F192" s="55" t="str">
        <f>VLOOKUP(_teams[[#This Row],[tournament]],tournaments_n_rules[],2,0)</f>
        <v>УПК</v>
      </c>
      <c r="G192" s="55" t="str">
        <f>VLOOKUP(_teams[[#This Row],[tournament]],tournaments_n_rules[],3,0)</f>
        <v>Лето 2026</v>
      </c>
      <c r="H192" s="56">
        <f>VLOOKUP(_teams[[#This Row],[tournament]],tournaments_n_rules[],4,0)</f>
        <v>46194</v>
      </c>
      <c r="I192" s="56">
        <f>VLOOKUP(_teams[[#This Row],[tournament]],tournaments_n_rules[],5,0)</f>
        <v>46265</v>
      </c>
    </row>
    <row r="193" spans="1:9" x14ac:dyDescent="0.25">
      <c r="A193" s="13">
        <v>46198</v>
      </c>
      <c r="B193" s="7">
        <v>3</v>
      </c>
      <c r="C193" s="8">
        <v>2</v>
      </c>
      <c r="D193" s="8">
        <v>1</v>
      </c>
      <c r="E193" s="7">
        <v>7</v>
      </c>
      <c r="F193" s="55" t="str">
        <f>VLOOKUP(_teams[[#This Row],[tournament]],tournaments_n_rules[],2,0)</f>
        <v>УПК</v>
      </c>
      <c r="G193" s="55" t="str">
        <f>VLOOKUP(_teams[[#This Row],[tournament]],tournaments_n_rules[],3,0)</f>
        <v>Лето 2026</v>
      </c>
      <c r="H193" s="56">
        <f>VLOOKUP(_teams[[#This Row],[tournament]],tournaments_n_rules[],4,0)</f>
        <v>46194</v>
      </c>
      <c r="I193" s="56">
        <f>VLOOKUP(_teams[[#This Row],[tournament]],tournaments_n_rules[],5,0)</f>
        <v>46265</v>
      </c>
    </row>
    <row r="194" spans="1:9" x14ac:dyDescent="0.25">
      <c r="A194" s="13">
        <v>46201</v>
      </c>
      <c r="B194" s="7">
        <v>1</v>
      </c>
      <c r="C194" s="8">
        <v>2</v>
      </c>
      <c r="D194" s="8">
        <v>1</v>
      </c>
      <c r="E194" s="7">
        <v>7</v>
      </c>
      <c r="F194" s="55" t="str">
        <f>VLOOKUP(_teams[[#This Row],[tournament]],tournaments_n_rules[],2,0)</f>
        <v>УПК</v>
      </c>
      <c r="G194" s="55" t="str">
        <f>VLOOKUP(_teams[[#This Row],[tournament]],tournaments_n_rules[],3,0)</f>
        <v>Лето 2026</v>
      </c>
      <c r="H194" s="56">
        <f>VLOOKUP(_teams[[#This Row],[tournament]],tournaments_n_rules[],4,0)</f>
        <v>46194</v>
      </c>
      <c r="I194" s="56">
        <f>VLOOKUP(_teams[[#This Row],[tournament]],tournaments_n_rules[],5,0)</f>
        <v>46265</v>
      </c>
    </row>
    <row r="195" spans="1:9" x14ac:dyDescent="0.25">
      <c r="A195" s="13">
        <v>46201</v>
      </c>
      <c r="B195" s="7">
        <v>2</v>
      </c>
      <c r="C195" s="8">
        <v>2</v>
      </c>
      <c r="D195" s="8">
        <v>0</v>
      </c>
      <c r="E195" s="7">
        <v>7</v>
      </c>
      <c r="F195" s="55" t="str">
        <f>VLOOKUP(_teams[[#This Row],[tournament]],tournaments_n_rules[],2,0)</f>
        <v>УПК</v>
      </c>
      <c r="G195" s="55" t="str">
        <f>VLOOKUP(_teams[[#This Row],[tournament]],tournaments_n_rules[],3,0)</f>
        <v>Лето 2026</v>
      </c>
      <c r="H195" s="56">
        <f>VLOOKUP(_teams[[#This Row],[tournament]],tournaments_n_rules[],4,0)</f>
        <v>46194</v>
      </c>
      <c r="I195" s="56">
        <f>VLOOKUP(_teams[[#This Row],[tournament]],tournaments_n_rules[],5,0)</f>
        <v>46265</v>
      </c>
    </row>
    <row r="196" spans="1:9" x14ac:dyDescent="0.25">
      <c r="A196" s="13">
        <v>46201</v>
      </c>
      <c r="B196" s="7">
        <v>3</v>
      </c>
      <c r="C196" s="8">
        <v>10</v>
      </c>
      <c r="D196" s="8">
        <v>1</v>
      </c>
      <c r="E196" s="7">
        <v>7</v>
      </c>
      <c r="F196" s="55" t="str">
        <f>VLOOKUP(_teams[[#This Row],[tournament]],tournaments_n_rules[],2,0)</f>
        <v>УПК</v>
      </c>
      <c r="G196" s="55" t="str">
        <f>VLOOKUP(_teams[[#This Row],[tournament]],tournaments_n_rules[],3,0)</f>
        <v>Лето 2026</v>
      </c>
      <c r="H196" s="56">
        <f>VLOOKUP(_teams[[#This Row],[tournament]],tournaments_n_rules[],4,0)</f>
        <v>46194</v>
      </c>
      <c r="I196" s="56">
        <f>VLOOKUP(_teams[[#This Row],[tournament]],tournaments_n_rules[],5,0)</f>
        <v>46265</v>
      </c>
    </row>
    <row r="197" spans="1:9" x14ac:dyDescent="0.25">
      <c r="A197" s="13">
        <v>46201</v>
      </c>
      <c r="B197" s="7">
        <v>4</v>
      </c>
      <c r="C197" s="8">
        <v>1</v>
      </c>
      <c r="D197" s="8">
        <v>0</v>
      </c>
      <c r="E197" s="7">
        <v>7</v>
      </c>
      <c r="F197" s="55" t="str">
        <f>VLOOKUP(_teams[[#This Row],[tournament]],tournaments_n_rules[],2,0)</f>
        <v>УПК</v>
      </c>
      <c r="G197" s="55" t="str">
        <f>VLOOKUP(_teams[[#This Row],[tournament]],tournaments_n_rules[],3,0)</f>
        <v>Лето 2026</v>
      </c>
      <c r="H197" s="56">
        <f>VLOOKUP(_teams[[#This Row],[tournament]],tournaments_n_rules[],4,0)</f>
        <v>46194</v>
      </c>
      <c r="I197" s="56">
        <f>VLOOKUP(_teams[[#This Row],[tournament]],tournaments_n_rules[],5,0)</f>
        <v>46265</v>
      </c>
    </row>
    <row r="198" spans="1:9" x14ac:dyDescent="0.25">
      <c r="A198" s="13">
        <v>46208</v>
      </c>
      <c r="B198" s="7">
        <v>1</v>
      </c>
      <c r="C198" s="8">
        <v>2</v>
      </c>
      <c r="D198" s="8">
        <v>2</v>
      </c>
      <c r="E198" s="7">
        <v>7</v>
      </c>
      <c r="F198" s="55" t="str">
        <f>VLOOKUP(_teams[[#This Row],[tournament]],tournaments_n_rules[],2,0)</f>
        <v>УПК</v>
      </c>
      <c r="G198" s="55" t="str">
        <f>VLOOKUP(_teams[[#This Row],[tournament]],tournaments_n_rules[],3,0)</f>
        <v>Лето 2026</v>
      </c>
      <c r="H198" s="56">
        <f>VLOOKUP(_teams[[#This Row],[tournament]],tournaments_n_rules[],4,0)</f>
        <v>46194</v>
      </c>
      <c r="I198" s="56">
        <f>VLOOKUP(_teams[[#This Row],[tournament]],tournaments_n_rules[],5,0)</f>
        <v>46265</v>
      </c>
    </row>
    <row r="199" spans="1:9" x14ac:dyDescent="0.25">
      <c r="A199" s="13">
        <v>46208</v>
      </c>
      <c r="B199" s="7">
        <v>2</v>
      </c>
      <c r="C199" s="8">
        <v>3</v>
      </c>
      <c r="D199" s="8">
        <v>1</v>
      </c>
      <c r="E199" s="7">
        <v>7</v>
      </c>
      <c r="F199" s="55" t="str">
        <f>VLOOKUP(_teams[[#This Row],[tournament]],tournaments_n_rules[],2,0)</f>
        <v>УПК</v>
      </c>
      <c r="G199" s="55" t="str">
        <f>VLOOKUP(_teams[[#This Row],[tournament]],tournaments_n_rules[],3,0)</f>
        <v>Лето 2026</v>
      </c>
      <c r="H199" s="56">
        <f>VLOOKUP(_teams[[#This Row],[tournament]],tournaments_n_rules[],4,0)</f>
        <v>46194</v>
      </c>
      <c r="I199" s="56">
        <f>VLOOKUP(_teams[[#This Row],[tournament]],tournaments_n_rules[],5,0)</f>
        <v>46265</v>
      </c>
    </row>
    <row r="200" spans="1:9" x14ac:dyDescent="0.25">
      <c r="A200" s="13">
        <v>46208</v>
      </c>
      <c r="B200" s="7">
        <v>3</v>
      </c>
      <c r="C200" s="8">
        <v>4</v>
      </c>
      <c r="D200" s="8">
        <v>2</v>
      </c>
      <c r="E200" s="7">
        <v>7</v>
      </c>
      <c r="F200" s="55" t="str">
        <f>VLOOKUP(_teams[[#This Row],[tournament]],tournaments_n_rules[],2,0)</f>
        <v>УПК</v>
      </c>
      <c r="G200" s="55" t="str">
        <f>VLOOKUP(_teams[[#This Row],[tournament]],tournaments_n_rules[],3,0)</f>
        <v>Лето 2026</v>
      </c>
      <c r="H200" s="56">
        <f>VLOOKUP(_teams[[#This Row],[tournament]],tournaments_n_rules[],4,0)</f>
        <v>46194</v>
      </c>
      <c r="I200" s="56">
        <f>VLOOKUP(_teams[[#This Row],[tournament]],tournaments_n_rules[],5,0)</f>
        <v>46265</v>
      </c>
    </row>
    <row r="201" spans="1:9" x14ac:dyDescent="0.25">
      <c r="A201" s="13">
        <v>46212</v>
      </c>
      <c r="B201" s="7">
        <v>1</v>
      </c>
      <c r="C201" s="8">
        <v>3</v>
      </c>
      <c r="D201" s="8">
        <v>1</v>
      </c>
      <c r="E201" s="7">
        <v>7</v>
      </c>
      <c r="F201" s="55" t="str">
        <f>VLOOKUP(_teams[[#This Row],[tournament]],tournaments_n_rules[],2,0)</f>
        <v>УПК</v>
      </c>
      <c r="G201" s="55" t="str">
        <f>VLOOKUP(_teams[[#This Row],[tournament]],tournaments_n_rules[],3,0)</f>
        <v>Лето 2026</v>
      </c>
      <c r="H201" s="56">
        <f>VLOOKUP(_teams[[#This Row],[tournament]],tournaments_n_rules[],4,0)</f>
        <v>46194</v>
      </c>
      <c r="I201" s="56">
        <f>VLOOKUP(_teams[[#This Row],[tournament]],tournaments_n_rules[],5,0)</f>
        <v>46265</v>
      </c>
    </row>
    <row r="202" spans="1:9" x14ac:dyDescent="0.25">
      <c r="A202" s="13">
        <v>46212</v>
      </c>
      <c r="B202" s="7">
        <v>2</v>
      </c>
      <c r="C202" s="8">
        <v>5</v>
      </c>
      <c r="D202" s="8">
        <v>1</v>
      </c>
      <c r="E202" s="7">
        <v>7</v>
      </c>
      <c r="F202" s="55" t="str">
        <f>VLOOKUP(_teams[[#This Row],[tournament]],tournaments_n_rules[],2,0)</f>
        <v>УПК</v>
      </c>
      <c r="G202" s="55" t="str">
        <f>VLOOKUP(_teams[[#This Row],[tournament]],tournaments_n_rules[],3,0)</f>
        <v>Лето 2026</v>
      </c>
      <c r="H202" s="56">
        <f>VLOOKUP(_teams[[#This Row],[tournament]],tournaments_n_rules[],4,0)</f>
        <v>46194</v>
      </c>
      <c r="I202" s="56">
        <f>VLOOKUP(_teams[[#This Row],[tournament]],tournaments_n_rules[],5,0)</f>
        <v>46265</v>
      </c>
    </row>
    <row r="203" spans="1:9" x14ac:dyDescent="0.25">
      <c r="A203" s="13">
        <v>46212</v>
      </c>
      <c r="B203" s="7">
        <v>3</v>
      </c>
      <c r="C203" s="8">
        <v>4</v>
      </c>
      <c r="D203" s="8">
        <v>2</v>
      </c>
      <c r="E203" s="7">
        <v>7</v>
      </c>
      <c r="F203" s="55" t="str">
        <f>VLOOKUP(_teams[[#This Row],[tournament]],tournaments_n_rules[],2,0)</f>
        <v>УПК</v>
      </c>
      <c r="G203" s="55" t="str">
        <f>VLOOKUP(_teams[[#This Row],[tournament]],tournaments_n_rules[],3,0)</f>
        <v>Лето 2026</v>
      </c>
      <c r="H203" s="56">
        <f>VLOOKUP(_teams[[#This Row],[tournament]],tournaments_n_rules[],4,0)</f>
        <v>46194</v>
      </c>
      <c r="I203" s="56">
        <f>VLOOKUP(_teams[[#This Row],[tournament]],tournaments_n_rules[],5,0)</f>
        <v>46265</v>
      </c>
    </row>
    <row r="204" spans="1:9" x14ac:dyDescent="0.25">
      <c r="A204" s="13">
        <v>46212</v>
      </c>
      <c r="B204" s="7">
        <v>4</v>
      </c>
      <c r="C204" s="8">
        <v>2</v>
      </c>
      <c r="D204" s="8">
        <v>0</v>
      </c>
      <c r="E204" s="7">
        <v>7</v>
      </c>
      <c r="F204" s="55" t="str">
        <f>VLOOKUP(_teams[[#This Row],[tournament]],tournaments_n_rules[],2,0)</f>
        <v>УПК</v>
      </c>
      <c r="G204" s="55" t="str">
        <f>VLOOKUP(_teams[[#This Row],[tournament]],tournaments_n_rules[],3,0)</f>
        <v>Лето 2026</v>
      </c>
      <c r="H204" s="56">
        <f>VLOOKUP(_teams[[#This Row],[tournament]],tournaments_n_rules[],4,0)</f>
        <v>46194</v>
      </c>
      <c r="I204" s="56">
        <f>VLOOKUP(_teams[[#This Row],[tournament]],tournaments_n_rules[],5,0)</f>
        <v>46265</v>
      </c>
    </row>
    <row r="205" spans="1:9" x14ac:dyDescent="0.25">
      <c r="A205" s="13">
        <v>46212</v>
      </c>
      <c r="B205" s="7">
        <v>5</v>
      </c>
      <c r="C205" s="8">
        <v>1</v>
      </c>
      <c r="D205" s="8">
        <v>0</v>
      </c>
      <c r="E205" s="7">
        <v>7</v>
      </c>
      <c r="F205" s="55" t="str">
        <f>VLOOKUP(_teams[[#This Row],[tournament]],tournaments_n_rules[],2,0)</f>
        <v>УПК</v>
      </c>
      <c r="G205" s="55" t="str">
        <f>VLOOKUP(_teams[[#This Row],[tournament]],tournaments_n_rules[],3,0)</f>
        <v>Лето 2026</v>
      </c>
      <c r="H205" s="56">
        <f>VLOOKUP(_teams[[#This Row],[tournament]],tournaments_n_rules[],4,0)</f>
        <v>46194</v>
      </c>
      <c r="I205" s="56">
        <f>VLOOKUP(_teams[[#This Row],[tournament]],tournaments_n_rules[],5,0)</f>
        <v>46265</v>
      </c>
    </row>
    <row r="206" spans="1:9" x14ac:dyDescent="0.25">
      <c r="A206" s="13">
        <v>46214</v>
      </c>
      <c r="B206" s="7">
        <v>1</v>
      </c>
      <c r="C206" s="8">
        <v>1</v>
      </c>
      <c r="D206" s="8">
        <v>1</v>
      </c>
      <c r="E206" s="7">
        <v>7</v>
      </c>
      <c r="F206" s="55" t="str">
        <f>VLOOKUP(_teams[[#This Row],[tournament]],tournaments_n_rules[],2,0)</f>
        <v>УПК</v>
      </c>
      <c r="G206" s="55" t="str">
        <f>VLOOKUP(_teams[[#This Row],[tournament]],tournaments_n_rules[],3,0)</f>
        <v>Лето 2026</v>
      </c>
      <c r="H206" s="56">
        <f>VLOOKUP(_teams[[#This Row],[tournament]],tournaments_n_rules[],4,0)</f>
        <v>46194</v>
      </c>
      <c r="I206" s="56">
        <f>VLOOKUP(_teams[[#This Row],[tournament]],tournaments_n_rules[],5,0)</f>
        <v>46265</v>
      </c>
    </row>
    <row r="207" spans="1:9" x14ac:dyDescent="0.25">
      <c r="A207" s="13">
        <v>46214</v>
      </c>
      <c r="B207" s="7">
        <v>2</v>
      </c>
      <c r="C207" s="8">
        <v>5</v>
      </c>
      <c r="D207" s="8">
        <v>4</v>
      </c>
      <c r="E207" s="7">
        <v>7</v>
      </c>
      <c r="F207" s="55" t="str">
        <f>VLOOKUP(_teams[[#This Row],[tournament]],tournaments_n_rules[],2,0)</f>
        <v>УПК</v>
      </c>
      <c r="G207" s="55" t="str">
        <f>VLOOKUP(_teams[[#This Row],[tournament]],tournaments_n_rules[],3,0)</f>
        <v>Лето 2026</v>
      </c>
      <c r="H207" s="56">
        <f>VLOOKUP(_teams[[#This Row],[tournament]],tournaments_n_rules[],4,0)</f>
        <v>46194</v>
      </c>
      <c r="I207" s="56">
        <f>VLOOKUP(_teams[[#This Row],[tournament]],tournaments_n_rules[],5,0)</f>
        <v>46265</v>
      </c>
    </row>
    <row r="208" spans="1:9" x14ac:dyDescent="0.25">
      <c r="A208" s="13">
        <v>46214</v>
      </c>
      <c r="B208" s="7">
        <v>3</v>
      </c>
      <c r="C208" s="8">
        <v>2</v>
      </c>
      <c r="D208" s="8">
        <v>1</v>
      </c>
      <c r="E208" s="7">
        <v>7</v>
      </c>
      <c r="F208" s="55" t="str">
        <f>VLOOKUP(_teams[[#This Row],[tournament]],tournaments_n_rules[],2,0)</f>
        <v>УПК</v>
      </c>
      <c r="G208" s="55" t="str">
        <f>VLOOKUP(_teams[[#This Row],[tournament]],tournaments_n_rules[],3,0)</f>
        <v>Лето 2026</v>
      </c>
      <c r="H208" s="56">
        <f>VLOOKUP(_teams[[#This Row],[tournament]],tournaments_n_rules[],4,0)</f>
        <v>46194</v>
      </c>
      <c r="I208" s="56">
        <f>VLOOKUP(_teams[[#This Row],[tournament]],tournaments_n_rules[],5,0)</f>
        <v>46265</v>
      </c>
    </row>
  </sheetData>
  <dataValidations count="1">
    <dataValidation type="list" allowBlank="1" showInputMessage="1" showErrorMessage="1" sqref="B2:B208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8"/>
  <sheetViews>
    <sheetView workbookViewId="0">
      <selection activeCell="D21" sqref="D21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  <row r="8" spans="1:11" x14ac:dyDescent="0.25">
      <c r="A8" s="46">
        <f>ROW()-1</f>
        <v>7</v>
      </c>
      <c r="B8" s="45" t="s">
        <v>103</v>
      </c>
      <c r="C8" s="45" t="s">
        <v>187</v>
      </c>
      <c r="D8" s="47">
        <v>46194</v>
      </c>
      <c r="E8" s="47">
        <v>46265</v>
      </c>
      <c r="F8" s="7">
        <v>1</v>
      </c>
      <c r="G8" s="7">
        <v>1</v>
      </c>
      <c r="H8" s="7">
        <v>2</v>
      </c>
      <c r="I8" s="7">
        <v>1</v>
      </c>
      <c r="J8" s="7">
        <v>1</v>
      </c>
      <c r="K8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foxhatenoobs</cp:lastModifiedBy>
  <dcterms:created xsi:type="dcterms:W3CDTF">2015-06-05T18:19:34Z</dcterms:created>
  <dcterms:modified xsi:type="dcterms:W3CDTF">2026-07-11T18:32:56Z</dcterms:modified>
</cp:coreProperties>
</file>