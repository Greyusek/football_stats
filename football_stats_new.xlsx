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9F74BEED-A1A8-431B-8B9D-A14D42F357E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61" i="2" l="1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F143" i="1" s="1"/>
  <c r="D1200" i="2"/>
  <c r="G1200" i="2"/>
  <c r="H1200" i="2"/>
  <c r="D1199" i="2"/>
  <c r="G1199" i="2"/>
  <c r="E142" i="1" s="1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31" i="1" l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<sst xmlns="http://schemas.openxmlformats.org/spreadsheetml/2006/main" count="1622" uniqueCount="184">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</sst>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6" totalsRowShown="0" headerRowDxfId="59" headerRowBorderDxfId="58" tableBorderDxfId="57" totalsRowBorderDxfId="56">
  <autoFilter ref="A1:G146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79" totalsRowShown="0" headerRowDxfId="48" dataDxfId="46" headerRowBorderDxfId="47" tableBorderDxfId="45" totalsRowBorderDxfId="44">
  <autoFilter ref="A1:O1279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80" totalsRowShown="0" headerRowDxfId="28" dataDxfId="26" headerRowBorderDxfId="27" tableBorderDxfId="25" totalsRowBorderDxfId="24">
  <autoFilter ref="A1:I180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6"/>
  <sheetViews>
    <sheetView topLeftCell="A13" workbookViewId="0">
      <selection activeCell="A13" sqref="A13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96</v>
      </c>
      <c r="D2" s="19">
        <f>SUMIFS(_stats[assists_on_date],_stats[player_id],_players[[#This Row],[player_id]])</f>
        <v>35</v>
      </c>
      <c r="E2" s="19">
        <f>SUMIFS(_stats[wins_on_date],_stats[player_id],_players[[#This Row],[player_id]])</f>
        <v>116</v>
      </c>
      <c r="F2" s="20">
        <f>SUMIFS(_stats[draws_on_date],_stats[player_id],_players[[#This Row],[player_id]])</f>
        <v>16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36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172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108</v>
      </c>
      <c r="F5" s="22">
        <f>SUMIFS(_stats[draws_on_date],_stats[player_id],_players[[#This Row],[player_id]])</f>
        <v>11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40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149</v>
      </c>
      <c r="F8" s="12">
        <f>SUMIFS(_stats[draws_on_date],_stats[player_id],_players[[#This Row],[player_id]])</f>
        <v>36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68</v>
      </c>
      <c r="D12" s="16">
        <f>SUMIFS(_stats[assists_on_date],_stats[player_id],_players[[#This Row],[player_id]])</f>
        <v>75</v>
      </c>
      <c r="E12" s="16">
        <f>SUMIFS(_stats[wins_on_date],_stats[player_id],_players[[#This Row],[player_id]])</f>
        <v>135</v>
      </c>
      <c r="F12" s="17">
        <f>SUMIFS(_stats[draws_on_date],_stats[player_id],_players[[#This Row],[player_id]])</f>
        <v>39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149</v>
      </c>
      <c r="F14" s="12">
        <f>SUMIFS(_stats[draws_on_date],_stats[player_id],_players[[#This Row],[player_id]])</f>
        <v>35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73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35</v>
      </c>
      <c r="E18" s="11">
        <f>SUMIFS(_stats[wins_on_date],_stats[player_id],_players[[#This Row],[player_id]])</f>
        <v>104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109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122</v>
      </c>
      <c r="F21" s="12">
        <f>SUMIFS(_stats[draws_on_date],_stats[player_id],_players[[#This Row],[player_id]])</f>
        <v>31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117</v>
      </c>
      <c r="F22" s="17">
        <f>SUMIFS(_stats[draws_on_date],_stats[player_id],_players[[#This Row],[player_id]])</f>
        <v>22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24</v>
      </c>
      <c r="E25" s="11">
        <f>SUMIFS(_stats[wins_on_date],_stats[player_id],_players[[#This Row],[player_id]])</f>
        <v>112</v>
      </c>
      <c r="F25" s="12">
        <f>SUMIFS(_stats[draws_on_date],_stats[player_id],_players[[#This Row],[player_id]])</f>
        <v>34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79</v>
      </c>
      <c r="F35" s="17">
        <f>SUMIFS(_stats[draws_on_date],_stats[player_id],_players[[#This Row],[player_id]])</f>
        <v>24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61</v>
      </c>
      <c r="F37" s="12">
        <f>SUMIFS(_stats[draws_on_date],_stats[player_id],_players[[#This Row],[player_id]])</f>
        <v>18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18</v>
      </c>
      <c r="E38" s="11">
        <f>SUMIFS(_stats[wins_on_date],_stats[player_id],_players[[#This Row],[player_id]])</f>
        <v>64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154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76</v>
      </c>
      <c r="F41" s="12">
        <f>SUMIFS(_stats[draws_on_date],_stats[player_id],_players[[#This Row],[player_id]])</f>
        <v>25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44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40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97</v>
      </c>
      <c r="F64" s="18">
        <f>SUMIFS(_stats[draws_on_date],_stats[player_id],_players[[#This Row],[player_id]])</f>
        <v>26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42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41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13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5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4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2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6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25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51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17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4</v>
      </c>
      <c r="F131" s="18">
        <f>SUMIFS(_stats[draws_on_date],_stats[player_id],_players[[#This Row],[player_id]])</f>
        <v>3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1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7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79"/>
  <sheetViews>
    <sheetView tabSelected="1" topLeftCell="A1240" zoomScale="85" zoomScaleNormal="85" workbookViewId="0">
      <selection activeCell="J1278" sqref="J1278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3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3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3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1</v>
      </c>
      <c r="F1254" s="8">
        <v>2</v>
      </c>
      <c r="G1254" s="10">
        <f>SUMIFS(_teams[wins_on_date],_teams[date],_stats[[#This Row],[date]],_teams[team_number],_stats[[#This Row],[team_number]])</f>
        <v>3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127</v>
      </c>
      <c r="D1257" s="10" t="str">
        <f>IFERROR(VLOOKUP(_stats[[#This Row],[player_id]],_players[[player_id]:[player_name]],2,0),"")</f>
        <v>Рома Ефремов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3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3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3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3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80"/>
  <sheetViews>
    <sheetView topLeftCell="A155" workbookViewId="0">
      <selection activeCell="E179" sqref="E179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3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8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2026-05-24T12:16:54Z</dcterms:modified>
</cp:coreProperties>
</file>