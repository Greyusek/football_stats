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v\football_stats\"/>
    </mc:Choice>
  </mc:AlternateContent>
  <xr:revisionPtr revIDLastSave="0" documentId="13_ncr:1_{928E1B2F-314B-477B-AE83-A62A050C7067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5" i="1" l="1"/>
  <c r="D155" i="1"/>
  <c r="G155" i="1"/>
  <c r="C154" i="1"/>
  <c r="D154" i="1"/>
  <c r="E154" i="1"/>
  <c r="G154" i="1"/>
  <c r="C153" i="1"/>
  <c r="D153" i="1"/>
  <c r="E153" i="1"/>
  <c r="F153" i="1"/>
  <c r="G153" i="1"/>
  <c r="D1363" i="2"/>
  <c r="G1363" i="2"/>
  <c r="E155" i="1" s="1"/>
  <c r="H1363" i="2"/>
  <c r="F155" i="1" s="1"/>
  <c r="L1363" i="2"/>
  <c r="M1363" i="2"/>
  <c r="N1363" i="2"/>
  <c r="O1363" i="2"/>
  <c r="D1362" i="2"/>
  <c r="G1362" i="2"/>
  <c r="H1362" i="2"/>
  <c r="L1362" i="2"/>
  <c r="M1362" i="2"/>
  <c r="N1362" i="2"/>
  <c r="O1362" i="2"/>
  <c r="D1361" i="2"/>
  <c r="G1361" i="2"/>
  <c r="H1361" i="2"/>
  <c r="F154" i="1" s="1"/>
  <c r="L1361" i="2"/>
  <c r="M1361" i="2"/>
  <c r="N1361" i="2"/>
  <c r="O1361" i="2"/>
  <c r="D1358" i="2"/>
  <c r="C152" i="1"/>
  <c r="D152" i="1"/>
  <c r="E152" i="1"/>
  <c r="F152" i="1"/>
  <c r="G152" i="1"/>
  <c r="C151" i="1"/>
  <c r="D151" i="1"/>
  <c r="E151" i="1"/>
  <c r="F151" i="1"/>
  <c r="G151" i="1"/>
  <c r="C150" i="1"/>
  <c r="D150" i="1"/>
  <c r="F150" i="1"/>
  <c r="G150" i="1"/>
  <c r="D1360" i="2"/>
  <c r="G1360" i="2"/>
  <c r="H1360" i="2"/>
  <c r="L1360" i="2"/>
  <c r="M1360" i="2"/>
  <c r="N1360" i="2"/>
  <c r="O1360" i="2"/>
  <c r="D1359" i="2"/>
  <c r="G1359" i="2"/>
  <c r="H1359" i="2"/>
  <c r="L1359" i="2"/>
  <c r="M1359" i="2"/>
  <c r="N1359" i="2"/>
  <c r="O1359" i="2"/>
  <c r="G1358" i="2"/>
  <c r="H1358" i="2"/>
  <c r="L1358" i="2"/>
  <c r="M1358" i="2"/>
  <c r="N1358" i="2"/>
  <c r="O1358" i="2"/>
  <c r="D1357" i="2"/>
  <c r="G1357" i="2"/>
  <c r="H1357" i="2"/>
  <c r="L1357" i="2"/>
  <c r="M1357" i="2"/>
  <c r="N1357" i="2"/>
  <c r="O1357" i="2"/>
  <c r="D1356" i="2"/>
  <c r="G1356" i="2"/>
  <c r="H1356" i="2"/>
  <c r="L1356" i="2"/>
  <c r="M1356" i="2"/>
  <c r="N1356" i="2"/>
  <c r="O1356" i="2"/>
  <c r="D1355" i="2"/>
  <c r="G1355" i="2"/>
  <c r="H1355" i="2"/>
  <c r="L1355" i="2"/>
  <c r="M1355" i="2"/>
  <c r="N1355" i="2"/>
  <c r="O1355" i="2"/>
  <c r="D1354" i="2"/>
  <c r="G1354" i="2"/>
  <c r="H1354" i="2"/>
  <c r="L1354" i="2"/>
  <c r="M1354" i="2"/>
  <c r="N1354" i="2"/>
  <c r="O1354" i="2"/>
  <c r="D1353" i="2"/>
  <c r="G1353" i="2"/>
  <c r="H1353" i="2"/>
  <c r="L1353" i="2"/>
  <c r="M1353" i="2"/>
  <c r="N1353" i="2"/>
  <c r="O1353" i="2"/>
  <c r="D1352" i="2"/>
  <c r="G1352" i="2"/>
  <c r="E150" i="1" s="1"/>
  <c r="H1352" i="2"/>
  <c r="L1352" i="2"/>
  <c r="M1352" i="2"/>
  <c r="N1352" i="2"/>
  <c r="O1352" i="2"/>
  <c r="D1351" i="2"/>
  <c r="G1351" i="2"/>
  <c r="H1351" i="2"/>
  <c r="L1351" i="2"/>
  <c r="M1351" i="2"/>
  <c r="N1351" i="2"/>
  <c r="O1351" i="2"/>
  <c r="D1350" i="2"/>
  <c r="G1350" i="2"/>
  <c r="H1350" i="2"/>
  <c r="L1350" i="2"/>
  <c r="M1350" i="2"/>
  <c r="N1350" i="2"/>
  <c r="O1350" i="2"/>
  <c r="D1349" i="2"/>
  <c r="G1349" i="2"/>
  <c r="H1349" i="2"/>
  <c r="L1349" i="2"/>
  <c r="M1349" i="2"/>
  <c r="N1349" i="2"/>
  <c r="O1349" i="2"/>
  <c r="D1348" i="2"/>
  <c r="G1348" i="2"/>
  <c r="H1348" i="2"/>
  <c r="L1348" i="2"/>
  <c r="M1348" i="2"/>
  <c r="N1348" i="2"/>
  <c r="O1348" i="2"/>
  <c r="D1347" i="2"/>
  <c r="G1347" i="2"/>
  <c r="H1347" i="2"/>
  <c r="L1347" i="2"/>
  <c r="M1347" i="2"/>
  <c r="N1347" i="2"/>
  <c r="O1347" i="2"/>
  <c r="D1346" i="2"/>
  <c r="G1346" i="2"/>
  <c r="H1346" i="2"/>
  <c r="L1346" i="2"/>
  <c r="M1346" i="2"/>
  <c r="N1346" i="2"/>
  <c r="O1346" i="2"/>
  <c r="D1345" i="2"/>
  <c r="G1345" i="2"/>
  <c r="H1345" i="2"/>
  <c r="L1345" i="2"/>
  <c r="M1345" i="2"/>
  <c r="N1345" i="2"/>
  <c r="O1345" i="2"/>
  <c r="D1344" i="2"/>
  <c r="G1344" i="2"/>
  <c r="H1344" i="2"/>
  <c r="L1344" i="2"/>
  <c r="M1344" i="2"/>
  <c r="N1344" i="2"/>
  <c r="O1344" i="2"/>
  <c r="D1343" i="2"/>
  <c r="G1343" i="2"/>
  <c r="H1343" i="2"/>
  <c r="L1343" i="2"/>
  <c r="M1343" i="2"/>
  <c r="N1343" i="2"/>
  <c r="O1343" i="2"/>
  <c r="D1342" i="2"/>
  <c r="G1342" i="2"/>
  <c r="H1342" i="2"/>
  <c r="L1342" i="2"/>
  <c r="M1342" i="2"/>
  <c r="N1342" i="2"/>
  <c r="O1342" i="2"/>
  <c r="D1341" i="2"/>
  <c r="G1341" i="2"/>
  <c r="H1341" i="2"/>
  <c r="L1341" i="2"/>
  <c r="M1341" i="2"/>
  <c r="N1341" i="2"/>
  <c r="O1341" i="2"/>
  <c r="D1340" i="2"/>
  <c r="G1340" i="2"/>
  <c r="H1340" i="2"/>
  <c r="L1340" i="2"/>
  <c r="M1340" i="2"/>
  <c r="N1340" i="2"/>
  <c r="O1340" i="2"/>
  <c r="D1339" i="2"/>
  <c r="G1339" i="2"/>
  <c r="H1339" i="2"/>
  <c r="L1339" i="2"/>
  <c r="M1339" i="2"/>
  <c r="N1339" i="2"/>
  <c r="O1339" i="2"/>
  <c r="F190" i="3"/>
  <c r="G190" i="3"/>
  <c r="H190" i="3"/>
  <c r="I190" i="3"/>
  <c r="F189" i="3"/>
  <c r="G189" i="3"/>
  <c r="H189" i="3"/>
  <c r="I189" i="3"/>
  <c r="F188" i="3"/>
  <c r="G188" i="3"/>
  <c r="H188" i="3"/>
  <c r="I188" i="3"/>
  <c r="A8" i="4"/>
  <c r="G1311" i="2"/>
  <c r="C149" i="1"/>
  <c r="D149" i="1"/>
  <c r="G149" i="1"/>
  <c r="C148" i="1"/>
  <c r="D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E148" i="1" s="1"/>
  <c r="H1313" i="2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E149" i="1" s="1"/>
  <c r="H1338" i="2"/>
  <c r="F149" i="1" s="1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E147" i="1" s="1"/>
  <c r="H1257" i="2"/>
  <c r="F147" i="1" s="1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E135" i="1" s="1"/>
  <c r="H1098" i="2"/>
  <c r="F135" i="1" s="1"/>
  <c r="C135" i="1"/>
  <c r="D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E130" i="1" s="1"/>
  <c r="H1050" i="2"/>
  <c r="F130" i="1" s="1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48" i="1" l="1"/>
  <c r="F144" i="1"/>
  <c r="E124" i="1"/>
  <c r="F131" i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<sst xmlns="http://schemas.openxmlformats.org/spreadsheetml/2006/main" count="1726" uniqueCount="194">
  <si>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</si>
  <si>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</si>
  <si>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</si>
  <si>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</si>
  <si>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</si>
  <si>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</si>
  <si>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</si>
  <si>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</si>
  <si>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</si>
  <si>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</si>
  <si>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</si>
  <si>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</si>
  <si>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</si>
  <si>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</si>
  <si>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</si>
  <si>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</si>
  <si>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</si>
  <si>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</si>
  <si>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</si>
  <si>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</si>
  <si>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</si>
  <si>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</si>
  <si>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</si>
  <si>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</si>
  <si>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</si>
  <si>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</si>
  <si>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</si>
  <si>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</si>
  <si>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</si>
  <si>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</si>
  <si>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</si>
  <si>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</si>
  <si>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</si>
  <si>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</si>
  <si>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</si>
  <si>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</si>
  <si>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</si>
  <si>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</si>
  <si>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</si>
  <si>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</si>
  <si>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</si>
  <si>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</si>
  <si>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</si>
  <si>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</si>
  <si>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</si>
  <si>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</si>
  <si>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</si>
  <si>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</si>
  <si>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</si>
  <si>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</si>
  <si>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</si>
  <si>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</si>
  <si>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</si>
  <si>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</si>
  <si>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</si>
  <si>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</si>
  <si>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</si>
  <si>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</si>
  <si>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</si>
  <si>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</si>
  <si>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</si>
  <si>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</si>
  <si>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</si>
  <si>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</si>
  <si>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</si>
  <si>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</si>
  <si>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</si>
  <si>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</si>
  <si>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</si>
  <si>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</si>
  <si>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</si>
  <si>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</si>
  <si>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</si>
  <si>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</si>
  <si>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</si>
  <si>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</si>
  <si>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</si>
  <si>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</si>
  <si>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</si>
  <si>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</si>
  <si>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</si>
  <si>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</si>
  <si>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</si>
  <si>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</si>
  <si>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</si>
  <si>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</si>
  <si>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</si>
  <si>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</si>
  <si>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</si>
  <si>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</si>
  <si>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</si>
  <si>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</si>
  <si>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</si>
  <si>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</si>
  <si>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</si>
  <si>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</si>
  <si>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</si>
  <si>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</si>
  <si>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</si>
  <si>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</si>
  <si>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</si>
  <si>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</si>
  <si>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</si>
  <si>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</si>
  <si>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</si>
  <si>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</si>
  <si>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</si>
  <si>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</si>
  <si>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</si>
  <si>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</si>
  <si>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</si>
  <si>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</si>
  <si>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</si>
  <si>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</si>
  <si>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</si>
  <si>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</si>
  <si>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</si>
  <si>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</si>
  <si>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</si>
  <si>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</si>
  <si>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</si>
  <si>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</si>
  <si>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</si>
  <si>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</si>
  <si>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</si>
  <si>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</si>
  <si>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</si>
  <si>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</si>
  <si>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</si>
  <si>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</si>
  <si>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</si>
  <si>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</si>
  <si>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</si>
  <si>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</si>
  <si>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</si>
  <si>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</si>
  <si>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</si>
  <si>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</si>
  <si>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</si>
  <si>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</si>
  <si>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</si>
  <si>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</si>
  <si>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</si>
  <si>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</si>
  <si>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</si>
  <si>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</si>
  <si>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</si>
  <si>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</si>
  <si>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</si>
  <si>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</si>
  <si>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</si>
  <si>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</si>
  <si>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</si>
  <si>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</si>
  <si>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</si>
  <si>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</si>
  <si>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</si>
  <si>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</si>
  <si>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</si>
  <si>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</si>
  <si>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</si>
  <si>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</si>
  <si>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</si>
  <si>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</si>
  <si>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</si>
  <si>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</si>
  <si>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</si>
  <si>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</si>
  <si>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</si>
  <si>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</si>
  <si>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</si>
  <si>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</si>
  <si>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</si>
  <si>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</si>
  <si>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</si>
  <si>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</si>
  <si>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</si>
  <si>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</si>
  <si>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</si>
  <si>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</si>
  <si>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</si>
  <si>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</si>
  <si>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</si>
  <si>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</si>
  <si>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</si>
  <si>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</si>
  <si>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</si>
  <si>
    <t>Лето 2026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</si>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</sst>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55" totalsRowShown="0" headerRowDxfId="59" headerRowBorderDxfId="58" tableBorderDxfId="57" totalsRowBorderDxfId="56">
  <autoFilter ref="A1:G155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363" totalsRowShown="0" headerRowDxfId="48" dataDxfId="46" headerRowBorderDxfId="47" tableBorderDxfId="45" totalsRowBorderDxfId="44">
  <autoFilter ref="A1:O1363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90" totalsRowShown="0" headerRowDxfId="28" dataDxfId="26" headerRowBorderDxfId="27" tableBorderDxfId="25" totalsRowBorderDxfId="24">
  <autoFilter ref="A1:I190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8" totalsRowShown="0" headerRowDxfId="14" headerRowBorderDxfId="13" tableBorderDxfId="12" totalsRowBorderDxfId="11">
  <autoFilter ref="A1:K8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55"/>
  <sheetViews>
    <sheetView topLeftCell="A114" workbookViewId="0">
      <selection activeCell="B155" sqref="B155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97</v>
      </c>
      <c r="D2" s="19">
        <f>SUMIFS(_stats[assists_on_date],_stats[player_id],_players[[#This Row],[player_id]])</f>
        <v>36</v>
      </c>
      <c r="E2" s="19">
        <f>SUMIFS(_stats[wins_on_date],_stats[player_id],_players[[#This Row],[player_id]])</f>
        <v>121</v>
      </c>
      <c r="F2" s="20">
        <f>SUMIFS(_stats[draws_on_date],_stats[player_id],_players[[#This Row],[player_id]])</f>
        <v>18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64</v>
      </c>
      <c r="D3" s="11">
        <f>SUMIFS(_stats[assists_on_date],_stats[player_id],_players[[#This Row],[player_id]])</f>
        <v>43</v>
      </c>
      <c r="E3" s="11">
        <f>SUMIFS(_stats[wins_on_date],_stats[player_id],_players[[#This Row],[player_id]])</f>
        <v>179</v>
      </c>
      <c r="F3" s="12">
        <f>SUMIFS(_stats[draws_on_date],_stats[player_id],_players[[#This Row],[player_id]])</f>
        <v>39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110</v>
      </c>
      <c r="F5" s="22">
        <f>SUMIFS(_stats[draws_on_date],_stats[player_id],_players[[#This Row],[player_id]])</f>
        <v>19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28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196</v>
      </c>
      <c r="F6" s="17">
        <f>SUMIFS(_stats[draws_on_date],_stats[player_id],_players[[#This Row],[player_id]])</f>
        <v>46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62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106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40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155</v>
      </c>
      <c r="F8" s="12">
        <f>SUMIFS(_stats[draws_on_date],_stats[player_id],_players[[#This Row],[player_id]])</f>
        <v>45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72</v>
      </c>
      <c r="F10" s="17">
        <f>SUMIFS(_stats[draws_on_date],_stats[player_id],_players[[#This Row],[player_id]])</f>
        <v>17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77</v>
      </c>
      <c r="D12" s="16">
        <f>SUMIFS(_stats[assists_on_date],_stats[player_id],_players[[#This Row],[player_id]])</f>
        <v>81</v>
      </c>
      <c r="E12" s="16">
        <f>SUMIFS(_stats[wins_on_date],_stats[player_id],_players[[#This Row],[player_id]])</f>
        <v>152</v>
      </c>
      <c r="F12" s="17">
        <f>SUMIFS(_stats[draws_on_date],_stats[player_id],_players[[#This Row],[player_id]])</f>
        <v>47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165</v>
      </c>
      <c r="F14" s="12">
        <f>SUMIFS(_stats[draws_on_date],_stats[player_id],_players[[#This Row],[player_id]])</f>
        <v>43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39</v>
      </c>
      <c r="E15" s="11">
        <f>SUMIFS(_stats[wins_on_date],_stats[player_id],_players[[#This Row],[player_id]])</f>
        <v>77</v>
      </c>
      <c r="F15" s="12">
        <f>SUMIFS(_stats[draws_on_date],_stats[player_id],_players[[#This Row],[player_id]])</f>
        <v>10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18</v>
      </c>
      <c r="D16" s="11">
        <f>SUMIFS(_stats[assists_on_date],_stats[player_id],_players[[#This Row],[player_id]])</f>
        <v>31</v>
      </c>
      <c r="E16" s="11">
        <f>SUMIFS(_stats[wins_on_date],_stats[player_id],_players[[#This Row],[player_id]])</f>
        <v>65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17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14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21</v>
      </c>
      <c r="D20" s="11">
        <f>SUMIFS(_stats[assists_on_date],_stats[player_id],_players[[#This Row],[player_id]])</f>
        <v>20</v>
      </c>
      <c r="E20" s="11">
        <f>SUMIFS(_stats[wins_on_date],_stats[player_id],_players[[#This Row],[player_id]])</f>
        <v>117</v>
      </c>
      <c r="F20" s="12">
        <f>SUMIFS(_stats[draws_on_date],_stats[player_id],_players[[#This Row],[player_id]])</f>
        <v>24</v>
      </c>
      <c r="G20" s="12">
        <f>SUMIFS(_stats[foul_on_date],_stats[player_id],_players[[#This Row],[player_id]])</f>
        <v>1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49</v>
      </c>
      <c r="E21" s="11">
        <f>SUMIFS(_stats[wins_on_date],_stats[player_id],_players[[#This Row],[player_id]])</f>
        <v>133</v>
      </c>
      <c r="F21" s="12">
        <f>SUMIFS(_stats[draws_on_date],_stats[player_id],_players[[#This Row],[player_id]])</f>
        <v>35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124</v>
      </c>
      <c r="F22" s="17">
        <f>SUMIFS(_stats[draws_on_date],_stats[player_id],_players[[#This Row],[player_id]])</f>
        <v>26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27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25</v>
      </c>
      <c r="E25" s="11">
        <f>SUMIFS(_stats[wins_on_date],_stats[player_id],_players[[#This Row],[player_id]])</f>
        <v>117</v>
      </c>
      <c r="F25" s="12">
        <f>SUMIFS(_stats[draws_on_date],_stats[player_id],_players[[#This Row],[player_id]])</f>
        <v>36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69</v>
      </c>
      <c r="F37" s="12">
        <f>SUMIFS(_stats[draws_on_date],_stats[player_id],_players[[#This Row],[player_id]])</f>
        <v>22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19</v>
      </c>
      <c r="E38" s="11">
        <f>SUMIFS(_stats[wins_on_date],_stats[player_id],_players[[#This Row],[player_id]])</f>
        <v>68</v>
      </c>
      <c r="F38" s="12">
        <f>SUMIFS(_stats[draws_on_date],_stats[player_id],_players[[#This Row],[player_id]])</f>
        <v>25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16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66</v>
      </c>
      <c r="F42" s="17">
        <f>SUMIFS(_stats[draws_on_date],_stats[player_id],_players[[#This Row],[player_id]])</f>
        <v>19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46</v>
      </c>
      <c r="F43" s="12">
        <f>SUMIFS(_stats[draws_on_date],_stats[player_id],_players[[#This Row],[player_id]])</f>
        <v>20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4</v>
      </c>
      <c r="E45" s="16">
        <f>SUMIFS(_stats[wins_on_date],_stats[player_id],_players[[#This Row],[player_id]])</f>
        <v>22</v>
      </c>
      <c r="F45" s="17">
        <f>SUMIFS(_stats[draws_on_date],_stats[player_id],_players[[#This Row],[player_id]])</f>
        <v>4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45</v>
      </c>
      <c r="F59" s="18">
        <f>SUMIFS(_stats[draws_on_date],_stats[player_id],_players[[#This Row],[player_id]])</f>
        <v>12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5</v>
      </c>
      <c r="D60" s="10">
        <f>SUMIFS(_stats[assists_on_date],_stats[player_id],_players[[#This Row],[player_id]])</f>
        <v>3</v>
      </c>
      <c r="E60" s="10">
        <f>SUMIFS(_stats[wins_on_date],_stats[player_id],_players[[#This Row],[player_id]])</f>
        <v>10</v>
      </c>
      <c r="F60" s="18">
        <f>SUMIFS(_stats[draws_on_date],_stats[player_id],_players[[#This Row],[player_id]])</f>
        <v>1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107</v>
      </c>
      <c r="F64" s="18">
        <f>SUMIFS(_stats[draws_on_date],_stats[player_id],_players[[#This Row],[player_id]])</f>
        <v>31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8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37</v>
      </c>
      <c r="F120" s="18">
        <f>SUMIFS(_stats[draws_on_date],_stats[player_id],_players[[#This Row],[player_id]])</f>
        <v>16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16</v>
      </c>
      <c r="E121" s="10">
        <f>SUMIFS(_stats[wins_on_date],_stats[player_id],_players[[#This Row],[player_id]])</f>
        <v>57</v>
      </c>
      <c r="F121" s="18">
        <f>SUMIFS(_stats[draws_on_date],_stats[player_id],_players[[#This Row],[player_id]])</f>
        <v>24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19</v>
      </c>
      <c r="F126" s="18">
        <f>SUMIFS(_stats[draws_on_date],_stats[player_id],_players[[#This Row],[player_id]])</f>
        <v>11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5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2</v>
      </c>
      <c r="E137" s="10">
        <f>SUMIFS(_stats[wins_on_date],_stats[player_id],_players[[#This Row],[player_id]])</f>
        <v>18</v>
      </c>
      <c r="F137" s="18">
        <f>SUMIFS(_stats[draws_on_date],_stats[player_id],_players[[#This Row],[player_id]])</f>
        <v>6</v>
      </c>
      <c r="G137" s="18">
        <f>SUMIFS(_stats[foul_on_date],_stats[player_id],_players[[#This Row],[player_id]])</f>
        <v>1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6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5</v>
      </c>
      <c r="F140" s="18">
        <f>SUMIFS(_stats[draws_on_date],_stats[player_id],_players[[#This Row],[player_id]])</f>
        <v>6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3</v>
      </c>
      <c r="F148" s="18">
        <f>SUMIFS(_stats[draws_on_date],_stats[player_id],_players[[#This Row],[player_id]])</f>
        <v>5</v>
      </c>
      <c r="G148" s="18">
        <f>SUMIFS(_stats[foul_on_date],_stats[player_id],_players[[#This Row],[player_id]])</f>
        <v>0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188</v>
      </c>
      <c r="B150" s="36" t="s">
        <v>188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189</v>
      </c>
      <c r="B151" s="36" t="s">
        <v>189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0</v>
      </c>
      <c r="F151" s="18">
        <f>SUMIFS(_stats[draws_on_date],_stats[player_id],_players[[#This Row],[player_id]])</f>
        <v>2</v>
      </c>
      <c r="G151" s="18">
        <f>SUMIFS(_stats[foul_on_date],_stats[player_id],_players[[#This Row],[player_id]])</f>
        <v>1</v>
      </c>
    </row>
    <row r="152" spans="1:7" x14ac:dyDescent="0.25">
      <c r="A152" s="36" t="s">
        <v>190</v>
      </c>
      <c r="B152" s="36" t="s">
        <v>190</v>
      </c>
      <c r="C152" s="10">
        <f>SUMIFS(_stats[goals_on_date],_stats[player_id],_players[[#This Row],[player_id]])</f>
        <v>0</v>
      </c>
      <c r="D152" s="10">
        <f>SUMIFS(_stats[assists_on_date],_stats[player_id],_players[[#This Row],[player_id]])</f>
        <v>0</v>
      </c>
      <c r="E152" s="10">
        <f>SUMIFS(_stats[wins_on_date],_stats[player_id],_players[[#This Row],[player_id]])</f>
        <v>7</v>
      </c>
      <c r="F152" s="18">
        <f>SUMIFS(_stats[draws_on_date],_stats[player_id],_players[[#This Row],[player_id]])</f>
        <v>1</v>
      </c>
      <c r="G152" s="18">
        <f>SUMIFS(_stats[foul_on_date],_stats[player_id],_players[[#This Row],[player_id]])</f>
        <v>0</v>
      </c>
    </row>
    <row r="153" spans="1:7" x14ac:dyDescent="0.25">
      <c r="A153" s="36" t="s">
        <v>191</v>
      </c>
      <c r="B153" s="36" t="s">
        <v>191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192</v>
      </c>
      <c r="B154" s="36" t="s">
        <v>192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193</v>
      </c>
      <c r="B155" s="36" t="s">
        <v>193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363"/>
  <sheetViews>
    <sheetView topLeftCell="A1306" zoomScale="85" zoomScaleNormal="85" workbookViewId="0">
      <selection activeCell="F1362" sqref="F1362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59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28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42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152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17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79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19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134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25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18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32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52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185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188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41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82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189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38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34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190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53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191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192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49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193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</sheetData>
  <phoneticPr fontId="7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90"/>
  <sheetViews>
    <sheetView tabSelected="1" topLeftCell="A155" workbookViewId="0">
      <selection activeCell="D201" sqref="D20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19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8"/>
  <sheetViews>
    <sheetView workbookViewId="0">
      <selection activeCell="C13" sqref="C13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103</v>
      </c>
      <c r="C8" s="45" t="s">
        <v>187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foxhatenoobs</cp:lastModifiedBy>
  <dcterms:created xsi:type="dcterms:W3CDTF">2015-06-05T18:19:34Z</dcterms:created>
  <dcterms:modified xsi:type="dcterms:W3CDTF">2026-06-21T15:14:11Z</dcterms:modified>
</cp:coreProperties>
</file>