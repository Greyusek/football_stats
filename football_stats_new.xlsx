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1891F9E2-E7E3-4704-9F84-965BB3976A81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46" i="1" l="1"/>
  <c r="D146" i="1"/>
  <c r="F146" i="1"/>
  <c r="G146" i="1"/>
  <c r="C145" i="1"/>
  <c r="D145" i="1"/>
  <c r="G145" i="1"/>
  <c r="D1224" i="2"/>
  <c r="G1224" i="2"/>
  <c r="H1224" i="2"/>
  <c r="L1224" i="2"/>
  <c r="M1224" i="2"/>
  <c r="N1224" i="2"/>
  <c r="O1224" i="2"/>
  <c r="D1225" i="2"/>
  <c r="G1225" i="2"/>
  <c r="H1225" i="2"/>
  <c r="L1225" i="2"/>
  <c r="M1225" i="2"/>
  <c r="N1225" i="2"/>
  <c r="O1225" i="2"/>
  <c r="D1226" i="2"/>
  <c r="G1226" i="2"/>
  <c r="H1226" i="2"/>
  <c r="L1226" i="2"/>
  <c r="M1226" i="2"/>
  <c r="N1226" i="2"/>
  <c r="O1226" i="2"/>
  <c r="D1227" i="2"/>
  <c r="G1227" i="2"/>
  <c r="H1227" i="2"/>
  <c r="L1227" i="2"/>
  <c r="M1227" i="2"/>
  <c r="N1227" i="2"/>
  <c r="O1227" i="2"/>
  <c r="D1228" i="2"/>
  <c r="G1228" i="2"/>
  <c r="H1228" i="2"/>
  <c r="L1228" i="2"/>
  <c r="M1228" i="2"/>
  <c r="N1228" i="2"/>
  <c r="O1228" i="2"/>
  <c r="D1229" i="2"/>
  <c r="G1229" i="2"/>
  <c r="H1229" i="2"/>
  <c r="L1229" i="2"/>
  <c r="M1229" i="2"/>
  <c r="N1229" i="2"/>
  <c r="O1229" i="2"/>
  <c r="D1230" i="2"/>
  <c r="G1230" i="2"/>
  <c r="H1230" i="2"/>
  <c r="L1230" i="2"/>
  <c r="M1230" i="2"/>
  <c r="N1230" i="2"/>
  <c r="O1230" i="2"/>
  <c r="D1231" i="2"/>
  <c r="G1231" i="2"/>
  <c r="H1231" i="2"/>
  <c r="L1231" i="2"/>
  <c r="M1231" i="2"/>
  <c r="N1231" i="2"/>
  <c r="O1231" i="2"/>
  <c r="D1232" i="2"/>
  <c r="G1232" i="2"/>
  <c r="H1232" i="2"/>
  <c r="L1232" i="2"/>
  <c r="M1232" i="2"/>
  <c r="N1232" i="2"/>
  <c r="O1232" i="2"/>
  <c r="D1233" i="2"/>
  <c r="G1233" i="2"/>
  <c r="E146" i="1" s="1"/>
  <c r="H1233" i="2"/>
  <c r="L1233" i="2"/>
  <c r="M1233" i="2"/>
  <c r="N1233" i="2"/>
  <c r="O1233" i="2"/>
  <c r="D1234" i="2"/>
  <c r="G1234" i="2"/>
  <c r="H1234" i="2"/>
  <c r="L1234" i="2"/>
  <c r="M1234" i="2"/>
  <c r="N1234" i="2"/>
  <c r="O1234" i="2"/>
  <c r="D1235" i="2"/>
  <c r="G1235" i="2"/>
  <c r="H1235" i="2"/>
  <c r="L1235" i="2"/>
  <c r="M1235" i="2"/>
  <c r="N1235" i="2"/>
  <c r="O1235" i="2"/>
  <c r="D1236" i="2"/>
  <c r="G1236" i="2"/>
  <c r="H1236" i="2"/>
  <c r="L1236" i="2"/>
  <c r="M1236" i="2"/>
  <c r="N1236" i="2"/>
  <c r="O1236" i="2"/>
  <c r="D1237" i="2"/>
  <c r="G1237" i="2"/>
  <c r="H1237" i="2"/>
  <c r="L1237" i="2"/>
  <c r="M1237" i="2"/>
  <c r="N1237" i="2"/>
  <c r="O1237" i="2"/>
  <c r="D1238" i="2"/>
  <c r="G1238" i="2"/>
  <c r="H1238" i="2"/>
  <c r="L1238" i="2"/>
  <c r="M1238" i="2"/>
  <c r="N1238" i="2"/>
  <c r="O1238" i="2"/>
  <c r="D1239" i="2"/>
  <c r="G1239" i="2"/>
  <c r="H1239" i="2"/>
  <c r="L1239" i="2"/>
  <c r="M1239" i="2"/>
  <c r="N1239" i="2"/>
  <c r="O1239" i="2"/>
  <c r="D1240" i="2"/>
  <c r="G1240" i="2"/>
  <c r="H1240" i="2"/>
  <c r="L1240" i="2"/>
  <c r="M1240" i="2"/>
  <c r="N1240" i="2"/>
  <c r="O1240" i="2"/>
  <c r="D1223" i="2"/>
  <c r="G1223" i="2"/>
  <c r="H1223" i="2"/>
  <c r="L1223" i="2"/>
  <c r="M1223" i="2"/>
  <c r="N1223" i="2"/>
  <c r="O1223" i="2"/>
  <c r="D1222" i="2"/>
  <c r="G1222" i="2"/>
  <c r="H1222" i="2"/>
  <c r="L1222" i="2"/>
  <c r="M1222" i="2"/>
  <c r="N1222" i="2"/>
  <c r="O1222" i="2"/>
  <c r="D1221" i="2"/>
  <c r="G1221" i="2"/>
  <c r="H1221" i="2"/>
  <c r="L1221" i="2"/>
  <c r="M1221" i="2"/>
  <c r="N1221" i="2"/>
  <c r="O1221" i="2"/>
  <c r="D1220" i="2"/>
  <c r="G1220" i="2"/>
  <c r="H1220" i="2"/>
  <c r="L1220" i="2"/>
  <c r="M1220" i="2"/>
  <c r="N1220" i="2"/>
  <c r="O1220" i="2"/>
  <c r="D1219" i="2"/>
  <c r="G1219" i="2"/>
  <c r="H1219" i="2"/>
  <c r="L1219" i="2"/>
  <c r="M1219" i="2"/>
  <c r="N1219" i="2"/>
  <c r="O1219" i="2"/>
  <c r="D1218" i="2"/>
  <c r="G1218" i="2"/>
  <c r="E145" i="1" s="1"/>
  <c r="H1218" i="2"/>
  <c r="F145" i="1" s="1"/>
  <c r="L1218" i="2"/>
  <c r="M1218" i="2"/>
  <c r="N1218" i="2"/>
  <c r="O1218" i="2"/>
  <c r="D1217" i="2"/>
  <c r="G1217" i="2"/>
  <c r="H1217" i="2"/>
  <c r="L1217" i="2"/>
  <c r="M1217" i="2"/>
  <c r="N1217" i="2"/>
  <c r="O1217" i="2"/>
  <c r="D1216" i="2"/>
  <c r="G1216" i="2"/>
  <c r="H1216" i="2"/>
  <c r="L1216" i="2"/>
  <c r="M1216" i="2"/>
  <c r="N1216" i="2"/>
  <c r="O1216" i="2"/>
  <c r="D1215" i="2"/>
  <c r="G1215" i="2"/>
  <c r="H1215" i="2"/>
  <c r="L1215" i="2"/>
  <c r="M1215" i="2"/>
  <c r="N1215" i="2"/>
  <c r="O1215" i="2"/>
  <c r="D1214" i="2"/>
  <c r="G1214" i="2"/>
  <c r="H1214" i="2"/>
  <c r="L1214" i="2"/>
  <c r="M1214" i="2"/>
  <c r="N1214" i="2"/>
  <c r="O1214" i="2"/>
  <c r="D1213" i="2"/>
  <c r="G1213" i="2"/>
  <c r="H1213" i="2"/>
  <c r="L1213" i="2"/>
  <c r="M1213" i="2"/>
  <c r="N1213" i="2"/>
  <c r="O1213" i="2"/>
  <c r="D1212" i="2"/>
  <c r="G1212" i="2"/>
  <c r="H1212" i="2"/>
  <c r="L1212" i="2"/>
  <c r="M1212" i="2"/>
  <c r="N1212" i="2"/>
  <c r="O1212" i="2"/>
  <c r="F175" i="3"/>
  <c r="G175" i="3"/>
  <c r="H175" i="3"/>
  <c r="I175" i="3"/>
  <c r="F174" i="3"/>
  <c r="G174" i="3"/>
  <c r="H174" i="3"/>
  <c r="I174" i="3"/>
  <c r="F173" i="3"/>
  <c r="G173" i="3"/>
  <c r="H173" i="3"/>
  <c r="I173" i="3"/>
  <c r="F172" i="3"/>
  <c r="G172" i="3"/>
  <c r="H172" i="3"/>
  <c r="I172" i="3"/>
  <c r="A7" i="4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E144" i="1" s="1"/>
  <c r="H1207" i="2"/>
  <c r="F144" i="1" s="1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E143" i="1" s="1"/>
  <c r="H1201" i="2"/>
  <c r="F143" i="1" s="1"/>
  <c r="D1200" i="2"/>
  <c r="G1200" i="2"/>
  <c r="H1200" i="2"/>
  <c r="D1199" i="2"/>
  <c r="G1199" i="2"/>
  <c r="E142" i="1" s="1"/>
  <c r="H1199" i="2"/>
  <c r="F142" i="1" s="1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F140" i="1" s="1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H1098" i="2"/>
  <c r="C135" i="1"/>
  <c r="D135" i="1"/>
  <c r="E135" i="1"/>
  <c r="F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E131" i="1" s="1"/>
  <c r="H1043" i="2"/>
  <c r="F131" i="1" s="1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E140" i="1" l="1"/>
  <c r="E134" i="1"/>
  <c r="O2" i="2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<sst xmlns="http://schemas.openxmlformats.org/spreadsheetml/2006/main" count="1583" uniqueCount="184">
  <si>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</si>
  <si>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</si>
  <si>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</si>
  <si>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</si>
  <si>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</si>
  <si>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</si>
  <si>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</si>
  <si>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</si>
  <si>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</si>
  <si>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</si>
  <si>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</si>
  <si>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</si>
  <si>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</si>
  <si>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</si>
  <si>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</si>
  <si>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</si>
  <si>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</si>
  <si>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</si>
  <si>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</si>
  <si>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</si>
  <si>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</si>
  <si>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</si>
  <si>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</si>
  <si>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</si>
  <si>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</si>
  <si>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</si>
  <si>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</si>
  <si>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</si>
  <si>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</si>
  <si>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</si>
  <si>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</si>
  <si>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</si>
  <si>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</si>
  <si>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</si>
  <si>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</si>
  <si>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</si>
  <si>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</si>
  <si>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</si>
  <si>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</si>
  <si>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</si>
  <si>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</si>
  <si>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</si>
  <si>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</si>
  <si>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</si>
  <si>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</si>
  <si>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</si>
  <si>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</si>
  <si>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</si>
  <si>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</si>
  <si>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</si>
  <si>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</si>
  <si>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</si>
  <si>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</si>
  <si>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</si>
  <si>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</si>
  <si>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</si>
  <si>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</si>
  <si>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</si>
  <si>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</si>
  <si>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</si>
  <si>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</si>
  <si>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</si>
  <si>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</si>
  <si>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</si>
  <si>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</si>
  <si>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</si>
  <si>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</si>
  <si>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</si>
  <si>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</si>
  <si>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</si>
  <si>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</si>
  <si>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</si>
  <si>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</si>
  <si>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</si>
  <si>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</si>
  <si>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</si>
  <si>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</si>
  <si>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</si>
  <si>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</si>
  <si>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</si>
  <si>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</si>
  <si>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</si>
  <si>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</si>
  <si>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</si>
  <si>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</si>
  <si>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</si>
  <si>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</si>
  <si>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</si>
  <si>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</si>
  <si>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</si>
  <si>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</si>
  <si>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</si>
  <si>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</si>
  <si>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</si>
  <si>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</si>
  <si>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</si>
  <si>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</si>
  <si>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</si>
  <si>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</si>
  <si>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</si>
  <si>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</si>
  <si>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</si>
  <si>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</si>
  <si>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</si>
  <si>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</si>
  <si>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</si>
  <si>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</si>
  <si>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</si>
  <si>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</si>
  <si>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</si>
  <si>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</si>
  <si>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</si>
  <si>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</si>
  <si>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</si>
  <si>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</si>
  <si>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</si>
  <si>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</si>
  <si>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</si>
  <si>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</si>
  <si>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</si>
  <si>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</si>
  <si>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</si>
  <si>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</si>
  <si>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</si>
  <si>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</si>
  <si>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</si>
  <si>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</si>
  <si>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</si>
  <si>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</si>
  <si>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</si>
  <si>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</si>
  <si>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</si>
  <si>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</si>
  <si>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</si>
  <si>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</si>
  <si>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</si>
  <si>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</si>
  <si>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</si>
  <si>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</si>
  <si>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</si>
  <si>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</si>
  <si>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</si>
  <si>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</si>
  <si>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</si>
  <si>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</si>
  <si>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</si>
  <si>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</si>
  <si>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</si>
  <si>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</si>
  <si>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</si>
  <si>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</si>
  <si>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</si>
  <si>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</si>
  <si>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</si>
  <si>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</si>
  <si>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</si>
  <si>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</si>
  <si>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</si>
  <si>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</si>
  <si>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</si>
  <si>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</si>
  <si>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</si>
  <si>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</si>
  <si>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</si>
  <si>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</si>
  <si>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</si>
  <si>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</si>
  <si>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</si>
  <si>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</si>
  <si>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</si>
  <si>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</si>
  <si>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</si>
  <si>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</si>
  <si>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</si>
  <si>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</si>
  <si>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</si>
  <si>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</si>
  <si>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</si>
  <si>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</si>
  <si>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</si>
  <si>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</si>
  <si>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</si>
  <si>
    <t>Евгений</t>
  </si>
  <si>
    <t>Андрей (Логинов 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</si>
</sst>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</cellXfs>
  <cellStyles count="1">
    <cellStyle name="Обычный" xfId="0" builtinId="0"/>
  </cellStyles>
  <dxfs count="6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46" totalsRowShown="0" headerRowDxfId="59" headerRowBorderDxfId="58" tableBorderDxfId="57" totalsRowBorderDxfId="56">
  <autoFilter ref="A1:G146" xr:uid="{CC58E8C5-7B8B-42F7-9BFF-85AAC284233D}"/>
  <tableColumns count="7">
    <tableColumn id="1" xr3:uid="{72D5507B-3E56-45F9-949A-1B810B89614D}" name="player_id" dataDxfId="55"/>
    <tableColumn id="2" xr3:uid="{9B600E03-F10C-49A9-BD9C-050BEA58FF6E}" name="player_name" dataDxfId="54"/>
    <tableColumn id="3" xr3:uid="{8F857898-2667-4829-90AD-3A28B8E44AF3}" name="goals" dataDxfId="53">
      <calculatedColumnFormula>SUMIFS(_stats[goals_on_date],_stats[player_id],_players[[#This Row],[player_id]])</calculatedColumnFormula>
    </tableColumn>
    <tableColumn id="4" xr3:uid="{81B9F6B2-D5CC-4D13-9EE3-73B39091AD58}" name="assists" dataDxfId="52">
      <calculatedColumnFormula>SUMIFS(_stats[assists_on_date],_stats[player_id],_players[[#This Row],[player_id]])</calculatedColumnFormula>
    </tableColumn>
    <tableColumn id="5" xr3:uid="{1C26950D-761D-4C94-B228-1824773DE1A0}" name="wins" dataDxfId="51">
      <calculatedColumnFormula>SUMIFS(_stats[wins_on_date],_stats[player_id],_players[[#This Row],[player_id]])</calculatedColumnFormula>
    </tableColumn>
    <tableColumn id="7" xr3:uid="{7B92C955-C277-4BCF-B8AB-BC8A08DD3F98}" name="draws" dataDxfId="50">
      <calculatedColumnFormula>SUMIFS(_stats[draws_on_date],_stats[player_id],_players[[#This Row],[player_id]])</calculatedColumnFormula>
    </tableColumn>
    <tableColumn id="8" xr3:uid="{83A39928-DADF-478C-8EEB-8BB7EDD9B3F6}" name="foul" dataDxfId="49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240" totalsRowShown="0" headerRowDxfId="48" dataDxfId="46" headerRowBorderDxfId="47" tableBorderDxfId="45" totalsRowBorderDxfId="44">
  <autoFilter ref="A1:O1240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43"/>
    <tableColumn id="2" xr3:uid="{686C940A-87F8-43A1-ADFF-9CF607E801B5}" name="team_number" dataDxfId="42"/>
    <tableColumn id="3" xr3:uid="{1C13D6CA-8B0C-4849-B32C-A77EF9C52B42}" name="player_id" dataDxfId="41"/>
    <tableColumn id="4" xr3:uid="{C2384479-71AA-40DA-A7B2-E30ECBA1AF99}" name="player_name" dataDxfId="40">
      <calculatedColumnFormula>IFERROR(VLOOKUP(_stats[[#This Row],[player_id]],_players[[player_id]:[player_name]],2,0),"")</calculatedColumnFormula>
    </tableColumn>
    <tableColumn id="5" xr3:uid="{09AE1D8B-DCB8-4F87-ABB5-372822B0D6BF}" name="goals_on_date" dataDxfId="39"/>
    <tableColumn id="6" xr3:uid="{7FD24496-81EB-47BB-8B89-26AB97C686CA}" name="assists_on_date" dataDxfId="38"/>
    <tableColumn id="7" xr3:uid="{39F202A0-49EF-45EE-9054-882F18FBDF31}" name="wins_on_date" dataDxfId="37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36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35"/>
    <tableColumn id="11" xr3:uid="{F63E3F90-CE47-4270-AB10-578EF27B95D4}" name="foul_on_date" dataDxfId="34"/>
    <tableColumn id="10" xr3:uid="{60255463-9C5A-4356-83C8-4B8F5C0D84CC}" name="tournament" dataDxfId="33"/>
    <tableColumn id="15" xr3:uid="{7F376ADC-280C-4F2A-9A32-E1868B930ACF}" name="check_tournament_name" dataDxfId="32">
      <calculatedColumnFormula>VLOOKUP(_stats[[#This Row],[tournament]],tournaments_n_rules[],2,0)</calculatedColumnFormula>
    </tableColumn>
    <tableColumn id="16" xr3:uid="{FD462710-B233-41D3-A7F4-D0A7C67E8BD7}" name="check_tournament_season" dataDxfId="31">
      <calculatedColumnFormula>VLOOKUP(_stats[[#This Row],[tournament]],tournaments_n_rules[],3,0)</calculatedColumnFormula>
    </tableColumn>
    <tableColumn id="17" xr3:uid="{FC392FCF-0703-4BAE-A849-B5A17D89FC21}" name="check_tournament_start" dataDxfId="30">
      <calculatedColumnFormula>VLOOKUP(_stats[[#This Row],[tournament]],tournaments_n_rules[],4,0)</calculatedColumnFormula>
    </tableColumn>
    <tableColumn id="18" xr3:uid="{27C989FF-B801-496B-AC34-686429C3CF2E}" name="check_tournament_stop" dataDxfId="29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175" totalsRowShown="0" headerRowDxfId="28" dataDxfId="26" headerRowBorderDxfId="27" tableBorderDxfId="25" totalsRowBorderDxfId="24">
  <autoFilter ref="A1:I175" xr:uid="{B6423DC2-EC3F-4914-9E08-BC4E7C6626C9}"/>
  <tableColumns count="9">
    <tableColumn id="1" xr3:uid="{92BE0DCE-EF0C-43B2-937D-640EBFF087A6}" name="date" dataDxfId="23"/>
    <tableColumn id="2" xr3:uid="{B497FB59-180E-4B72-9ECD-E25C88173489}" name="team_number" dataDxfId="22"/>
    <tableColumn id="3" xr3:uid="{02A8A062-9D85-4980-948F-E89B2B2D08DF}" name="wins_on_date" dataDxfId="21"/>
    <tableColumn id="4" xr3:uid="{E0D3B2C4-0D10-4724-9583-EAA87E6A8BF5}" name="draws_on_date" dataDxfId="20"/>
    <tableColumn id="5" xr3:uid="{767C7E87-2BC0-427C-9555-EA488841AAAB}" name="tournament" dataDxfId="19"/>
    <tableColumn id="6" xr3:uid="{66D67E98-3764-4ECA-9F20-5B5D73B509B6}" name="check_tournament_name" dataDxfId="18">
      <calculatedColumnFormula>VLOOKUP(_teams[[#This Row],[tournament]],tournaments_n_rules[],2,0)</calculatedColumnFormula>
    </tableColumn>
    <tableColumn id="7" xr3:uid="{CA9C9E4C-39CD-4FED-BE6B-DC0186C66D05}" name="check_tournament_season" dataDxfId="17">
      <calculatedColumnFormula>VLOOKUP(_teams[[#This Row],[tournament]],tournaments_n_rules[],3,0)</calculatedColumnFormula>
    </tableColumn>
    <tableColumn id="8" xr3:uid="{C7ABE14A-A328-40B7-B865-90403A3A0555}" name="check_tournament_start" dataDxfId="16">
      <calculatedColumnFormula>VLOOKUP(_teams[[#This Row],[tournament]],tournaments_n_rules[],4,0)</calculatedColumnFormula>
    </tableColumn>
    <tableColumn id="9" xr3:uid="{7927A572-D944-4B6E-A2B5-383C0CB0B713}" name="check_tournament_stop" dataDxfId="15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7" totalsRowShown="0" headerRowDxfId="14" headerRowBorderDxfId="13" tableBorderDxfId="12" totalsRowBorderDxfId="11">
  <autoFilter ref="A1:K7" xr:uid="{BF253B66-23E6-43E6-B434-6BE21AA4DEBC}"/>
  <tableColumns count="11">
    <tableColumn id="1" xr3:uid="{6B933049-D090-4881-8423-76EBCF6F9C40}" name="tournament_id" dataDxfId="10">
      <calculatedColumnFormula>ROW()-1</calculatedColumnFormula>
    </tableColumn>
    <tableColumn id="2" xr3:uid="{37DDB493-473B-438A-BF16-ED5571D93B2D}" name="tournament_name" dataDxfId="9"/>
    <tableColumn id="11" xr3:uid="{93E7381D-185A-4B0F-836F-832791C984B4}" name="season" dataDxfId="8"/>
    <tableColumn id="3" xr3:uid="{FAAF31D4-70DC-4EA5-875C-04AC9E3A568F}" name="start" dataDxfId="7"/>
    <tableColumn id="4" xr3:uid="{FF338632-27CE-4F49-93E5-BE847FEFCCF1}" name="end" dataDxfId="6"/>
    <tableColumn id="5" xr3:uid="{B187E53B-A67C-4710-AC44-00CC5126A08C}" name="goals_coefficient" dataDxfId="5"/>
    <tableColumn id="6" xr3:uid="{A685A3A6-3568-4BFF-BC83-901416CF1337}" name="assists_coefficient" dataDxfId="4"/>
    <tableColumn id="7" xr3:uid="{AE1B915D-DCF6-4C2F-A613-11C35813F72E}" name="wins_coefficient" dataDxfId="3"/>
    <tableColumn id="8" xr3:uid="{48B0E9A3-3641-4038-A405-0616D787B749}" name="draws_coefficient" dataDxfId="2"/>
    <tableColumn id="9" xr3:uid="{4F4FCB37-77EB-4A98-90B5-C2DEF39A70C5}" name="saves_coefficient" dataDxfId="1"/>
    <tableColumn id="10" xr3:uid="{055A30D6-329F-4585-8DE1-892A0C6A60F7}" name="foul_coeffici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46"/>
  <sheetViews>
    <sheetView topLeftCell="A29" workbookViewId="0">
      <selection activeCell="A94" sqref="A94:XFD94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98</v>
      </c>
      <c r="G1" s="5" t="s">
        <v>160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94</v>
      </c>
      <c r="D2" s="19">
        <f>SUMIFS(_stats[assists_on_date],_stats[player_id],_players[[#This Row],[player_id]])</f>
        <v>34</v>
      </c>
      <c r="E2" s="19">
        <f>SUMIFS(_stats[wins_on_date],_stats[player_id],_players[[#This Row],[player_id]])</f>
        <v>113</v>
      </c>
      <c r="F2" s="20">
        <f>SUMIFS(_stats[draws_on_date],_stats[player_id],_players[[#This Row],[player_id]])</f>
        <v>14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60</v>
      </c>
      <c r="D3" s="11">
        <f>SUMIFS(_stats[assists_on_date],_stats[player_id],_players[[#This Row],[player_id]])</f>
        <v>42</v>
      </c>
      <c r="E3" s="11">
        <f>SUMIFS(_stats[wins_on_date],_stats[player_id],_players[[#This Row],[player_id]])</f>
        <v>171</v>
      </c>
      <c r="F3" s="12">
        <f>SUMIFS(_stats[draws_on_date],_stats[player_id],_players[[#This Row],[player_id]])</f>
        <v>35</v>
      </c>
      <c r="G3" s="12">
        <f>SUMIFS(_stats[foul_on_date],_stats[player_id],_players[[#This Row],[player_id]])</f>
        <v>2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169</v>
      </c>
      <c r="F4" s="17">
        <f>SUMIFS(_stats[draws_on_date],_stats[player_id],_players[[#This Row],[player_id]])</f>
        <v>35</v>
      </c>
      <c r="G4" s="17">
        <f>SUMIFS(_stats[foul_on_date],_stats[player_id],_players[[#This Row],[player_id]])</f>
        <v>0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30</v>
      </c>
      <c r="E5" s="21">
        <f>SUMIFS(_stats[wins_on_date],_stats[player_id],_players[[#This Row],[player_id]])</f>
        <v>105</v>
      </c>
      <c r="F5" s="22">
        <f>SUMIFS(_stats[draws_on_date],_stats[player_id],_players[[#This Row],[player_id]])</f>
        <v>10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26</v>
      </c>
      <c r="D6" s="16">
        <f>SUMIFS(_stats[assists_on_date],_stats[player_id],_players[[#This Row],[player_id]])</f>
        <v>17</v>
      </c>
      <c r="E6" s="16">
        <f>SUMIFS(_stats[wins_on_date],_stats[player_id],_players[[#This Row],[player_id]])</f>
        <v>184</v>
      </c>
      <c r="F6" s="17">
        <f>SUMIFS(_stats[draws_on_date],_stats[player_id],_players[[#This Row],[player_id]])</f>
        <v>39</v>
      </c>
      <c r="G6" s="17">
        <f>SUMIFS(_stats[foul_on_date],_stats[player_id],_players[[#This Row],[player_id]])</f>
        <v>0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61</v>
      </c>
      <c r="D7" s="11">
        <f>SUMIFS(_stats[assists_on_date],_stats[player_id],_players[[#This Row],[player_id]])</f>
        <v>41</v>
      </c>
      <c r="E7" s="11">
        <f>SUMIFS(_stats[wins_on_date],_stats[player_id],_players[[#This Row],[player_id]])</f>
        <v>105</v>
      </c>
      <c r="F7" s="12">
        <f>SUMIFS(_stats[draws_on_date],_stats[player_id],_players[[#This Row],[player_id]])</f>
        <v>25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39</v>
      </c>
      <c r="D8" s="11">
        <f>SUMIFS(_stats[assists_on_date],_stats[player_id],_players[[#This Row],[player_id]])</f>
        <v>26</v>
      </c>
      <c r="E8" s="11">
        <f>SUMIFS(_stats[wins_on_date],_stats[player_id],_players[[#This Row],[player_id]])</f>
        <v>146</v>
      </c>
      <c r="F8" s="12">
        <f>SUMIFS(_stats[draws_on_date],_stats[player_id],_players[[#This Row],[player_id]])</f>
        <v>35</v>
      </c>
      <c r="G8" s="12">
        <f>SUMIFS(_stats[foul_on_date],_stats[player_id],_players[[#This Row],[player_id]])</f>
        <v>0</v>
      </c>
    </row>
    <row r="9" spans="1:7" x14ac:dyDescent="0.25">
      <c r="A9" s="33" t="s">
        <v>68</v>
      </c>
      <c r="B9" s="33" t="s">
        <v>68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71</v>
      </c>
      <c r="F10" s="17">
        <f>SUMIFS(_stats[draws_on_date],_stats[player_id],_players[[#This Row],[player_id]])</f>
        <v>15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59</v>
      </c>
      <c r="B12" s="32" t="s">
        <v>59</v>
      </c>
      <c r="C12" s="16">
        <f>SUMIFS(_stats[goals_on_date],_stats[player_id],_players[[#This Row],[player_id]])</f>
        <v>67</v>
      </c>
      <c r="D12" s="16">
        <f>SUMIFS(_stats[assists_on_date],_stats[player_id],_players[[#This Row],[player_id]])</f>
        <v>73</v>
      </c>
      <c r="E12" s="16">
        <f>SUMIFS(_stats[wins_on_date],_stats[player_id],_players[[#This Row],[player_id]])</f>
        <v>132</v>
      </c>
      <c r="F12" s="17">
        <f>SUMIFS(_stats[draws_on_date],_stats[player_id],_players[[#This Row],[player_id]])</f>
        <v>37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76</v>
      </c>
      <c r="B13" s="35" t="s">
        <v>76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SUMIFS(_stats[foul_on_date],_stats[player_id],_players[[#This Row],[player_id]])</f>
        <v>0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10</v>
      </c>
      <c r="D14" s="11">
        <f>SUMIFS(_stats[assists_on_date],_stats[player_id],_players[[#This Row],[player_id]])</f>
        <v>9</v>
      </c>
      <c r="E14" s="11">
        <f>SUMIFS(_stats[wins_on_date],_stats[player_id],_players[[#This Row],[player_id]])</f>
        <v>146</v>
      </c>
      <c r="F14" s="12">
        <f>SUMIFS(_stats[draws_on_date],_stats[player_id],_players[[#This Row],[player_id]])</f>
        <v>34</v>
      </c>
      <c r="G14" s="12">
        <f>SUMIFS(_stats[foul_on_date],_stats[player_id],_players[[#This Row],[player_id]])</f>
        <v>0</v>
      </c>
    </row>
    <row r="15" spans="1:7" ht="15.75" x14ac:dyDescent="0.25">
      <c r="A15" s="30" t="s">
        <v>63</v>
      </c>
      <c r="B15" s="30" t="s">
        <v>63</v>
      </c>
      <c r="C15" s="11">
        <f>SUMIFS(_stats[goals_on_date],_stats[player_id],_players[[#This Row],[player_id]])</f>
        <v>17</v>
      </c>
      <c r="D15" s="11">
        <f>SUMIFS(_stats[assists_on_date],_stats[player_id],_players[[#This Row],[player_id]])</f>
        <v>35</v>
      </c>
      <c r="E15" s="11">
        <f>SUMIFS(_stats[wins_on_date],_stats[player_id],_players[[#This Row],[player_id]])</f>
        <v>73</v>
      </c>
      <c r="F15" s="12">
        <f>SUMIFS(_stats[draws_on_date],_stats[player_id],_players[[#This Row],[player_id]])</f>
        <v>8</v>
      </c>
      <c r="G15" s="12">
        <f>SUMIFS(_stats[foul_on_date],_stats[player_id],_players[[#This Row],[player_id]])</f>
        <v>0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17</v>
      </c>
      <c r="D16" s="11">
        <f>SUMIFS(_stats[assists_on_date],_stats[player_id],_players[[#This Row],[player_id]])</f>
        <v>29</v>
      </c>
      <c r="E16" s="11">
        <f>SUMIFS(_stats[wins_on_date],_stats[player_id],_players[[#This Row],[player_id]])</f>
        <v>64</v>
      </c>
      <c r="F16" s="12">
        <f>SUMIFS(_stats[draws_on_date],_stats[player_id],_players[[#This Row],[player_id]])</f>
        <v>5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16</v>
      </c>
      <c r="E17" s="11">
        <f>SUMIFS(_stats[wins_on_date],_stats[player_id],_players[[#This Row],[player_id]])</f>
        <v>56</v>
      </c>
      <c r="F17" s="12">
        <f>SUMIFS(_stats[draws_on_date],_stats[player_id],_players[[#This Row],[player_id]])</f>
        <v>12</v>
      </c>
      <c r="G17" s="12">
        <f>SUMIFS(_stats[foul_on_date],_stats[player_id],_players[[#This Row],[player_id]])</f>
        <v>0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39</v>
      </c>
      <c r="D18" s="11">
        <f>SUMIFS(_stats[assists_on_date],_stats[player_id],_players[[#This Row],[player_id]])</f>
        <v>33</v>
      </c>
      <c r="E18" s="11">
        <f>SUMIFS(_stats[wins_on_date],_stats[player_id],_players[[#This Row],[player_id]])</f>
        <v>99</v>
      </c>
      <c r="F18" s="12">
        <f>SUMIFS(_stats[draws_on_date],_stats[player_id],_players[[#This Row],[player_id]])</f>
        <v>11</v>
      </c>
      <c r="G18" s="12">
        <f>SUMIFS(_stats[foul_on_date],_stats[player_id],_players[[#This Row],[player_id]])</f>
        <v>0</v>
      </c>
    </row>
    <row r="19" spans="1:7" x14ac:dyDescent="0.25">
      <c r="A19" s="33" t="s">
        <v>65</v>
      </c>
      <c r="B19" s="33" t="s">
        <v>65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19</v>
      </c>
      <c r="D20" s="11">
        <f>SUMIFS(_stats[assists_on_date],_stats[player_id],_players[[#This Row],[player_id]])</f>
        <v>17</v>
      </c>
      <c r="E20" s="11">
        <f>SUMIFS(_stats[wins_on_date],_stats[player_id],_players[[#This Row],[player_id]])</f>
        <v>104</v>
      </c>
      <c r="F20" s="12">
        <f>SUMIFS(_stats[draws_on_date],_stats[player_id],_players[[#This Row],[player_id]])</f>
        <v>21</v>
      </c>
      <c r="G20" s="12">
        <f>SUMIFS(_stats[foul_on_date],_stats[player_id],_players[[#This Row],[player_id]])</f>
        <v>0</v>
      </c>
    </row>
    <row r="21" spans="1:7" ht="15.75" x14ac:dyDescent="0.25">
      <c r="A21" s="24" t="s">
        <v>52</v>
      </c>
      <c r="B21" s="24" t="s">
        <v>52</v>
      </c>
      <c r="C21" s="11">
        <f>SUMIFS(_stats[goals_on_date],_stats[player_id],_players[[#This Row],[player_id]])</f>
        <v>39</v>
      </c>
      <c r="D21" s="11">
        <f>SUMIFS(_stats[assists_on_date],_stats[player_id],_players[[#This Row],[player_id]])</f>
        <v>43</v>
      </c>
      <c r="E21" s="11">
        <f>SUMIFS(_stats[wins_on_date],_stats[player_id],_players[[#This Row],[player_id]])</f>
        <v>119</v>
      </c>
      <c r="F21" s="12">
        <f>SUMIFS(_stats[draws_on_date],_stats[player_id],_players[[#This Row],[player_id]])</f>
        <v>29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114</v>
      </c>
      <c r="F22" s="17">
        <f>SUMIFS(_stats[draws_on_date],_stats[player_id],_players[[#This Row],[player_id]])</f>
        <v>20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36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120</v>
      </c>
      <c r="F23" s="12">
        <f>SUMIFS(_stats[draws_on_date],_stats[player_id],_players[[#This Row],[player_id]])</f>
        <v>25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20</v>
      </c>
      <c r="F24" s="17">
        <f>SUMIFS(_stats[draws_on_date],_stats[player_id],_players[[#This Row],[player_id]])</f>
        <v>4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15</v>
      </c>
      <c r="D25" s="11">
        <f>SUMIFS(_stats[assists_on_date],_stats[player_id],_players[[#This Row],[player_id]])</f>
        <v>23</v>
      </c>
      <c r="E25" s="11">
        <f>SUMIFS(_stats[wins_on_date],_stats[player_id],_players[[#This Row],[player_id]])</f>
        <v>109</v>
      </c>
      <c r="F25" s="12">
        <f>SUMIFS(_stats[draws_on_date],_stats[player_id],_players[[#This Row],[player_id]])</f>
        <v>32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7</v>
      </c>
      <c r="E26" s="16">
        <f>SUMIFS(_stats[wins_on_date],_stats[player_id],_players[[#This Row],[player_id]])</f>
        <v>51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18</v>
      </c>
      <c r="E27" s="11">
        <f>SUMIFS(_stats[wins_on_date],_stats[player_id],_players[[#This Row],[player_id]])</f>
        <v>88</v>
      </c>
      <c r="F27" s="12">
        <f>SUMIFS(_stats[draws_on_date],_stats[player_id],_players[[#This Row],[player_id]])</f>
        <v>17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24</v>
      </c>
      <c r="G28" s="12">
        <f>SUMIFS(_stats[foul_on_date],_stats[player_id],_players[[#This Row],[player_id]])</f>
        <v>0</v>
      </c>
    </row>
    <row r="29" spans="1:7" x14ac:dyDescent="0.25">
      <c r="A29" s="36" t="s">
        <v>61</v>
      </c>
      <c r="B29" s="36" t="s">
        <v>61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10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46</v>
      </c>
      <c r="F30" s="17">
        <f>SUMIFS(_stats[draws_on_date],_stats[player_id],_players[[#This Row],[player_id]])</f>
        <v>10</v>
      </c>
      <c r="G30" s="17">
        <f>SUMIFS(_stats[foul_on_date],_stats[player_id],_players[[#This Row],[player_id]])</f>
        <v>0</v>
      </c>
    </row>
    <row r="31" spans="1:7" x14ac:dyDescent="0.25">
      <c r="A31" s="36" t="s">
        <v>67</v>
      </c>
      <c r="B31" s="36" t="s">
        <v>67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11</v>
      </c>
      <c r="E31" s="16">
        <f>SUMIFS(_stats[wins_on_date],_stats[player_id],_players[[#This Row],[player_id]])</f>
        <v>55</v>
      </c>
      <c r="F31" s="17">
        <f>SUMIFS(_stats[draws_on_date],_stats[player_id],_players[[#This Row],[player_id]])</f>
        <v>6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57</v>
      </c>
      <c r="B33" s="24" t="s">
        <v>57</v>
      </c>
      <c r="C33" s="11">
        <f>SUMIFS(_stats[goals_on_date],_stats[player_id],_players[[#This Row],[player_id]])</f>
        <v>7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27</v>
      </c>
      <c r="F33" s="12">
        <f>SUMIFS(_stats[draws_on_date],_stats[player_id],_players[[#This Row],[player_id]])</f>
        <v>11</v>
      </c>
      <c r="G33" s="12">
        <f>SUMIFS(_stats[foul_on_date],_stats[player_id],_players[[#This Row],[player_id]])</f>
        <v>0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76</v>
      </c>
      <c r="F35" s="17">
        <f>SUMIFS(_stats[draws_on_date],_stats[player_id],_players[[#This Row],[player_id]])</f>
        <v>23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58</v>
      </c>
      <c r="F37" s="12">
        <f>SUMIFS(_stats[draws_on_date],_stats[player_id],_players[[#This Row],[player_id]])</f>
        <v>16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14</v>
      </c>
      <c r="D38" s="11">
        <f>SUMIFS(_stats[assists_on_date],_stats[player_id],_players[[#This Row],[player_id]])</f>
        <v>14</v>
      </c>
      <c r="E38" s="11">
        <f>SUMIFS(_stats[wins_on_date],_stats[player_id],_players[[#This Row],[player_id]])</f>
        <v>59</v>
      </c>
      <c r="F38" s="12">
        <f>SUMIFS(_stats[draws_on_date],_stats[player_id],_players[[#This Row],[player_id]])</f>
        <v>20</v>
      </c>
      <c r="G38" s="12">
        <f>SUMIFS(_stats[foul_on_date],_stats[player_id],_players[[#This Row],[player_id]])</f>
        <v>0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151</v>
      </c>
      <c r="F39" s="12">
        <f>SUMIFS(_stats[draws_on_date],_stats[player_id],_players[[#This Row],[player_id]])</f>
        <v>48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73</v>
      </c>
      <c r="F41" s="12">
        <f>SUMIFS(_stats[draws_on_date],_stats[player_id],_players[[#This Row],[player_id]])</f>
        <v>24</v>
      </c>
      <c r="G41" s="12">
        <f>SUMIFS(_stats[foul_on_date],_stats[player_id],_players[[#This Row],[player_id]])</f>
        <v>0</v>
      </c>
    </row>
    <row r="42" spans="1:7" x14ac:dyDescent="0.25">
      <c r="A42" s="36" t="s">
        <v>64</v>
      </c>
      <c r="B42" s="36" t="s">
        <v>64</v>
      </c>
      <c r="C42" s="16">
        <f>SUMIFS(_stats[goals_on_date],_stats[player_id],_players[[#This Row],[player_id]])</f>
        <v>15</v>
      </c>
      <c r="D42" s="16">
        <f>SUMIFS(_stats[assists_on_date],_stats[player_id],_players[[#This Row],[player_id]])</f>
        <v>11</v>
      </c>
      <c r="E42" s="16">
        <f>SUMIFS(_stats[wins_on_date],_stats[player_id],_players[[#This Row],[player_id]])</f>
        <v>57</v>
      </c>
      <c r="F42" s="17">
        <f>SUMIFS(_stats[draws_on_date],_stats[player_id],_players[[#This Row],[player_id]])</f>
        <v>12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7</v>
      </c>
      <c r="D43" s="11">
        <f>SUMIFS(_stats[assists_on_date],_stats[player_id],_players[[#This Row],[player_id]])</f>
        <v>9</v>
      </c>
      <c r="E43" s="11">
        <f>SUMIFS(_stats[wins_on_date],_stats[player_id],_players[[#This Row],[player_id]])</f>
        <v>41</v>
      </c>
      <c r="F43" s="12">
        <f>SUMIFS(_stats[draws_on_date],_stats[player_id],_players[[#This Row],[player_id]])</f>
        <v>12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78</v>
      </c>
      <c r="B47" s="24" t="s">
        <v>78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80</v>
      </c>
      <c r="B48" s="36" t="s">
        <v>80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70</v>
      </c>
      <c r="B49" s="25" t="s">
        <v>70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54</v>
      </c>
      <c r="B50" s="24" t="s">
        <v>54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37</v>
      </c>
      <c r="F50" s="12">
        <f>SUMIFS(_stats[draws_on_date],_stats[player_id],_players[[#This Row],[player_id]])</f>
        <v>4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66</v>
      </c>
      <c r="B54" s="36" t="s">
        <v>66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77</v>
      </c>
      <c r="B56" s="24" t="s">
        <v>77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81</v>
      </c>
      <c r="B57" s="36" t="s">
        <v>81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73</v>
      </c>
      <c r="B58" s="24" t="s">
        <v>73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75</v>
      </c>
      <c r="B59" s="24" t="s">
        <v>75</v>
      </c>
      <c r="C59" s="10">
        <f>SUMIFS(_stats[goals_on_date],_stats[player_id],_players[[#This Row],[player_id]])</f>
        <v>14</v>
      </c>
      <c r="D59" s="10">
        <f>SUMIFS(_stats[assists_on_date],_stats[player_id],_players[[#This Row],[player_id]])</f>
        <v>6</v>
      </c>
      <c r="E59" s="10">
        <f>SUMIFS(_stats[wins_on_date],_stats[player_id],_players[[#This Row],[player_id]])</f>
        <v>39</v>
      </c>
      <c r="F59" s="18">
        <f>SUMIFS(_stats[draws_on_date],_stats[player_id],_players[[#This Row],[player_id]])</f>
        <v>8</v>
      </c>
      <c r="G59" s="18">
        <f>SUMIFS(_stats[foul_on_date],_stats[player_id],_players[[#This Row],[player_id]])</f>
        <v>0</v>
      </c>
    </row>
    <row r="60" spans="1:7" x14ac:dyDescent="0.25">
      <c r="A60" s="36" t="s">
        <v>82</v>
      </c>
      <c r="B60" s="36" t="s">
        <v>82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72</v>
      </c>
      <c r="B62" s="26" t="s">
        <v>72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74</v>
      </c>
      <c r="B63" s="25" t="s">
        <v>74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79</v>
      </c>
      <c r="B64" s="36" t="s">
        <v>79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94</v>
      </c>
      <c r="F64" s="18">
        <f>SUMIFS(_stats[draws_on_date],_stats[player_id],_players[[#This Row],[player_id]])</f>
        <v>24</v>
      </c>
      <c r="G64" s="18">
        <f>SUMIFS(_stats[foul_on_date],_stats[player_id],_players[[#This Row],[player_id]])</f>
        <v>0</v>
      </c>
    </row>
    <row r="65" spans="1:7" x14ac:dyDescent="0.25">
      <c r="A65" s="36" t="s">
        <v>83</v>
      </c>
      <c r="B65" s="36" t="s">
        <v>83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69</v>
      </c>
      <c r="B66" s="25" t="s">
        <v>69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SUMIFS(_stats[foul_on_date],_stats[player_id],_players[[#This Row],[player_id]])</f>
        <v>0</v>
      </c>
    </row>
    <row r="67" spans="1:7" x14ac:dyDescent="0.25">
      <c r="A67" s="36" t="s">
        <v>71</v>
      </c>
      <c r="B67" s="36" t="s">
        <v>71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51</v>
      </c>
      <c r="B68" s="26" t="s">
        <v>51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43</v>
      </c>
      <c r="F68" s="8">
        <f>SUMIFS(_stats[draws_on_date],_stats[player_id],_players[[#This Row],[player_id]])</f>
        <v>10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53</v>
      </c>
      <c r="B69" s="24" t="s">
        <v>53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1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55</v>
      </c>
      <c r="B70" s="26" t="s">
        <v>55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56</v>
      </c>
      <c r="B72" s="25" t="s">
        <v>56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62</v>
      </c>
      <c r="B73" s="36" t="s">
        <v>62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58</v>
      </c>
      <c r="B74" s="25" t="s">
        <v>58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84</v>
      </c>
      <c r="B75" s="36" t="s">
        <v>84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85</v>
      </c>
      <c r="B76" s="36" t="s">
        <v>85</v>
      </c>
      <c r="C76" s="10">
        <f>SUMIFS(_stats[goals_on_date],_stats[player_id],_players[[#This Row],[player_id]])</f>
        <v>38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38</v>
      </c>
      <c r="F76" s="18">
        <f>SUMIFS(_stats[draws_on_date],_stats[player_id],_players[[#This Row],[player_id]])</f>
        <v>11</v>
      </c>
      <c r="G76" s="18">
        <f>SUMIFS(_stats[foul_on_date],_stats[player_id],_players[[#This Row],[player_id]])</f>
        <v>0</v>
      </c>
    </row>
    <row r="77" spans="1:7" x14ac:dyDescent="0.25">
      <c r="A77" s="36" t="s">
        <v>86</v>
      </c>
      <c r="B77" s="36" t="s">
        <v>86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87</v>
      </c>
      <c r="B78" s="36" t="s">
        <v>87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146</v>
      </c>
      <c r="B79" s="36" t="s">
        <v>146</v>
      </c>
      <c r="C79" s="10">
        <f>SUMIFS(_stats[goals_on_date],_stats[player_id],_players[[#This Row],[player_id]])</f>
        <v>46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71</v>
      </c>
      <c r="F79" s="18">
        <f>SUMIFS(_stats[draws_on_date],_stats[player_id],_players[[#This Row],[player_id]])</f>
        <v>17</v>
      </c>
      <c r="G79" s="18">
        <f>SUMIFS(_stats[foul_on_date],_stats[player_id],_players[[#This Row],[player_id]])</f>
        <v>0</v>
      </c>
    </row>
    <row r="80" spans="1:7" x14ac:dyDescent="0.25">
      <c r="A80" s="36" t="s">
        <v>88</v>
      </c>
      <c r="B80" s="36" t="s">
        <v>88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89</v>
      </c>
      <c r="B81" s="36" t="s">
        <v>89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90</v>
      </c>
      <c r="B82" s="36" t="s">
        <v>90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95</v>
      </c>
      <c r="B83" s="26" t="s">
        <v>95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91</v>
      </c>
      <c r="B84" s="26" t="s">
        <v>91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20</v>
      </c>
      <c r="F84" s="18">
        <f>SUMIFS(_stats[draws_on_date],_stats[player_id],_players[[#This Row],[player_id]])</f>
        <v>3</v>
      </c>
      <c r="G84" s="18">
        <f>SUMIFS(_stats[foul_on_date],_stats[player_id],_players[[#This Row],[player_id]])</f>
        <v>0</v>
      </c>
    </row>
    <row r="85" spans="1:7" x14ac:dyDescent="0.25">
      <c r="A85" s="36" t="s">
        <v>92</v>
      </c>
      <c r="B85" s="36" t="s">
        <v>92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93</v>
      </c>
      <c r="B86" s="36" t="s">
        <v>93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94</v>
      </c>
      <c r="B87" s="36" t="s">
        <v>94</v>
      </c>
      <c r="C87" s="10">
        <f>SUMIFS(_stats[goals_on_date],_stats[player_id],_players[[#This Row],[player_id]])</f>
        <v>17</v>
      </c>
      <c r="D87" s="10">
        <f>SUMIFS(_stats[assists_on_date],_stats[player_id],_players[[#This Row],[player_id]])</f>
        <v>8</v>
      </c>
      <c r="E87" s="10">
        <f>SUMIFS(_stats[wins_on_date],_stats[player_id],_players[[#This Row],[player_id]])</f>
        <v>33</v>
      </c>
      <c r="F87" s="18">
        <f>SUMIFS(_stats[draws_on_date],_stats[player_id],_players[[#This Row],[player_id]])</f>
        <v>11</v>
      </c>
      <c r="G87" s="18">
        <f>SUMIFS(_stats[foul_on_date],_stats[player_id],_players[[#This Row],[player_id]])</f>
        <v>0</v>
      </c>
    </row>
    <row r="88" spans="1:7" x14ac:dyDescent="0.25">
      <c r="A88" s="36" t="s">
        <v>96</v>
      </c>
      <c r="B88" s="36" t="s">
        <v>96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10</v>
      </c>
      <c r="F88" s="18">
        <f>SUMIFS(_stats[draws_on_date],_stats[player_id],_players[[#This Row],[player_id]])</f>
        <v>1</v>
      </c>
      <c r="G88" s="18">
        <f>SUMIFS(_stats[foul_on_date],_stats[player_id],_players[[#This Row],[player_id]])</f>
        <v>0</v>
      </c>
    </row>
    <row r="89" spans="1:7" x14ac:dyDescent="0.25">
      <c r="A89" s="36" t="s">
        <v>102</v>
      </c>
      <c r="B89" s="36" t="s">
        <v>102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104</v>
      </c>
      <c r="B90" s="36" t="s">
        <v>104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105</v>
      </c>
      <c r="B91" s="37" t="s">
        <v>105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106</v>
      </c>
      <c r="B92" s="26" t="s">
        <v>106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107</v>
      </c>
      <c r="B93" s="37" t="s">
        <v>107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108</v>
      </c>
      <c r="B94" s="37" t="s">
        <v>108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109</v>
      </c>
      <c r="B95" s="37" t="s">
        <v>109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110</v>
      </c>
      <c r="B96" s="36" t="s">
        <v>110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111</v>
      </c>
      <c r="B97" s="36" t="s">
        <v>111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112</v>
      </c>
      <c r="B98" s="36" t="s">
        <v>112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113</v>
      </c>
      <c r="B99" s="36" t="s">
        <v>113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114</v>
      </c>
      <c r="B100" s="33" t="s">
        <v>114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115</v>
      </c>
      <c r="B101" s="33" t="s">
        <v>115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116</v>
      </c>
      <c r="B102" s="36" t="s">
        <v>116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117</v>
      </c>
      <c r="B103" s="36" t="s">
        <v>117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118</v>
      </c>
      <c r="B104" s="36" t="s">
        <v>118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119</v>
      </c>
      <c r="B105" s="36" t="s">
        <v>119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120</v>
      </c>
      <c r="B106" s="36" t="s">
        <v>120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4</v>
      </c>
      <c r="G106" s="18">
        <f>SUMIFS(_stats[foul_on_date],_stats[player_id],_players[[#This Row],[player_id]])</f>
        <v>0</v>
      </c>
    </row>
    <row r="107" spans="1:7" x14ac:dyDescent="0.25">
      <c r="A107" s="36" t="s">
        <v>121</v>
      </c>
      <c r="B107" s="36" t="s">
        <v>121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122</v>
      </c>
      <c r="B108" s="36" t="s">
        <v>122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123</v>
      </c>
      <c r="B109" s="36" t="s">
        <v>123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6</v>
      </c>
      <c r="F109" s="18">
        <f>SUMIFS(_stats[draws_on_date],_stats[player_id],_players[[#This Row],[player_id]])</f>
        <v>3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124</v>
      </c>
      <c r="B110" s="26" t="s">
        <v>124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33</v>
      </c>
      <c r="F110" s="18">
        <f>SUMIFS(_stats[draws_on_date],_stats[player_id],_players[[#This Row],[player_id]])</f>
        <v>11</v>
      </c>
      <c r="G110" s="18">
        <f>SUMIFS(_stats[foul_on_date],_stats[player_id],_players[[#This Row],[player_id]])</f>
        <v>0</v>
      </c>
    </row>
    <row r="111" spans="1:7" x14ac:dyDescent="0.25">
      <c r="A111" s="36" t="s">
        <v>125</v>
      </c>
      <c r="B111" s="36" t="s">
        <v>125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126</v>
      </c>
      <c r="B112" s="36" t="s">
        <v>126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127</v>
      </c>
      <c r="B113" s="36" t="s">
        <v>127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128</v>
      </c>
      <c r="B114" s="33" t="s">
        <v>128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129</v>
      </c>
      <c r="B115" s="33" t="s">
        <v>129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130</v>
      </c>
      <c r="B116" s="33" t="s">
        <v>130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131</v>
      </c>
      <c r="B117" s="36" t="s">
        <v>131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132</v>
      </c>
      <c r="B118" s="39" t="s">
        <v>132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133</v>
      </c>
      <c r="B119" s="39" t="s">
        <v>133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134</v>
      </c>
      <c r="B120" s="36" t="s">
        <v>134</v>
      </c>
      <c r="C120" s="10">
        <f>SUMIFS(_stats[goals_on_date],_stats[player_id],_players[[#This Row],[player_id]])</f>
        <v>4</v>
      </c>
      <c r="D120" s="10">
        <f>SUMIFS(_stats[assists_on_date],_stats[player_id],_players[[#This Row],[player_id]])</f>
        <v>6</v>
      </c>
      <c r="E120" s="10">
        <f>SUMIFS(_stats[wins_on_date],_stats[player_id],_players[[#This Row],[player_id]])</f>
        <v>20</v>
      </c>
      <c r="F120" s="18">
        <f>SUMIFS(_stats[draws_on_date],_stats[player_id],_players[[#This Row],[player_id]])</f>
        <v>8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135</v>
      </c>
      <c r="B121" s="39" t="s">
        <v>135</v>
      </c>
      <c r="C121" s="10">
        <f>SUMIFS(_stats[goals_on_date],_stats[player_id],_players[[#This Row],[player_id]])</f>
        <v>13</v>
      </c>
      <c r="D121" s="10">
        <f>SUMIFS(_stats[assists_on_date],_stats[player_id],_players[[#This Row],[player_id]])</f>
        <v>14</v>
      </c>
      <c r="E121" s="10">
        <f>SUMIFS(_stats[wins_on_date],_stats[player_id],_players[[#This Row],[player_id]])</f>
        <v>51</v>
      </c>
      <c r="F121" s="18">
        <f>SUMIFS(_stats[draws_on_date],_stats[player_id],_players[[#This Row],[player_id]])</f>
        <v>16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136</v>
      </c>
      <c r="B122" s="39" t="s">
        <v>136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137</v>
      </c>
      <c r="B123" s="26" t="s">
        <v>137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138</v>
      </c>
      <c r="B124" s="36" t="s">
        <v>138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139</v>
      </c>
      <c r="B125" s="36" t="s">
        <v>139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140</v>
      </c>
      <c r="B126" s="36" t="s">
        <v>140</v>
      </c>
      <c r="C126" s="10">
        <f>SUMIFS(_stats[goals_on_date],_stats[player_id],_players[[#This Row],[player_id]])</f>
        <v>8</v>
      </c>
      <c r="D126" s="10">
        <f>SUMIFS(_stats[assists_on_date],_stats[player_id],_players[[#This Row],[player_id]])</f>
        <v>4</v>
      </c>
      <c r="E126" s="10">
        <f>SUMIFS(_stats[wins_on_date],_stats[player_id],_players[[#This Row],[player_id]])</f>
        <v>17</v>
      </c>
      <c r="F126" s="18">
        <f>SUMIFS(_stats[draws_on_date],_stats[player_id],_players[[#This Row],[player_id]])</f>
        <v>7</v>
      </c>
      <c r="G126" s="18">
        <f>SUMIFS(_stats[foul_on_date],_stats[player_id],_players[[#This Row],[player_id]])</f>
        <v>0</v>
      </c>
    </row>
    <row r="127" spans="1:7" x14ac:dyDescent="0.25">
      <c r="A127" s="36" t="s">
        <v>141</v>
      </c>
      <c r="B127" s="36" t="s">
        <v>141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142</v>
      </c>
      <c r="B128" s="36" t="s">
        <v>142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143</v>
      </c>
      <c r="B129" s="36" t="s">
        <v>143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144</v>
      </c>
      <c r="B130" s="36" t="s">
        <v>144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3</v>
      </c>
      <c r="G130" s="18">
        <f>SUMIFS(_stats[foul_on_date],_stats[player_id],_players[[#This Row],[player_id]])</f>
        <v>0</v>
      </c>
    </row>
    <row r="131" spans="1:7" x14ac:dyDescent="0.25">
      <c r="A131" s="36" t="s">
        <v>145</v>
      </c>
      <c r="B131" s="36" t="s">
        <v>145</v>
      </c>
      <c r="C131" s="10">
        <f>SUMIFS(_stats[goals_on_date],_stats[player_id],_players[[#This Row],[player_id]])</f>
        <v>1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1</v>
      </c>
      <c r="F131" s="18">
        <f>SUMIFS(_stats[draws_on_date],_stats[player_id],_players[[#This Row],[player_id]])</f>
        <v>2</v>
      </c>
      <c r="G131" s="18">
        <f>SUMIFS(_stats[foul_on_date],_stats[player_id],_players[[#This Row],[player_id]])</f>
        <v>0</v>
      </c>
    </row>
    <row r="132" spans="1:7" x14ac:dyDescent="0.25">
      <c r="A132" s="36" t="s">
        <v>147</v>
      </c>
      <c r="B132" s="36" t="s">
        <v>147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148</v>
      </c>
      <c r="B133" s="36" t="s">
        <v>148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149</v>
      </c>
      <c r="B134" s="36" t="s">
        <v>149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11</v>
      </c>
      <c r="F134" s="18">
        <f>SUMIFS(_stats[draws_on_date],_stats[player_id],_players[[#This Row],[player_id]])</f>
        <v>2</v>
      </c>
      <c r="G134" s="18">
        <f>SUMIFS(_stats[foul_on_date],_stats[player_id],_players[[#This Row],[player_id]])</f>
        <v>0</v>
      </c>
    </row>
    <row r="135" spans="1:7" x14ac:dyDescent="0.25">
      <c r="A135" s="36" t="s">
        <v>150</v>
      </c>
      <c r="B135" s="36" t="s">
        <v>150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151</v>
      </c>
      <c r="B136" s="36" t="s">
        <v>151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152</v>
      </c>
      <c r="B137" s="36" t="s">
        <v>152</v>
      </c>
      <c r="C137" s="10">
        <f>SUMIFS(_stats[goals_on_date],_stats[player_id],_players[[#This Row],[player_id]])</f>
        <v>1</v>
      </c>
      <c r="D137" s="10">
        <f>SUMIFS(_stats[assists_on_date],_stats[player_id],_players[[#This Row],[player_id]])</f>
        <v>1</v>
      </c>
      <c r="E137" s="10">
        <f>SUMIFS(_stats[wins_on_date],_stats[player_id],_players[[#This Row],[player_id]])</f>
        <v>10</v>
      </c>
      <c r="F137" s="18">
        <f>SUMIFS(_stats[draws_on_date],_stats[player_id],_players[[#This Row],[player_id]])</f>
        <v>2</v>
      </c>
      <c r="G137" s="18">
        <f>SUMIFS(_stats[foul_on_date],_stats[player_id],_players[[#This Row],[player_id]])</f>
        <v>0</v>
      </c>
    </row>
    <row r="138" spans="1:7" x14ac:dyDescent="0.25">
      <c r="A138" s="36" t="s">
        <v>153</v>
      </c>
      <c r="B138" s="36" t="s">
        <v>153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154</v>
      </c>
      <c r="B139" s="36" t="s">
        <v>154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155</v>
      </c>
      <c r="B140" s="36" t="s">
        <v>155</v>
      </c>
      <c r="C140" s="10">
        <f>SUMIFS(_stats[goals_on_date],_stats[player_id],_players[[#This Row],[player_id]])</f>
        <v>2</v>
      </c>
      <c r="D140" s="10">
        <f>SUMIFS(_stats[assists_on_date],_stats[player_id],_players[[#This Row],[player_id]])</f>
        <v>1</v>
      </c>
      <c r="E140" s="10">
        <f>SUMIFS(_stats[wins_on_date],_stats[player_id],_players[[#This Row],[player_id]])</f>
        <v>3</v>
      </c>
      <c r="F140" s="18">
        <f>SUMIFS(_stats[draws_on_date],_stats[player_id],_players[[#This Row],[player_id]])</f>
        <v>2</v>
      </c>
      <c r="G140" s="18">
        <f>SUMIFS(_stats[foul_on_date],_stats[player_id],_players[[#This Row],[player_id]])</f>
        <v>0</v>
      </c>
    </row>
    <row r="141" spans="1:7" x14ac:dyDescent="0.25">
      <c r="A141" s="36" t="s">
        <v>156</v>
      </c>
      <c r="B141" s="36" t="s">
        <v>156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159</v>
      </c>
      <c r="B142" s="36" t="s">
        <v>159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1</v>
      </c>
      <c r="F142" s="18">
        <f>SUMIFS(_stats[draws_on_date],_stats[player_id],_players[[#This Row],[player_id]])</f>
        <v>0</v>
      </c>
      <c r="G142" s="18">
        <f>SUMIFS(_stats[foul_on_date],_stats[player_id],_players[[#This Row],[player_id]])</f>
        <v>0</v>
      </c>
    </row>
    <row r="143" spans="1:7" x14ac:dyDescent="0.25">
      <c r="A143" s="36" t="s">
        <v>157</v>
      </c>
      <c r="B143" s="36" t="s">
        <v>157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0</v>
      </c>
      <c r="G143" s="18">
        <f>SUMIFS(_stats[foul_on_date],_stats[player_id],_players[[#This Row],[player_id]])</f>
        <v>0</v>
      </c>
    </row>
    <row r="144" spans="1:7" x14ac:dyDescent="0.25">
      <c r="A144" s="36" t="s">
        <v>158</v>
      </c>
      <c r="B144" s="36" t="s">
        <v>158</v>
      </c>
      <c r="C144" s="10">
        <f>SUMIFS(_stats[goals_on_date],_stats[player_id],_players[[#This Row],[player_id]])</f>
        <v>0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3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0</v>
      </c>
    </row>
    <row r="145" spans="1:7" x14ac:dyDescent="0.25">
      <c r="A145" s="36" t="s">
        <v>182</v>
      </c>
      <c r="B145" s="36" t="s">
        <v>182</v>
      </c>
      <c r="C145" s="10">
        <f>SUMIFS(_stats[goals_on_date],_stats[player_id],_players[[#This Row],[player_id]])</f>
        <v>3</v>
      </c>
      <c r="D145" s="10">
        <f>SUMIFS(_stats[assists_on_date],_stats[player_id],_players[[#This Row],[player_id]])</f>
        <v>1</v>
      </c>
      <c r="E145" s="10">
        <f>SUMIFS(_stats[wins_on_date],_stats[player_id],_players[[#This Row],[player_id]])</f>
        <v>7</v>
      </c>
      <c r="F145" s="18">
        <f>SUMIFS(_stats[draws_on_date],_stats[player_id],_players[[#This Row],[player_id]])</f>
        <v>2</v>
      </c>
      <c r="G145" s="18">
        <f>SUMIFS(_stats[foul_on_date],_stats[player_id],_players[[#This Row],[player_id]])</f>
        <v>0</v>
      </c>
    </row>
    <row r="146" spans="1:7" x14ac:dyDescent="0.25">
      <c r="A146" s="36" t="s">
        <v>183</v>
      </c>
      <c r="B146" s="36" t="s">
        <v>183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240"/>
  <sheetViews>
    <sheetView tabSelected="1" topLeftCell="A1206" zoomScale="85" zoomScaleNormal="85" workbookViewId="0">
      <selection activeCell="G1221" sqref="G1221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99</v>
      </c>
      <c r="I1" s="4" t="s">
        <v>97</v>
      </c>
      <c r="J1" s="4" t="s">
        <v>161</v>
      </c>
      <c r="K1" s="4" t="s">
        <v>100</v>
      </c>
      <c r="L1" s="53" t="s">
        <v>178</v>
      </c>
      <c r="M1" s="53" t="s">
        <v>179</v>
      </c>
      <c r="N1" s="54" t="s">
        <v>180</v>
      </c>
      <c r="O1" s="54" t="s">
        <v>181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63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72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54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53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57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56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58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59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52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60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11" t="s">
        <v>51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76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61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63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62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64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59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52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61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65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76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64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66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68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67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63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66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59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67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69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52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68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70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65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57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76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71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61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67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63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68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61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68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65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54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75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57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74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59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72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67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77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78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76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59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68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80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81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52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82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57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83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78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68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61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77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63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76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84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61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59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80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52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54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51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75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85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86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87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67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146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61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78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63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77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85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52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59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77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146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88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89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90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61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95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146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77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63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78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91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63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67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78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95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67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76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77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52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59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146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64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69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92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51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54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75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93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63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78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64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67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94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59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88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80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63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96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78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95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67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94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64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74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52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146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59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61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81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51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54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75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94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85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94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61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63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146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78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85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85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146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76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59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102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63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59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76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146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67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104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85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110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59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81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106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108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75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109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107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52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146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108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109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111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95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94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112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104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80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52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85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108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113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114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115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110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76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104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146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104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108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61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109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51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67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116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104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59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146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117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52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80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106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115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109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64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104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111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52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59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61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80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110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59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66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52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115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114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80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76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85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116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66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61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52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69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59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75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111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54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59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52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110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69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80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65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118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119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114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116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52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80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107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61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146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59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52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106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115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120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121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114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80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52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59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122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115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80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114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52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61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59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69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80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115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51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75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123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59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66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146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80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65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115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57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114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124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52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146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59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66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80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51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125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52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59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94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66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126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124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146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127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52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59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57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11" t="s">
        <v>51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75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128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129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66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130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124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80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124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64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54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53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57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131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80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59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124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59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134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64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85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52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53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54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71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132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133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65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136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59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134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137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64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52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135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85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95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134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140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59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146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63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124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120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94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137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107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138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139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67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140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75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141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136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57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51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142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135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143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64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146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135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52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107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124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120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145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144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134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146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52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139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144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124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96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59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51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135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120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94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63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59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135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91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67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150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65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80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124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124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110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64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59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75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134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85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135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140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52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138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80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110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53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140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139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59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91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135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63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52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63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67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124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51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135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57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140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54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123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91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136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51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64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134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135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124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54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159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52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157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57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59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158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45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63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135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140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21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22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182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10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75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59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17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44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25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42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27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19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94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13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79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49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47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183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12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85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43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54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155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108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65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</sheetData>
  <phoneticPr fontId="5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175"/>
  <sheetViews>
    <sheetView topLeftCell="A143" workbookViewId="0">
      <selection activeCell="E175" sqref="E175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99</v>
      </c>
      <c r="E1" s="5" t="s">
        <v>100</v>
      </c>
      <c r="F1" s="49" t="s">
        <v>178</v>
      </c>
      <c r="G1" s="49" t="s">
        <v>179</v>
      </c>
      <c r="H1" s="50" t="s">
        <v>180</v>
      </c>
      <c r="I1" s="50" t="s">
        <v>181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</sheetData>
  <dataValidations count="1">
    <dataValidation type="list" allowBlank="1" showInputMessage="1" showErrorMessage="1" sqref="B2:B175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7"/>
  <sheetViews>
    <sheetView workbookViewId="0">
      <selection activeCell="B12" sqref="B12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168</v>
      </c>
      <c r="B1" s="4" t="s">
        <v>169</v>
      </c>
      <c r="C1" s="4" t="s">
        <v>162</v>
      </c>
      <c r="D1" s="4" t="s">
        <v>170</v>
      </c>
      <c r="E1" s="4" t="s">
        <v>171</v>
      </c>
      <c r="F1" s="44" t="s">
        <v>172</v>
      </c>
      <c r="G1" s="44" t="s">
        <v>173</v>
      </c>
      <c r="H1" s="44" t="s">
        <v>174</v>
      </c>
      <c r="I1" s="44" t="s">
        <v>175</v>
      </c>
      <c r="J1" s="44" t="s">
        <v>176</v>
      </c>
      <c r="K1" s="43" t="s">
        <v>177</v>
      </c>
    </row>
    <row r="2" spans="1:11" x14ac:dyDescent="0.25">
      <c r="A2" s="46">
        <f t="shared" ref="A2:A7" si="0">ROW()-1</f>
        <v>1</v>
      </c>
      <c r="B2" s="45" t="s">
        <v>101</v>
      </c>
      <c r="C2" s="45" t="s">
        <v>163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101</v>
      </c>
      <c r="C3" s="45" t="s">
        <v>164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101</v>
      </c>
      <c r="C4" s="45" t="s">
        <v>165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103</v>
      </c>
      <c r="C5" s="45" t="s">
        <v>165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103</v>
      </c>
      <c r="C6" s="45" t="s">
        <v>166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103</v>
      </c>
      <c r="C7" s="45" t="s">
        <v>167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2026-05-21T21:15:53Z</dcterms:modified>
</cp:coreProperties>
</file>