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2C008381-35E4-43EB-B3C5-08031958E7E7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6" i="1" l="1"/>
  <c r="D146" i="1"/>
  <c r="F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E145" i="1" s="1"/>
  <c r="H1218" i="2"/>
  <c r="F145" i="1" s="1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E143" i="1" s="1"/>
  <c r="H1201" i="2"/>
  <c r="F143" i="1" s="1"/>
  <c r="D1200" i="2"/>
  <c r="G1200" i="2"/>
  <c r="H1200" i="2"/>
  <c r="D1199" i="2"/>
  <c r="G1199" i="2"/>
  <c r="E142" i="1" s="1"/>
  <c r="H1199" i="2"/>
  <c r="F142" i="1" s="1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F140" i="1" s="1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40" i="1" l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<sst xmlns="http://schemas.openxmlformats.org/spreadsheetml/2006/main" count="1583" uniqueCount="184">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</sst>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6" totalsRowShown="0" headerRowDxfId="59" headerRowBorderDxfId="58" tableBorderDxfId="57" totalsRowBorderDxfId="56">
  <autoFilter ref="A1:G146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240" totalsRowShown="0" headerRowDxfId="48" dataDxfId="46" headerRowBorderDxfId="47" tableBorderDxfId="45" totalsRowBorderDxfId="44">
  <autoFilter ref="A1:O1240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75" totalsRowShown="0" headerRowDxfId="28" dataDxfId="26" headerRowBorderDxfId="27" tableBorderDxfId="25" totalsRowBorderDxfId="24">
  <autoFilter ref="A1:I175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6"/>
  <sheetViews>
    <sheetView workbookViewId="0">
      <selection activeCell="A94" sqref="A94:XFD9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94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113</v>
      </c>
      <c r="F2" s="20">
        <f>SUMIFS(_stats[draws_on_date],_stats[player_id],_players[[#This Row],[player_id]])</f>
        <v>14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171</v>
      </c>
      <c r="F3" s="12">
        <f>SUMIFS(_stats[draws_on_date],_stats[player_id],_players[[#This Row],[player_id]])</f>
        <v>35</v>
      </c>
      <c r="G3" s="12">
        <f>SUMIFS(_stats[foul_on_date],_stats[player_id],_players[[#This Row],[player_id]])</f>
        <v>2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169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0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30</v>
      </c>
      <c r="E5" s="21">
        <f>SUMIFS(_stats[wins_on_date],_stats[player_id],_players[[#This Row],[player_id]])</f>
        <v>105</v>
      </c>
      <c r="F5" s="22">
        <f>SUMIFS(_stats[draws_on_date],_stats[player_id],_players[[#This Row],[player_id]])</f>
        <v>10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184</v>
      </c>
      <c r="F6" s="17">
        <f>SUMIFS(_stats[draws_on_date],_stats[player_id],_players[[#This Row],[player_id]])</f>
        <v>39</v>
      </c>
      <c r="G6" s="17">
        <f>SUMIFS(_stats[foul_on_date],_stats[player_id],_players[[#This Row],[player_id]])</f>
        <v>0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146</v>
      </c>
      <c r="F8" s="12">
        <f>SUMIFS(_stats[draws_on_date],_stats[player_id],_players[[#This Row],[player_id]])</f>
        <v>35</v>
      </c>
      <c r="G8" s="12">
        <f>SUMIFS(_stats[foul_on_date],_stats[player_id],_players[[#This Row],[player_id]])</f>
        <v>0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71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67</v>
      </c>
      <c r="D12" s="16">
        <f>SUMIFS(_stats[assists_on_date],_stats[player_id],_players[[#This Row],[player_id]])</f>
        <v>72</v>
      </c>
      <c r="E12" s="16">
        <f>SUMIFS(_stats[wins_on_date],_stats[player_id],_players[[#This Row],[player_id]])</f>
        <v>132</v>
      </c>
      <c r="F12" s="17">
        <f>SUMIFS(_stats[draws_on_date],_stats[player_id],_players[[#This Row],[player_id]])</f>
        <v>37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SUMIFS(_stats[foul_on_date],_stats[player_id],_players[[#This Row],[player_id]])</f>
        <v>0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146</v>
      </c>
      <c r="F14" s="12">
        <f>SUMIFS(_stats[draws_on_date],_stats[player_id],_players[[#This Row],[player_id]])</f>
        <v>34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17</v>
      </c>
      <c r="D15" s="11">
        <f>SUMIFS(_stats[assists_on_date],_stats[player_id],_players[[#This Row],[player_id]])</f>
        <v>35</v>
      </c>
      <c r="E15" s="11">
        <f>SUMIFS(_stats[wins_on_date],_stats[player_id],_players[[#This Row],[player_id]])</f>
        <v>73</v>
      </c>
      <c r="F15" s="12">
        <f>SUMIFS(_stats[draws_on_date],_stats[player_id],_players[[#This Row],[player_id]])</f>
        <v>8</v>
      </c>
      <c r="G15" s="12">
        <f>SUMIFS(_stats[foul_on_date],_stats[player_id],_players[[#This Row],[player_id]])</f>
        <v>0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56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39</v>
      </c>
      <c r="D18" s="11">
        <f>SUMIFS(_stats[assists_on_date],_stats[player_id],_players[[#This Row],[player_id]])</f>
        <v>33</v>
      </c>
      <c r="E18" s="11">
        <f>SUMIFS(_stats[wins_on_date],_stats[player_id],_players[[#This Row],[player_id]])</f>
        <v>99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104</v>
      </c>
      <c r="F20" s="12">
        <f>SUMIFS(_stats[draws_on_date],_stats[player_id],_players[[#This Row],[player_id]])</f>
        <v>21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39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119</v>
      </c>
      <c r="F21" s="12">
        <f>SUMIFS(_stats[draws_on_date],_stats[player_id],_players[[#This Row],[player_id]])</f>
        <v>29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114</v>
      </c>
      <c r="F22" s="17">
        <f>SUMIFS(_stats[draws_on_date],_stats[player_id],_players[[#This Row],[player_id]])</f>
        <v>20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120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20</v>
      </c>
      <c r="F24" s="17">
        <f>SUMIFS(_stats[draws_on_date],_stats[player_id],_players[[#This Row],[player_id]])</f>
        <v>4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23</v>
      </c>
      <c r="E25" s="11">
        <f>SUMIFS(_stats[wins_on_date],_stats[player_id],_players[[#This Row],[player_id]])</f>
        <v>109</v>
      </c>
      <c r="F25" s="12">
        <f>SUMIFS(_stats[draws_on_date],_stats[player_id],_players[[#This Row],[player_id]])</f>
        <v>32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51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SUMIFS(_stats[foul_on_date],_stats[player_id],_players[[#This Row],[player_id]])</f>
        <v>0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7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27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0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76</v>
      </c>
      <c r="F35" s="17">
        <f>SUMIFS(_stats[draws_on_date],_stats[player_id],_players[[#This Row],[player_id]])</f>
        <v>23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59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0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151</v>
      </c>
      <c r="F39" s="12">
        <f>SUMIFS(_stats[draws_on_date],_stats[player_id],_players[[#This Row],[player_id]])</f>
        <v>48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73</v>
      </c>
      <c r="F41" s="12">
        <f>SUMIFS(_stats[draws_on_date],_stats[player_id],_players[[#This Row],[player_id]])</f>
        <v>24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9</v>
      </c>
      <c r="E43" s="11">
        <f>SUMIFS(_stats[wins_on_date],_stats[player_id],_players[[#This Row],[player_id]])</f>
        <v>41</v>
      </c>
      <c r="F43" s="12">
        <f>SUMIFS(_stats[draws_on_date],_stats[player_id],_players[[#This Row],[player_id]])</f>
        <v>12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37</v>
      </c>
      <c r="F50" s="12">
        <f>SUMIFS(_stats[draws_on_date],_stats[player_id],_players[[#This Row],[player_id]])</f>
        <v>4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14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39</v>
      </c>
      <c r="F59" s="18">
        <f>SUMIFS(_stats[draws_on_date],_stats[player_id],_players[[#This Row],[player_id]])</f>
        <v>8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94</v>
      </c>
      <c r="F64" s="18">
        <f>SUMIFS(_stats[draws_on_date],_stats[player_id],_players[[#This Row],[player_id]])</f>
        <v>24</v>
      </c>
      <c r="G64" s="18">
        <f>SUMIFS(_stats[foul_on_date],_stats[player_id],_players[[#This Row],[player_id]])</f>
        <v>0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38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0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20</v>
      </c>
      <c r="F120" s="18">
        <f>SUMIFS(_stats[draws_on_date],_stats[player_id],_players[[#This Row],[player_id]])</f>
        <v>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14</v>
      </c>
      <c r="E121" s="10">
        <f>SUMIFS(_stats[wins_on_date],_stats[player_id],_players[[#This Row],[player_id]])</f>
        <v>51</v>
      </c>
      <c r="F121" s="18">
        <f>SUMIFS(_stats[draws_on_date],_stats[player_id],_players[[#This Row],[player_id]])</f>
        <v>16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17</v>
      </c>
      <c r="F126" s="18">
        <f>SUMIFS(_stats[draws_on_date],_stats[player_id],_players[[#This Row],[player_id]])</f>
        <v>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SUMIFS(_stats[foul_on_date],_stats[player_id],_players[[#This Row],[player_id]])</f>
        <v>0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2</v>
      </c>
      <c r="G134" s="18">
        <f>SUMIFS(_stats[foul_on_date],_stats[player_id],_players[[#This Row],[player_id]])</f>
        <v>0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0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0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0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3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0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3</v>
      </c>
      <c r="D145" s="10">
        <f>SUMIFS(_stats[assists_on_date],_stats[player_id],_players[[#This Row],[player_id]])</f>
        <v>1</v>
      </c>
      <c r="E145" s="10">
        <f>SUMIFS(_stats[wins_on_date],_stats[player_id],_players[[#This Row],[player_id]])</f>
        <v>7</v>
      </c>
      <c r="F145" s="18">
        <f>SUMIFS(_stats[draws_on_date],_stats[player_id],_players[[#This Row],[player_id]])</f>
        <v>2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240"/>
  <sheetViews>
    <sheetView topLeftCell="A1206" zoomScale="85" zoomScaleNormal="85" workbookViewId="0">
      <selection activeCell="E1239" sqref="E1239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2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75"/>
  <sheetViews>
    <sheetView topLeftCell="A143" workbookViewId="0">
      <selection activeCell="E175" sqref="E17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75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tabSelected="1"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2026-05-21T20:06:37Z</dcterms:modified>
</cp:coreProperties>
</file>