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5B1760D9-1EAA-4182-AE37-ACD9C3C9B75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12" i="2" l="1"/>
  <c r="F212" i="3"/>
  <c r="G212" i="3"/>
  <c r="H212" i="3"/>
  <c r="I212" i="3"/>
  <c r="F211" i="3"/>
  <c r="G211" i="3"/>
  <c r="H211" i="3"/>
  <c r="I211" i="3"/>
  <c r="F210" i="3"/>
  <c r="G210" i="3"/>
  <c r="H210" i="3"/>
  <c r="I210" i="3"/>
  <c r="F209" i="3"/>
  <c r="G209" i="3"/>
  <c r="H209" i="3"/>
  <c r="I209" i="3"/>
  <c r="C182" i="1"/>
  <c r="D182" i="1"/>
  <c r="E182" i="1"/>
  <c r="F182" i="1"/>
  <c r="G182" i="1"/>
  <c r="C181" i="1"/>
  <c r="D181" i="1"/>
  <c r="G181" i="1"/>
  <c r="D1523" i="2"/>
  <c r="G1523" i="2"/>
  <c r="H1523" i="2"/>
  <c r="L1523" i="2"/>
  <c r="M1523" i="2"/>
  <c r="N1523" i="2"/>
  <c r="O1523" i="2"/>
  <c r="D1522" i="2"/>
  <c r="G1522" i="2"/>
  <c r="H1522" i="2"/>
  <c r="L1522" i="2"/>
  <c r="M1522" i="2"/>
  <c r="N1522" i="2"/>
  <c r="O1522" i="2"/>
  <c r="D1521" i="2"/>
  <c r="G1521" i="2"/>
  <c r="H1521" i="2"/>
  <c r="L1521" i="2"/>
  <c r="M1521" i="2"/>
  <c r="N1521" i="2"/>
  <c r="O1521" i="2"/>
  <c r="D1520" i="2"/>
  <c r="G1520" i="2"/>
  <c r="H1520" i="2"/>
  <c r="L1520" i="2"/>
  <c r="M1520" i="2"/>
  <c r="N1520" i="2"/>
  <c r="O1520" i="2"/>
  <c r="D1519" i="2"/>
  <c r="G1519" i="2"/>
  <c r="H1519" i="2"/>
  <c r="L1519" i="2"/>
  <c r="M1519" i="2"/>
  <c r="N1519" i="2"/>
  <c r="O1519" i="2"/>
  <c r="D1518" i="2"/>
  <c r="G1518" i="2"/>
  <c r="H1518" i="2"/>
  <c r="L1518" i="2"/>
  <c r="M1518" i="2"/>
  <c r="N1518" i="2"/>
  <c r="O1518" i="2"/>
  <c r="D1517" i="2"/>
  <c r="G1517" i="2"/>
  <c r="H1517" i="2"/>
  <c r="L1517" i="2"/>
  <c r="M1517" i="2"/>
  <c r="N1517" i="2"/>
  <c r="O1517" i="2"/>
  <c r="D1516" i="2"/>
  <c r="G1516" i="2"/>
  <c r="H1516" i="2"/>
  <c r="L1516" i="2"/>
  <c r="M1516" i="2"/>
  <c r="N1516" i="2"/>
  <c r="O1516" i="2"/>
  <c r="D1515" i="2"/>
  <c r="G1515" i="2"/>
  <c r="H1515" i="2"/>
  <c r="L1515" i="2"/>
  <c r="M1515" i="2"/>
  <c r="N1515" i="2"/>
  <c r="O1515" i="2"/>
  <c r="D1514" i="2"/>
  <c r="G1514" i="2"/>
  <c r="E181" i="1" s="1"/>
  <c r="H1514" i="2"/>
  <c r="F181" i="1" s="1"/>
  <c r="L1514" i="2"/>
  <c r="M1514" i="2"/>
  <c r="N1514" i="2"/>
  <c r="O1514" i="2"/>
  <c r="D1513" i="2"/>
  <c r="G1513" i="2"/>
  <c r="H1513" i="2"/>
  <c r="L1513" i="2"/>
  <c r="M1513" i="2"/>
  <c r="N1513" i="2"/>
  <c r="O1513" i="2"/>
  <c r="G1512" i="2"/>
  <c r="H1512" i="2"/>
  <c r="L1512" i="2"/>
  <c r="M1512" i="2"/>
  <c r="N1512" i="2"/>
  <c r="O1512" i="2"/>
  <c r="D1511" i="2"/>
  <c r="G1511" i="2"/>
  <c r="H1511" i="2"/>
  <c r="L1511" i="2"/>
  <c r="M1511" i="2"/>
  <c r="N1511" i="2"/>
  <c r="O1511" i="2"/>
  <c r="D1510" i="2"/>
  <c r="G1510" i="2"/>
  <c r="H1510" i="2"/>
  <c r="L1510" i="2"/>
  <c r="M1510" i="2"/>
  <c r="N1510" i="2"/>
  <c r="O1510" i="2"/>
  <c r="D1509" i="2"/>
  <c r="G1509" i="2"/>
  <c r="H1509" i="2"/>
  <c r="L1509" i="2"/>
  <c r="M1509" i="2"/>
  <c r="N1509" i="2"/>
  <c r="O1509" i="2"/>
  <c r="D1508" i="2"/>
  <c r="G1508" i="2"/>
  <c r="H1508" i="2"/>
  <c r="L1508" i="2"/>
  <c r="M1508" i="2"/>
  <c r="N1508" i="2"/>
  <c r="O1508" i="2"/>
  <c r="D1507" i="2"/>
  <c r="G1507" i="2"/>
  <c r="H1507" i="2"/>
  <c r="L1507" i="2"/>
  <c r="M1507" i="2"/>
  <c r="N1507" i="2"/>
  <c r="O1507" i="2"/>
  <c r="D1506" i="2"/>
  <c r="G1506" i="2"/>
  <c r="H1506" i="2"/>
  <c r="L1506" i="2"/>
  <c r="M1506" i="2"/>
  <c r="N1506" i="2"/>
  <c r="O1506" i="2"/>
  <c r="D1505" i="2"/>
  <c r="G1505" i="2"/>
  <c r="H1505" i="2"/>
  <c r="L1505" i="2"/>
  <c r="M1505" i="2"/>
  <c r="N1505" i="2"/>
  <c r="O1505" i="2"/>
  <c r="D1504" i="2"/>
  <c r="G1504" i="2"/>
  <c r="H1504" i="2"/>
  <c r="L1504" i="2"/>
  <c r="M1504" i="2"/>
  <c r="N1504" i="2"/>
  <c r="O1504" i="2"/>
  <c r="D1503" i="2"/>
  <c r="G1503" i="2"/>
  <c r="H1503" i="2"/>
  <c r="L1503" i="2"/>
  <c r="M1503" i="2"/>
  <c r="N1503" i="2"/>
  <c r="O1503" i="2"/>
  <c r="D1502" i="2"/>
  <c r="G1502" i="2"/>
  <c r="H1502" i="2"/>
  <c r="L1502" i="2"/>
  <c r="M1502" i="2"/>
  <c r="N1502" i="2"/>
  <c r="O1502" i="2"/>
  <c r="D1501" i="2"/>
  <c r="G1501" i="2"/>
  <c r="H1501" i="2"/>
  <c r="L1501" i="2"/>
  <c r="M1501" i="2"/>
  <c r="N1501" i="2"/>
  <c r="O1501" i="2"/>
  <c r="D1500" i="2"/>
  <c r="G1500" i="2"/>
  <c r="H1500" i="2"/>
  <c r="L1500" i="2"/>
  <c r="M1500" i="2"/>
  <c r="N1500" i="2"/>
  <c r="O1500" i="2"/>
  <c r="D1499" i="2"/>
  <c r="G1499" i="2"/>
  <c r="H1499" i="2"/>
  <c r="L1499" i="2"/>
  <c r="M1499" i="2"/>
  <c r="N1499" i="2"/>
  <c r="O1499" i="2"/>
  <c r="D1498" i="2"/>
  <c r="G1498" i="2"/>
  <c r="H1498" i="2"/>
  <c r="L1498" i="2"/>
  <c r="M1498" i="2"/>
  <c r="N1498" i="2"/>
  <c r="O1498" i="2"/>
  <c r="D1497" i="2"/>
  <c r="G1497" i="2"/>
  <c r="H1497" i="2"/>
  <c r="L1497" i="2"/>
  <c r="M1497" i="2"/>
  <c r="N1497" i="2"/>
  <c r="O1497" i="2"/>
  <c r="D1496" i="2"/>
  <c r="G1496" i="2"/>
  <c r="H1496" i="2"/>
  <c r="L1496" i="2"/>
  <c r="M1496" i="2"/>
  <c r="N1496" i="2"/>
  <c r="O1496" i="2"/>
  <c r="D1495" i="2"/>
  <c r="G1495" i="2"/>
  <c r="H1495" i="2"/>
  <c r="F180" i="1" s="1"/>
  <c r="L1495" i="2"/>
  <c r="M1495" i="2"/>
  <c r="N1495" i="2"/>
  <c r="O1495" i="2"/>
  <c r="D1494" i="2"/>
  <c r="G1494" i="2"/>
  <c r="H1494" i="2"/>
  <c r="L1494" i="2"/>
  <c r="M1494" i="2"/>
  <c r="N1494" i="2"/>
  <c r="O1494" i="2"/>
  <c r="D1493" i="2"/>
  <c r="G1493" i="2"/>
  <c r="E178" i="1" s="1"/>
  <c r="H1493" i="2"/>
  <c r="F178" i="1" s="1"/>
  <c r="L1493" i="2"/>
  <c r="M1493" i="2"/>
  <c r="N1493" i="2"/>
  <c r="O1493" i="2"/>
  <c r="D1492" i="2"/>
  <c r="G1492" i="2"/>
  <c r="H1492" i="2"/>
  <c r="L1492" i="2"/>
  <c r="M1492" i="2"/>
  <c r="N1492" i="2"/>
  <c r="O1492" i="2"/>
  <c r="D1491" i="2"/>
  <c r="G1491" i="2"/>
  <c r="H1491" i="2"/>
  <c r="L1491" i="2"/>
  <c r="M1491" i="2"/>
  <c r="N1491" i="2"/>
  <c r="O1491" i="2"/>
  <c r="D1490" i="2"/>
  <c r="G1490" i="2"/>
  <c r="H1490" i="2"/>
  <c r="L1490" i="2"/>
  <c r="M1490" i="2"/>
  <c r="N1490" i="2"/>
  <c r="O1490" i="2"/>
  <c r="D1489" i="2"/>
  <c r="G1489" i="2"/>
  <c r="H1489" i="2"/>
  <c r="L1489" i="2"/>
  <c r="M1489" i="2"/>
  <c r="N1489" i="2"/>
  <c r="O1489" i="2"/>
  <c r="D1488" i="2"/>
  <c r="G1488" i="2"/>
  <c r="H1488" i="2"/>
  <c r="L1488" i="2"/>
  <c r="M1488" i="2"/>
  <c r="N1488" i="2"/>
  <c r="O1488" i="2"/>
  <c r="D1487" i="2"/>
  <c r="G1487" i="2"/>
  <c r="H1487" i="2"/>
  <c r="L1487" i="2"/>
  <c r="M1487" i="2"/>
  <c r="N1487" i="2"/>
  <c r="O1487" i="2"/>
  <c r="D1486" i="2"/>
  <c r="G1486" i="2"/>
  <c r="H1486" i="2"/>
  <c r="L1486" i="2"/>
  <c r="M1486" i="2"/>
  <c r="N1486" i="2"/>
  <c r="O1486" i="2"/>
  <c r="D1485" i="2"/>
  <c r="G1485" i="2"/>
  <c r="H1485" i="2"/>
  <c r="L1485" i="2"/>
  <c r="M1485" i="2"/>
  <c r="N1485" i="2"/>
  <c r="O1485" i="2"/>
  <c r="D1484" i="2"/>
  <c r="G1484" i="2"/>
  <c r="H1484" i="2"/>
  <c r="L1484" i="2"/>
  <c r="M1484" i="2"/>
  <c r="N1484" i="2"/>
  <c r="O1484" i="2"/>
  <c r="D1483" i="2"/>
  <c r="G1483" i="2"/>
  <c r="H1483" i="2"/>
  <c r="L1483" i="2"/>
  <c r="M1483" i="2"/>
  <c r="N1483" i="2"/>
  <c r="O1483" i="2"/>
  <c r="D1482" i="2"/>
  <c r="G1482" i="2"/>
  <c r="H1482" i="2"/>
  <c r="L1482" i="2"/>
  <c r="M1482" i="2"/>
  <c r="N1482" i="2"/>
  <c r="O1482" i="2"/>
  <c r="D1481" i="2"/>
  <c r="G1481" i="2"/>
  <c r="H1481" i="2"/>
  <c r="L1481" i="2"/>
  <c r="M1481" i="2"/>
  <c r="N1481" i="2"/>
  <c r="O1481" i="2"/>
  <c r="D1480" i="2"/>
  <c r="G1480" i="2"/>
  <c r="H1480" i="2"/>
  <c r="L1480" i="2"/>
  <c r="M1480" i="2"/>
  <c r="N1480" i="2"/>
  <c r="O1480" i="2"/>
  <c r="D1479" i="2"/>
  <c r="G1479" i="2"/>
  <c r="H1479" i="2"/>
  <c r="L1479" i="2"/>
  <c r="M1479" i="2"/>
  <c r="N1479" i="2"/>
  <c r="O1479" i="2"/>
  <c r="D1478" i="2"/>
  <c r="G1478" i="2"/>
  <c r="H1478" i="2"/>
  <c r="L1478" i="2"/>
  <c r="M1478" i="2"/>
  <c r="N1478" i="2"/>
  <c r="O1478" i="2"/>
  <c r="D1477" i="2"/>
  <c r="G1477" i="2"/>
  <c r="H1477" i="2"/>
  <c r="L1477" i="2"/>
  <c r="M1477" i="2"/>
  <c r="N1477" i="2"/>
  <c r="O1477" i="2"/>
  <c r="D1476" i="2"/>
  <c r="G1476" i="2"/>
  <c r="H1476" i="2"/>
  <c r="L1476" i="2"/>
  <c r="M1476" i="2"/>
  <c r="N1476" i="2"/>
  <c r="O1476" i="2"/>
  <c r="D1475" i="2"/>
  <c r="G1475" i="2"/>
  <c r="H1475" i="2"/>
  <c r="L1475" i="2"/>
  <c r="M1475" i="2"/>
  <c r="N1475" i="2"/>
  <c r="O1475" i="2"/>
  <c r="D1474" i="2"/>
  <c r="G1474" i="2"/>
  <c r="H1474" i="2"/>
  <c r="L1474" i="2"/>
  <c r="M1474" i="2"/>
  <c r="N1474" i="2"/>
  <c r="O1474" i="2"/>
  <c r="C180" i="1"/>
  <c r="D180" i="1"/>
  <c r="G180" i="1"/>
  <c r="C179" i="1"/>
  <c r="D179" i="1"/>
  <c r="E179" i="1"/>
  <c r="F179" i="1"/>
  <c r="G179" i="1"/>
  <c r="C178" i="1"/>
  <c r="D178" i="1"/>
  <c r="G178" i="1"/>
  <c r="F208" i="3"/>
  <c r="G208" i="3"/>
  <c r="H208" i="3"/>
  <c r="I208" i="3"/>
  <c r="F207" i="3"/>
  <c r="G207" i="3"/>
  <c r="H207" i="3"/>
  <c r="I207" i="3"/>
  <c r="F206" i="3"/>
  <c r="G206" i="3"/>
  <c r="H206" i="3"/>
  <c r="I206" i="3"/>
  <c r="D1473" i="2"/>
  <c r="G1473" i="2"/>
  <c r="H1473" i="2"/>
  <c r="L1473" i="2"/>
  <c r="M1473" i="2"/>
  <c r="N1473" i="2"/>
  <c r="O1473" i="2"/>
  <c r="C177" i="1"/>
  <c r="D177" i="1"/>
  <c r="G177" i="1"/>
  <c r="C176" i="1"/>
  <c r="D176" i="1"/>
  <c r="G176" i="1"/>
  <c r="C175" i="1"/>
  <c r="D175" i="1"/>
  <c r="G175" i="1"/>
  <c r="D1472" i="2"/>
  <c r="G1472" i="2"/>
  <c r="H1472" i="2"/>
  <c r="L1472" i="2"/>
  <c r="M1472" i="2"/>
  <c r="N1472" i="2"/>
  <c r="O1472" i="2"/>
  <c r="D1471" i="2"/>
  <c r="G1471" i="2"/>
  <c r="H1471" i="2"/>
  <c r="L1471" i="2"/>
  <c r="M1471" i="2"/>
  <c r="N1471" i="2"/>
  <c r="O1471" i="2"/>
  <c r="D1470" i="2"/>
  <c r="G1470" i="2"/>
  <c r="E173" i="1" s="1"/>
  <c r="H1470" i="2"/>
  <c r="F173" i="1" s="1"/>
  <c r="L1470" i="2"/>
  <c r="M1470" i="2"/>
  <c r="N1470" i="2"/>
  <c r="O1470" i="2"/>
  <c r="D1469" i="2"/>
  <c r="G1469" i="2"/>
  <c r="H1469" i="2"/>
  <c r="L1469" i="2"/>
  <c r="M1469" i="2"/>
  <c r="N1469" i="2"/>
  <c r="O1469" i="2"/>
  <c r="D1468" i="2"/>
  <c r="G1468" i="2"/>
  <c r="E171" i="1" s="1"/>
  <c r="H1468" i="2"/>
  <c r="F171" i="1" s="1"/>
  <c r="L1468" i="2"/>
  <c r="M1468" i="2"/>
  <c r="N1468" i="2"/>
  <c r="O1468" i="2"/>
  <c r="D1467" i="2"/>
  <c r="G1467" i="2"/>
  <c r="E170" i="1" s="1"/>
  <c r="H1467" i="2"/>
  <c r="F170" i="1" s="1"/>
  <c r="L1467" i="2"/>
  <c r="M1467" i="2"/>
  <c r="N1467" i="2"/>
  <c r="O1467" i="2"/>
  <c r="D1466" i="2"/>
  <c r="G1466" i="2"/>
  <c r="E169" i="1" s="1"/>
  <c r="H1466" i="2"/>
  <c r="F169" i="1" s="1"/>
  <c r="L1466" i="2"/>
  <c r="M1466" i="2"/>
  <c r="N1466" i="2"/>
  <c r="O1466" i="2"/>
  <c r="D1465" i="2"/>
  <c r="G1465" i="2"/>
  <c r="E168" i="1" s="1"/>
  <c r="H1465" i="2"/>
  <c r="F168" i="1" s="1"/>
  <c r="L1465" i="2"/>
  <c r="M1465" i="2"/>
  <c r="N1465" i="2"/>
  <c r="O1465" i="2"/>
  <c r="D1464" i="2"/>
  <c r="G1464" i="2"/>
  <c r="E177" i="1" s="1"/>
  <c r="H1464" i="2"/>
  <c r="F177" i="1" s="1"/>
  <c r="L1464" i="2"/>
  <c r="M1464" i="2"/>
  <c r="N1464" i="2"/>
  <c r="O1464" i="2"/>
  <c r="D1463" i="2"/>
  <c r="G1463" i="2"/>
  <c r="E176" i="1" s="1"/>
  <c r="H1463" i="2"/>
  <c r="F176" i="1" s="1"/>
  <c r="L1463" i="2"/>
  <c r="M1463" i="2"/>
  <c r="N1463" i="2"/>
  <c r="O1463" i="2"/>
  <c r="D1462" i="2"/>
  <c r="G1462" i="2"/>
  <c r="E175" i="1" s="1"/>
  <c r="H1462" i="2"/>
  <c r="F175" i="1" s="1"/>
  <c r="L1462" i="2"/>
  <c r="M1462" i="2"/>
  <c r="N1462" i="2"/>
  <c r="O1462" i="2"/>
  <c r="D1461" i="2"/>
  <c r="G1461" i="2"/>
  <c r="E167" i="1" s="1"/>
  <c r="H1461" i="2"/>
  <c r="F167" i="1" s="1"/>
  <c r="L1461" i="2"/>
  <c r="M1461" i="2"/>
  <c r="N1461" i="2"/>
  <c r="O1461" i="2"/>
  <c r="D1460" i="2"/>
  <c r="G1460" i="2"/>
  <c r="E166" i="1" s="1"/>
  <c r="H1460" i="2"/>
  <c r="F166" i="1" s="1"/>
  <c r="L1460" i="2"/>
  <c r="M1460" i="2"/>
  <c r="N1460" i="2"/>
  <c r="O1460" i="2"/>
  <c r="D1459" i="2"/>
  <c r="G1459" i="2"/>
  <c r="H1459" i="2"/>
  <c r="L1459" i="2"/>
  <c r="M1459" i="2"/>
  <c r="N1459" i="2"/>
  <c r="O1459" i="2"/>
  <c r="D1458" i="2"/>
  <c r="G1458" i="2"/>
  <c r="H1458" i="2"/>
  <c r="L1458" i="2"/>
  <c r="M1458" i="2"/>
  <c r="N1458" i="2"/>
  <c r="O1458" i="2"/>
  <c r="D1457" i="2"/>
  <c r="G1457" i="2"/>
  <c r="H1457" i="2"/>
  <c r="L1457" i="2"/>
  <c r="M1457" i="2"/>
  <c r="N1457" i="2"/>
  <c r="O1457" i="2"/>
  <c r="D1456" i="2"/>
  <c r="G1456" i="2"/>
  <c r="H1456" i="2"/>
  <c r="L1456" i="2"/>
  <c r="M1456" i="2"/>
  <c r="N1456" i="2"/>
  <c r="O1456" i="2"/>
  <c r="D1455" i="2"/>
  <c r="G1455" i="2"/>
  <c r="E165" i="1" s="1"/>
  <c r="H1455" i="2"/>
  <c r="F165" i="1" s="1"/>
  <c r="L1455" i="2"/>
  <c r="M1455" i="2"/>
  <c r="N1455" i="2"/>
  <c r="O1455" i="2"/>
  <c r="D1454" i="2"/>
  <c r="G1454" i="2"/>
  <c r="E164" i="1" s="1"/>
  <c r="H1454" i="2"/>
  <c r="F164" i="1" s="1"/>
  <c r="L1454" i="2"/>
  <c r="M1454" i="2"/>
  <c r="N1454" i="2"/>
  <c r="O1454" i="2"/>
  <c r="D1453" i="2"/>
  <c r="G1453" i="2"/>
  <c r="H1453" i="2"/>
  <c r="L1453" i="2"/>
  <c r="M1453" i="2"/>
  <c r="N1453" i="2"/>
  <c r="O1453" i="2"/>
  <c r="D1452" i="2"/>
  <c r="G1452" i="2"/>
  <c r="H1452" i="2"/>
  <c r="L1452" i="2"/>
  <c r="M1452" i="2"/>
  <c r="N1452" i="2"/>
  <c r="O1452" i="2"/>
  <c r="D1451" i="2"/>
  <c r="G1451" i="2"/>
  <c r="H1451" i="2"/>
  <c r="L1451" i="2"/>
  <c r="M1451" i="2"/>
  <c r="N1451" i="2"/>
  <c r="O1451" i="2"/>
  <c r="D1450" i="2"/>
  <c r="G1450" i="2"/>
  <c r="H1450" i="2"/>
  <c r="L1450" i="2"/>
  <c r="M1450" i="2"/>
  <c r="N1450" i="2"/>
  <c r="O1450" i="2"/>
  <c r="D1449" i="2"/>
  <c r="G1449" i="2"/>
  <c r="H1449" i="2"/>
  <c r="L1449" i="2"/>
  <c r="M1449" i="2"/>
  <c r="N1449" i="2"/>
  <c r="O1449" i="2"/>
  <c r="D1448" i="2"/>
  <c r="G1448" i="2"/>
  <c r="H1448" i="2"/>
  <c r="L1448" i="2"/>
  <c r="M1448" i="2"/>
  <c r="N1448" i="2"/>
  <c r="O1448" i="2"/>
  <c r="D1447" i="2"/>
  <c r="G1447" i="2"/>
  <c r="H1447" i="2"/>
  <c r="L1447" i="2"/>
  <c r="M1447" i="2"/>
  <c r="N1447" i="2"/>
  <c r="O1447" i="2"/>
  <c r="D1446" i="2"/>
  <c r="G1446" i="2"/>
  <c r="H1446" i="2"/>
  <c r="L1446" i="2"/>
  <c r="M1446" i="2"/>
  <c r="N1446" i="2"/>
  <c r="O1446" i="2"/>
  <c r="D1445" i="2"/>
  <c r="G1445" i="2"/>
  <c r="H1445" i="2"/>
  <c r="L1445" i="2"/>
  <c r="M1445" i="2"/>
  <c r="N1445" i="2"/>
  <c r="O1445" i="2"/>
  <c r="D1444" i="2"/>
  <c r="G1444" i="2"/>
  <c r="H1444" i="2"/>
  <c r="L1444" i="2"/>
  <c r="M1444" i="2"/>
  <c r="N1444" i="2"/>
  <c r="O1444" i="2"/>
  <c r="D1443" i="2"/>
  <c r="G1443" i="2"/>
  <c r="H1443" i="2"/>
  <c r="L1443" i="2"/>
  <c r="M1443" i="2"/>
  <c r="N1443" i="2"/>
  <c r="O1443" i="2"/>
  <c r="D1442" i="2"/>
  <c r="G1442" i="2"/>
  <c r="E163" i="1" s="1"/>
  <c r="H1442" i="2"/>
  <c r="F163" i="1" s="1"/>
  <c r="L1442" i="2"/>
  <c r="M1442" i="2"/>
  <c r="N1442" i="2"/>
  <c r="O1442" i="2"/>
  <c r="D1441" i="2"/>
  <c r="G1441" i="2"/>
  <c r="H1441" i="2"/>
  <c r="L1441" i="2"/>
  <c r="M1441" i="2"/>
  <c r="N1441" i="2"/>
  <c r="O1441" i="2"/>
  <c r="D1440" i="2"/>
  <c r="G1440" i="2"/>
  <c r="H1440" i="2"/>
  <c r="L1440" i="2"/>
  <c r="M1440" i="2"/>
  <c r="N1440" i="2"/>
  <c r="O1440" i="2"/>
  <c r="D1439" i="2"/>
  <c r="G1439" i="2"/>
  <c r="H1439" i="2"/>
  <c r="L1439" i="2"/>
  <c r="M1439" i="2"/>
  <c r="N1439" i="2"/>
  <c r="O1439" i="2"/>
  <c r="D1438" i="2"/>
  <c r="G1438" i="2"/>
  <c r="H1438" i="2"/>
  <c r="L1438" i="2"/>
  <c r="M1438" i="2"/>
  <c r="N1438" i="2"/>
  <c r="O1438" i="2"/>
  <c r="D1437" i="2"/>
  <c r="G1437" i="2"/>
  <c r="H1437" i="2"/>
  <c r="L1437" i="2"/>
  <c r="M1437" i="2"/>
  <c r="N1437" i="2"/>
  <c r="O1437" i="2"/>
  <c r="C174" i="1"/>
  <c r="D174" i="1"/>
  <c r="E174" i="1"/>
  <c r="F174" i="1"/>
  <c r="G174" i="1"/>
  <c r="C173" i="1"/>
  <c r="D173" i="1"/>
  <c r="G173" i="1"/>
  <c r="C172" i="1"/>
  <c r="D172" i="1"/>
  <c r="G172" i="1"/>
  <c r="C171" i="1"/>
  <c r="D171" i="1"/>
  <c r="G171" i="1"/>
  <c r="C170" i="1"/>
  <c r="D170" i="1"/>
  <c r="G170" i="1"/>
  <c r="C169" i="1"/>
  <c r="D169" i="1"/>
  <c r="G169" i="1"/>
  <c r="C168" i="1"/>
  <c r="D168" i="1"/>
  <c r="G168" i="1"/>
  <c r="C167" i="1"/>
  <c r="D167" i="1"/>
  <c r="G167" i="1"/>
  <c r="C166" i="1"/>
  <c r="D166" i="1"/>
  <c r="G166" i="1"/>
  <c r="C165" i="1"/>
  <c r="D165" i="1"/>
  <c r="G165" i="1"/>
  <c r="C164" i="1"/>
  <c r="D164" i="1"/>
  <c r="G164" i="1"/>
  <c r="C163" i="1"/>
  <c r="D163" i="1"/>
  <c r="G163" i="1"/>
  <c r="F205" i="3"/>
  <c r="G205" i="3"/>
  <c r="H205" i="3"/>
  <c r="I205" i="3"/>
  <c r="F204" i="3"/>
  <c r="G204" i="3"/>
  <c r="H204" i="3"/>
  <c r="I204" i="3"/>
  <c r="F203" i="3"/>
  <c r="G203" i="3"/>
  <c r="H203" i="3"/>
  <c r="I203" i="3"/>
  <c r="F202" i="3"/>
  <c r="G202" i="3"/>
  <c r="H202" i="3"/>
  <c r="I202" i="3"/>
  <c r="F201" i="3"/>
  <c r="G201" i="3"/>
  <c r="H201" i="3"/>
  <c r="I201" i="3"/>
  <c r="D1436" i="2"/>
  <c r="G1436" i="2"/>
  <c r="H1436" i="2"/>
  <c r="L1436" i="2"/>
  <c r="M1436" i="2"/>
  <c r="N1436" i="2"/>
  <c r="O1436" i="2"/>
  <c r="D1435" i="2"/>
  <c r="G1435" i="2"/>
  <c r="H1435" i="2"/>
  <c r="L1435" i="2"/>
  <c r="M1435" i="2"/>
  <c r="N1435" i="2"/>
  <c r="O1435" i="2"/>
  <c r="D1434" i="2"/>
  <c r="G1434" i="2"/>
  <c r="H1434" i="2"/>
  <c r="L1434" i="2"/>
  <c r="M1434" i="2"/>
  <c r="N1434" i="2"/>
  <c r="O1434" i="2"/>
  <c r="D1433" i="2"/>
  <c r="G1433" i="2"/>
  <c r="H1433" i="2"/>
  <c r="L1433" i="2"/>
  <c r="M1433" i="2"/>
  <c r="N1433" i="2"/>
  <c r="O1433" i="2"/>
  <c r="D1432" i="2"/>
  <c r="G1432" i="2"/>
  <c r="H1432" i="2"/>
  <c r="L1432" i="2"/>
  <c r="M1432" i="2"/>
  <c r="N1432" i="2"/>
  <c r="O1432" i="2"/>
  <c r="D1431" i="2"/>
  <c r="G1431" i="2"/>
  <c r="H1431" i="2"/>
  <c r="L1431" i="2"/>
  <c r="M1431" i="2"/>
  <c r="N1431" i="2"/>
  <c r="O1431" i="2"/>
  <c r="D1430" i="2"/>
  <c r="G1430" i="2"/>
  <c r="H1430" i="2"/>
  <c r="L1430" i="2"/>
  <c r="M1430" i="2"/>
  <c r="N1430" i="2"/>
  <c r="O1430" i="2"/>
  <c r="D1429" i="2"/>
  <c r="G1429" i="2"/>
  <c r="H1429" i="2"/>
  <c r="L1429" i="2"/>
  <c r="M1429" i="2"/>
  <c r="N1429" i="2"/>
  <c r="O1429" i="2"/>
  <c r="D1428" i="2"/>
  <c r="G1428" i="2"/>
  <c r="H1428" i="2"/>
  <c r="L1428" i="2"/>
  <c r="M1428" i="2"/>
  <c r="N1428" i="2"/>
  <c r="O1428" i="2"/>
  <c r="D1427" i="2"/>
  <c r="G1427" i="2"/>
  <c r="H1427" i="2"/>
  <c r="L1427" i="2"/>
  <c r="M1427" i="2"/>
  <c r="N1427" i="2"/>
  <c r="O1427" i="2"/>
  <c r="D1426" i="2"/>
  <c r="G1426" i="2"/>
  <c r="H1426" i="2"/>
  <c r="L1426" i="2"/>
  <c r="M1426" i="2"/>
  <c r="N1426" i="2"/>
  <c r="O1426" i="2"/>
  <c r="D1425" i="2"/>
  <c r="G1425" i="2"/>
  <c r="H1425" i="2"/>
  <c r="L1425" i="2"/>
  <c r="M1425" i="2"/>
  <c r="N1425" i="2"/>
  <c r="O1425" i="2"/>
  <c r="D1424" i="2"/>
  <c r="G1424" i="2"/>
  <c r="H1424" i="2"/>
  <c r="L1424" i="2"/>
  <c r="M1424" i="2"/>
  <c r="N1424" i="2"/>
  <c r="O1424" i="2"/>
  <c r="D1423" i="2"/>
  <c r="G1423" i="2"/>
  <c r="H1423" i="2"/>
  <c r="L1423" i="2"/>
  <c r="M1423" i="2"/>
  <c r="N1423" i="2"/>
  <c r="O1423" i="2"/>
  <c r="D1422" i="2"/>
  <c r="G1422" i="2"/>
  <c r="H1422" i="2"/>
  <c r="L1422" i="2"/>
  <c r="M1422" i="2"/>
  <c r="N1422" i="2"/>
  <c r="O1422" i="2"/>
  <c r="D1421" i="2"/>
  <c r="G1421" i="2"/>
  <c r="H1421" i="2"/>
  <c r="L1421" i="2"/>
  <c r="M1421" i="2"/>
  <c r="N1421" i="2"/>
  <c r="O1421" i="2"/>
  <c r="D1420" i="2"/>
  <c r="G1420" i="2"/>
  <c r="H1420" i="2"/>
  <c r="L1420" i="2"/>
  <c r="M1420" i="2"/>
  <c r="N1420" i="2"/>
  <c r="O1420" i="2"/>
  <c r="D1419" i="2"/>
  <c r="G1419" i="2"/>
  <c r="H1419" i="2"/>
  <c r="L1419" i="2"/>
  <c r="M1419" i="2"/>
  <c r="N1419" i="2"/>
  <c r="O1419" i="2"/>
  <c r="D1418" i="2"/>
  <c r="G1418" i="2"/>
  <c r="H1418" i="2"/>
  <c r="L1418" i="2"/>
  <c r="M1418" i="2"/>
  <c r="N1418" i="2"/>
  <c r="O1418" i="2"/>
  <c r="D1417" i="2"/>
  <c r="G1417" i="2"/>
  <c r="H1417" i="2"/>
  <c r="L1417" i="2"/>
  <c r="M1417" i="2"/>
  <c r="N1417" i="2"/>
  <c r="O1417" i="2"/>
  <c r="D1416" i="2"/>
  <c r="G1416" i="2"/>
  <c r="H1416" i="2"/>
  <c r="L1416" i="2"/>
  <c r="M1416" i="2"/>
  <c r="N1416" i="2"/>
  <c r="O1416" i="2"/>
  <c r="D1415" i="2"/>
  <c r="G1415" i="2"/>
  <c r="H1415" i="2"/>
  <c r="L1415" i="2"/>
  <c r="M1415" i="2"/>
  <c r="N1415" i="2"/>
  <c r="O1415" i="2"/>
  <c r="F200" i="3"/>
  <c r="G200" i="3"/>
  <c r="H200" i="3"/>
  <c r="I200" i="3"/>
  <c r="F199" i="3"/>
  <c r="G199" i="3"/>
  <c r="H199" i="3"/>
  <c r="I199" i="3"/>
  <c r="F198" i="3"/>
  <c r="G198" i="3"/>
  <c r="H198" i="3"/>
  <c r="I198" i="3"/>
  <c r="D1414" i="2"/>
  <c r="G1414" i="2"/>
  <c r="H1414" i="2"/>
  <c r="L1414" i="2"/>
  <c r="M1414" i="2"/>
  <c r="N1414" i="2"/>
  <c r="O1414" i="2"/>
  <c r="D1413" i="2"/>
  <c r="G1413" i="2"/>
  <c r="H1413" i="2"/>
  <c r="L1413" i="2"/>
  <c r="M1413" i="2"/>
  <c r="N1413" i="2"/>
  <c r="O1413" i="2"/>
  <c r="D1412" i="2"/>
  <c r="G1412" i="2"/>
  <c r="H1412" i="2"/>
  <c r="L1412" i="2"/>
  <c r="M1412" i="2"/>
  <c r="N1412" i="2"/>
  <c r="O1412" i="2"/>
  <c r="D1411" i="2"/>
  <c r="G1411" i="2"/>
  <c r="H1411" i="2"/>
  <c r="L1411" i="2"/>
  <c r="M1411" i="2"/>
  <c r="N1411" i="2"/>
  <c r="O1411" i="2"/>
  <c r="D1410" i="2"/>
  <c r="G1410" i="2"/>
  <c r="H1410" i="2"/>
  <c r="L1410" i="2"/>
  <c r="M1410" i="2"/>
  <c r="N1410" i="2"/>
  <c r="O1410" i="2"/>
  <c r="D1409" i="2"/>
  <c r="G1409" i="2"/>
  <c r="H1409" i="2"/>
  <c r="L1409" i="2"/>
  <c r="M1409" i="2"/>
  <c r="N1409" i="2"/>
  <c r="O1409" i="2"/>
  <c r="D1408" i="2"/>
  <c r="G1408" i="2"/>
  <c r="H1408" i="2"/>
  <c r="L1408" i="2"/>
  <c r="M1408" i="2"/>
  <c r="N1408" i="2"/>
  <c r="O1408" i="2"/>
  <c r="D1407" i="2"/>
  <c r="G1407" i="2"/>
  <c r="E162" i="1" s="1"/>
  <c r="H1407" i="2"/>
  <c r="F162" i="1" s="1"/>
  <c r="L1407" i="2"/>
  <c r="M1407" i="2"/>
  <c r="N1407" i="2"/>
  <c r="O1407" i="2"/>
  <c r="D1406" i="2"/>
  <c r="G1406" i="2"/>
  <c r="E161" i="1" s="1"/>
  <c r="H1406" i="2"/>
  <c r="F161" i="1" s="1"/>
  <c r="L1406" i="2"/>
  <c r="M1406" i="2"/>
  <c r="N1406" i="2"/>
  <c r="O1406" i="2"/>
  <c r="D1405" i="2"/>
  <c r="G1405" i="2"/>
  <c r="E160" i="1" s="1"/>
  <c r="H1405" i="2"/>
  <c r="F160" i="1" s="1"/>
  <c r="L1405" i="2"/>
  <c r="M1405" i="2"/>
  <c r="N1405" i="2"/>
  <c r="O1405" i="2"/>
  <c r="D1404" i="2"/>
  <c r="G1404" i="2"/>
  <c r="E159" i="1" s="1"/>
  <c r="H1404" i="2"/>
  <c r="F159" i="1" s="1"/>
  <c r="L1404" i="2"/>
  <c r="M1404" i="2"/>
  <c r="N1404" i="2"/>
  <c r="O1404" i="2"/>
  <c r="D1403" i="2"/>
  <c r="G1403" i="2"/>
  <c r="H1403" i="2"/>
  <c r="L1403" i="2"/>
  <c r="M1403" i="2"/>
  <c r="N1403" i="2"/>
  <c r="O1403" i="2"/>
  <c r="D1402" i="2"/>
  <c r="G1402" i="2"/>
  <c r="H1402" i="2"/>
  <c r="L1402" i="2"/>
  <c r="M1402" i="2"/>
  <c r="N1402" i="2"/>
  <c r="O1402" i="2"/>
  <c r="D1401" i="2"/>
  <c r="G1401" i="2"/>
  <c r="H1401" i="2"/>
  <c r="L1401" i="2"/>
  <c r="M1401" i="2"/>
  <c r="N1401" i="2"/>
  <c r="O1401" i="2"/>
  <c r="D1400" i="2"/>
  <c r="G1400" i="2"/>
  <c r="H1400" i="2"/>
  <c r="L1400" i="2"/>
  <c r="M1400" i="2"/>
  <c r="N1400" i="2"/>
  <c r="O1400" i="2"/>
  <c r="D1399" i="2"/>
  <c r="G1399" i="2"/>
  <c r="H1399" i="2"/>
  <c r="L1399" i="2"/>
  <c r="M1399" i="2"/>
  <c r="N1399" i="2"/>
  <c r="O1399" i="2"/>
  <c r="D1398" i="2"/>
  <c r="G1398" i="2"/>
  <c r="H1398" i="2"/>
  <c r="L1398" i="2"/>
  <c r="M1398" i="2"/>
  <c r="N1398" i="2"/>
  <c r="O1398" i="2"/>
  <c r="D1397" i="2"/>
  <c r="G1397" i="2"/>
  <c r="H1397" i="2"/>
  <c r="L1397" i="2"/>
  <c r="M1397" i="2"/>
  <c r="N1397" i="2"/>
  <c r="O1397" i="2"/>
  <c r="D1396" i="2"/>
  <c r="G1396" i="2"/>
  <c r="H1396" i="2"/>
  <c r="L1396" i="2"/>
  <c r="M1396" i="2"/>
  <c r="N1396" i="2"/>
  <c r="O1396" i="2"/>
  <c r="D1395" i="2"/>
  <c r="G1395" i="2"/>
  <c r="H1395" i="2"/>
  <c r="L1395" i="2"/>
  <c r="M1395" i="2"/>
  <c r="N1395" i="2"/>
  <c r="O1395" i="2"/>
  <c r="D1394" i="2"/>
  <c r="G1394" i="2"/>
  <c r="H1394" i="2"/>
  <c r="L1394" i="2"/>
  <c r="M1394" i="2"/>
  <c r="N1394" i="2"/>
  <c r="O1394" i="2"/>
  <c r="D1393" i="2"/>
  <c r="G1393" i="2"/>
  <c r="H1393" i="2"/>
  <c r="L1393" i="2"/>
  <c r="M1393" i="2"/>
  <c r="N1393" i="2"/>
  <c r="O1393" i="2"/>
  <c r="D1392" i="2"/>
  <c r="G1392" i="2"/>
  <c r="H1392" i="2"/>
  <c r="L1392" i="2"/>
  <c r="M1392" i="2"/>
  <c r="N1392" i="2"/>
  <c r="O1392" i="2"/>
  <c r="D1391" i="2"/>
  <c r="G1391" i="2"/>
  <c r="H1391" i="2"/>
  <c r="L1391" i="2"/>
  <c r="M1391" i="2"/>
  <c r="N1391" i="2"/>
  <c r="O1391" i="2"/>
  <c r="D1390" i="2"/>
  <c r="G1390" i="2"/>
  <c r="H1390" i="2"/>
  <c r="L1390" i="2"/>
  <c r="M1390" i="2"/>
  <c r="N1390" i="2"/>
  <c r="O1390" i="2"/>
  <c r="D1389" i="2"/>
  <c r="G1389" i="2"/>
  <c r="H1389" i="2"/>
  <c r="L1389" i="2"/>
  <c r="M1389" i="2"/>
  <c r="N1389" i="2"/>
  <c r="O1389" i="2"/>
  <c r="D1388" i="2"/>
  <c r="G1388" i="2"/>
  <c r="H1388" i="2"/>
  <c r="L1388" i="2"/>
  <c r="M1388" i="2"/>
  <c r="N1388" i="2"/>
  <c r="O1388" i="2"/>
  <c r="D1387" i="2"/>
  <c r="G1387" i="2"/>
  <c r="H1387" i="2"/>
  <c r="L1387" i="2"/>
  <c r="M1387" i="2"/>
  <c r="N1387" i="2"/>
  <c r="O1387" i="2"/>
  <c r="D1386" i="2"/>
  <c r="G1386" i="2"/>
  <c r="H1386" i="2"/>
  <c r="L1386" i="2"/>
  <c r="M1386" i="2"/>
  <c r="N1386" i="2"/>
  <c r="O1386" i="2"/>
  <c r="D1385" i="2"/>
  <c r="G1385" i="2"/>
  <c r="H1385" i="2"/>
  <c r="L1385" i="2"/>
  <c r="M1385" i="2"/>
  <c r="N1385" i="2"/>
  <c r="O1385" i="2"/>
  <c r="F197" i="3"/>
  <c r="G197" i="3"/>
  <c r="H197" i="3"/>
  <c r="I197" i="3"/>
  <c r="F196" i="3"/>
  <c r="G196" i="3"/>
  <c r="H196" i="3"/>
  <c r="I196" i="3"/>
  <c r="F195" i="3"/>
  <c r="G195" i="3"/>
  <c r="H195" i="3"/>
  <c r="I195" i="3"/>
  <c r="F194" i="3"/>
  <c r="G194" i="3"/>
  <c r="H194" i="3"/>
  <c r="I194" i="3"/>
  <c r="C162" i="1"/>
  <c r="D162" i="1"/>
  <c r="G162" i="1"/>
  <c r="C161" i="1"/>
  <c r="D161" i="1"/>
  <c r="G161" i="1"/>
  <c r="C160" i="1"/>
  <c r="D160" i="1"/>
  <c r="G160" i="1"/>
  <c r="C159" i="1"/>
  <c r="D159" i="1"/>
  <c r="G159" i="1"/>
  <c r="D1384" i="2"/>
  <c r="G1384" i="2"/>
  <c r="H1384" i="2"/>
  <c r="L1384" i="2"/>
  <c r="M1384" i="2"/>
  <c r="N1384" i="2"/>
  <c r="O1384" i="2"/>
  <c r="D1383" i="2"/>
  <c r="G1383" i="2"/>
  <c r="H1383" i="2"/>
  <c r="L1383" i="2"/>
  <c r="M1383" i="2"/>
  <c r="N1383" i="2"/>
  <c r="O1383" i="2"/>
  <c r="D1382" i="2"/>
  <c r="G1382" i="2"/>
  <c r="H1382" i="2"/>
  <c r="L1382" i="2"/>
  <c r="M1382" i="2"/>
  <c r="N1382" i="2"/>
  <c r="O1382" i="2"/>
  <c r="D1381" i="2"/>
  <c r="G1381" i="2"/>
  <c r="H1381" i="2"/>
  <c r="L1381" i="2"/>
  <c r="M1381" i="2"/>
  <c r="N1381" i="2"/>
  <c r="O1381" i="2"/>
  <c r="D1380" i="2"/>
  <c r="G1380" i="2"/>
  <c r="H1380" i="2"/>
  <c r="L1380" i="2"/>
  <c r="M1380" i="2"/>
  <c r="N1380" i="2"/>
  <c r="O1380" i="2"/>
  <c r="D1379" i="2"/>
  <c r="G1379" i="2"/>
  <c r="H1379" i="2"/>
  <c r="L1379" i="2"/>
  <c r="M1379" i="2"/>
  <c r="N1379" i="2"/>
  <c r="O1379" i="2"/>
  <c r="D1378" i="2"/>
  <c r="G1378" i="2"/>
  <c r="H1378" i="2"/>
  <c r="L1378" i="2"/>
  <c r="M1378" i="2"/>
  <c r="N1378" i="2"/>
  <c r="O1378" i="2"/>
  <c r="D1377" i="2"/>
  <c r="G1377" i="2"/>
  <c r="H1377" i="2"/>
  <c r="L1377" i="2"/>
  <c r="M1377" i="2"/>
  <c r="N1377" i="2"/>
  <c r="O1377" i="2"/>
  <c r="D1376" i="2"/>
  <c r="G1376" i="2"/>
  <c r="H1376" i="2"/>
  <c r="L1376" i="2"/>
  <c r="M1376" i="2"/>
  <c r="N1376" i="2"/>
  <c r="O1376" i="2"/>
  <c r="D1375" i="2"/>
  <c r="G1375" i="2"/>
  <c r="H1375" i="2"/>
  <c r="L1375" i="2"/>
  <c r="M1375" i="2"/>
  <c r="N1375" i="2"/>
  <c r="O1375" i="2"/>
  <c r="D1374" i="2"/>
  <c r="G1374" i="2"/>
  <c r="H1374" i="2"/>
  <c r="L1374" i="2"/>
  <c r="M1374" i="2"/>
  <c r="N1374" i="2"/>
  <c r="O1374" i="2"/>
  <c r="D1373" i="2"/>
  <c r="G1373" i="2"/>
  <c r="H1373" i="2"/>
  <c r="L1373" i="2"/>
  <c r="M1373" i="2"/>
  <c r="N1373" i="2"/>
  <c r="O1373" i="2"/>
  <c r="D1372" i="2"/>
  <c r="G1372" i="2"/>
  <c r="H1372" i="2"/>
  <c r="L1372" i="2"/>
  <c r="M1372" i="2"/>
  <c r="N1372" i="2"/>
  <c r="O1372" i="2"/>
  <c r="D1371" i="2"/>
  <c r="G1371" i="2"/>
  <c r="H1371" i="2"/>
  <c r="L1371" i="2"/>
  <c r="M1371" i="2"/>
  <c r="N1371" i="2"/>
  <c r="O1371" i="2"/>
  <c r="D1370" i="2"/>
  <c r="G1370" i="2"/>
  <c r="H1370" i="2"/>
  <c r="L1370" i="2"/>
  <c r="M1370" i="2"/>
  <c r="N1370" i="2"/>
  <c r="O1370" i="2"/>
  <c r="D1369" i="2"/>
  <c r="G1369" i="2"/>
  <c r="H1369" i="2"/>
  <c r="L1369" i="2"/>
  <c r="M1369" i="2"/>
  <c r="N1369" i="2"/>
  <c r="O1369" i="2"/>
  <c r="D1368" i="2"/>
  <c r="G1368" i="2"/>
  <c r="H1368" i="2"/>
  <c r="L1368" i="2"/>
  <c r="M1368" i="2"/>
  <c r="N1368" i="2"/>
  <c r="O1368" i="2"/>
  <c r="D1367" i="2"/>
  <c r="G1367" i="2"/>
  <c r="H1367" i="2"/>
  <c r="L1367" i="2"/>
  <c r="M1367" i="2"/>
  <c r="N1367" i="2"/>
  <c r="O1367" i="2"/>
  <c r="D1366" i="2"/>
  <c r="G1366" i="2"/>
  <c r="E157" i="1" s="1"/>
  <c r="H1366" i="2"/>
  <c r="F157" i="1" s="1"/>
  <c r="L1366" i="2"/>
  <c r="M1366" i="2"/>
  <c r="N1366" i="2"/>
  <c r="O1366" i="2"/>
  <c r="D1365" i="2"/>
  <c r="G1365" i="2"/>
  <c r="E158" i="1" s="1"/>
  <c r="H1365" i="2"/>
  <c r="F158" i="1" s="1"/>
  <c r="L1365" i="2"/>
  <c r="M1365" i="2"/>
  <c r="N1365" i="2"/>
  <c r="O1365" i="2"/>
  <c r="D1364" i="2"/>
  <c r="G1364" i="2"/>
  <c r="E156" i="1" s="1"/>
  <c r="H1364" i="2"/>
  <c r="F156" i="1" s="1"/>
  <c r="L1364" i="2"/>
  <c r="M1364" i="2"/>
  <c r="N1364" i="2"/>
  <c r="O1364" i="2"/>
  <c r="C158" i="1"/>
  <c r="D158" i="1"/>
  <c r="G158" i="1"/>
  <c r="C157" i="1"/>
  <c r="D157" i="1"/>
  <c r="G157" i="1"/>
  <c r="C156" i="1"/>
  <c r="D156" i="1"/>
  <c r="G156" i="1"/>
  <c r="F193" i="3"/>
  <c r="G193" i="3"/>
  <c r="H193" i="3"/>
  <c r="I193" i="3"/>
  <c r="F192" i="3"/>
  <c r="G192" i="3"/>
  <c r="H192" i="3"/>
  <c r="I192" i="3"/>
  <c r="F191" i="3"/>
  <c r="G191" i="3"/>
  <c r="H191" i="3"/>
  <c r="I191" i="3"/>
  <c r="C155" i="1"/>
  <c r="D155" i="1"/>
  <c r="G155" i="1"/>
  <c r="C154" i="1"/>
  <c r="D154" i="1"/>
  <c r="G154" i="1"/>
  <c r="C153" i="1"/>
  <c r="D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E154" i="1" s="1"/>
  <c r="H1361" i="2"/>
  <c r="F154" i="1" s="1"/>
  <c r="L1361" i="2"/>
  <c r="M1361" i="2"/>
  <c r="N1361" i="2"/>
  <c r="O1361" i="2"/>
  <c r="D1358" i="2"/>
  <c r="C152" i="1"/>
  <c r="D152" i="1"/>
  <c r="G152" i="1"/>
  <c r="C151" i="1"/>
  <c r="D151" i="1"/>
  <c r="G151" i="1"/>
  <c r="C150" i="1"/>
  <c r="D150" i="1"/>
  <c r="G150" i="1"/>
  <c r="D1360" i="2"/>
  <c r="G1360" i="2"/>
  <c r="E153" i="1" s="1"/>
  <c r="H1360" i="2"/>
  <c r="F153" i="1" s="1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H1358" i="2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H1355" i="2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F150" i="1" s="1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H1257" i="2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80" i="1" l="1"/>
  <c r="E172" i="1"/>
  <c r="F172" i="1"/>
  <c r="F151" i="1"/>
  <c r="E151" i="1"/>
  <c r="E152" i="1"/>
  <c r="F152" i="1"/>
  <c r="F130" i="1"/>
  <c r="F147" i="1"/>
  <c r="E147" i="1"/>
  <c r="E130" i="1"/>
  <c r="E148" i="1"/>
  <c r="F148" i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<sst xmlns="http://schemas.openxmlformats.org/spreadsheetml/2006/main" count="1940" uniqueCount="221">
  <si>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</si>
  <si>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</si>
  <si>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</si>
  <si>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</si>
  <si>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</si>
  <si>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</si>
  <si>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</si>
  <si>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</si>
  <si>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</si>
  <si>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</si>
  <si>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</si>
  <si>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</si>
  <si>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</si>
  <si>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</si>
  <si>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</si>
  <si>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</si>
  <si>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</si>
  <si>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</si>
  <si>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</si>
  <si>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</si>
  <si>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</si>
  <si>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</si>
  <si>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</si>
  <si>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</si>
  <si>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</si>
  <si>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</si>
  <si>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</si>
  <si>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</si>
  <si>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</si>
  <si>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</si>
  <si>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</si>
  <si>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</si>
  <si>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</si>
  <si>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</si>
  <si>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</si>
  <si>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</si>
  <si>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</si>
  <si>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</si>
  <si>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</si>
  <si>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</si>
  <si>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</si>
  <si>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</si>
  <si>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</si>
  <si>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</si>
  <si>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</si>
  <si>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</si>
  <si>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</si>
  <si>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</si>
  <si>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</si>
  <si>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</si>
  <si>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</si>
  <si>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</si>
  <si>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</si>
  <si>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</si>
  <si>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</si>
  <si>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</si>
  <si>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</si>
  <si>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</si>
  <si>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</si>
  <si>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</si>
  <si>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</si>
  <si>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</si>
  <si>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</si>
  <si>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</si>
  <si>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</si>
  <si>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</si>
  <si>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</si>
  <si>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</si>
  <si>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</si>
  <si>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</si>
  <si>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</si>
  <si>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</si>
  <si>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</si>
  <si>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</si>
  <si>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</si>
  <si>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</si>
  <si>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</si>
  <si>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</si>
  <si>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</si>
  <si>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</si>
  <si>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</si>
  <si>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</si>
  <si>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</si>
  <si>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</si>
  <si>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</si>
  <si>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</si>
  <si>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</si>
  <si>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</si>
  <si>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</si>
  <si>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</si>
  <si>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</si>
  <si>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</si>
  <si>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</si>
  <si>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</si>
  <si>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</si>
  <si>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</si>
  <si>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</si>
  <si>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</si>
  <si>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</si>
  <si>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</si>
  <si>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</si>
  <si>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</si>
  <si>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</si>
  <si>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</si>
  <si>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</si>
  <si>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</si>
  <si>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</si>
  <si>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</si>
  <si>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</si>
  <si>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</si>
  <si>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</si>
  <si>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</si>
  <si>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</si>
  <si>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</si>
  <si>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</si>
  <si>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</si>
  <si>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</si>
  <si>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</si>
  <si>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</si>
  <si>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</si>
  <si>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</si>
  <si>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</si>
  <si>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</si>
  <si>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</si>
  <si>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</si>
  <si>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</si>
  <si>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</si>
  <si>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</si>
  <si>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</si>
  <si>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</si>
  <si>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</si>
  <si>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</si>
  <si>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</si>
  <si>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</si>
  <si>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</si>
  <si>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</si>
  <si>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</si>
  <si>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</si>
  <si>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</si>
  <si>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</si>
  <si>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</si>
  <si>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</si>
  <si>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</si>
  <si>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</si>
  <si>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</si>
  <si>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</si>
  <si>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</si>
  <si>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</si>
  <si>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</si>
  <si>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</si>
  <si>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</si>
  <si>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</si>
  <si>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</si>
  <si>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</si>
  <si>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</si>
  <si>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</si>
  <si>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</si>
  <si>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</si>
  <si>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</si>
  <si>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</si>
  <si>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</si>
  <si>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</si>
  <si>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</si>
  <si>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</si>
  <si>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</si>
  <si>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</si>
  <si>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</si>
  <si>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</si>
  <si>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</si>
  <si>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</si>
  <si>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</si>
  <si>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</si>
  <si>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</si>
  <si>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</si>
  <si>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</si>
  <si>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</si>
  <si>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</si>
  <si>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</si>
  <si>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</si>
  <si>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</si>
  <si>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</si>
  <si>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</si>
  <si>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</si>
  <si>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</si>
  <si>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</si>
  <si>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</si>
  <si>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</si>
  <si>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</si>
  <si>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</si>
  <si>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</si>
  <si>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</si>
  <si>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</si>
  <si>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</si>
  <si>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</si>
  <si>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</si>
  <si>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</si>
  <si>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</si>
  <si>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</si>
  <si>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</si>
  <si>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</si>
  <si>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</si>
  <si>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</si>
  <si>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</si>
  <si>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</si>
  <si>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</si>
  <si>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</si>
  <si>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</si>
  <si>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</si>
  <si>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</si>
  <si>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</si>
  <si>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</si>
  <si>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</si>
  <si>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</si>
  <si>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</si>
  <si>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</si>
  <si>
    <t>Глеб (УПК)</t>
  </si>
  <si>
    <t>Эдгар (УПК)</t>
  </si>
  <si>
    <t>Саша (Коля +1)</t>
  </si>
  <si>
    <t>Иракли (Руб +1)</t>
  </si>
  <si>
    <t>Саша (Руб +1)</t>
  </si>
  <si>
    <t>Егор (АК+1) Снюс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</si>
</sst>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82" totalsRowShown="0" headerRowDxfId="59" headerRowBorderDxfId="58" tableBorderDxfId="57" totalsRowBorderDxfId="56">
  <autoFilter ref="A1:G182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523" totalsRowShown="0" headerRowDxfId="48" dataDxfId="46" headerRowBorderDxfId="47" tableBorderDxfId="45" totalsRowBorderDxfId="44">
  <autoFilter ref="A1:O1523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212" totalsRowShown="0" headerRowDxfId="28" dataDxfId="26" headerRowBorderDxfId="27" tableBorderDxfId="25" totalsRowBorderDxfId="24">
  <autoFilter ref="A1:I212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14" headerRowBorderDxfId="13" tableBorderDxfId="12" totalsRowBorderDxfId="11">
  <autoFilter ref="A1:K8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82"/>
  <sheetViews>
    <sheetView topLeftCell="A166" workbookViewId="0">
      <selection activeCell="A181" sqref="A181:XFD181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97</v>
      </c>
      <c r="G1" s="5" t="s">
        <v>159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72</v>
      </c>
      <c r="D3" s="11">
        <f>SUMIFS(_stats[assists_on_date],_stats[player_id],_players[[#This Row],[player_id]])</f>
        <v>47</v>
      </c>
      <c r="E3" s="11">
        <f>SUMIFS(_stats[wins_on_date],_stats[player_id],_players[[#This Row],[player_id]])</f>
        <v>196</v>
      </c>
      <c r="F3" s="12">
        <f>SUMIFS(_stats[draws_on_date],_stats[player_id],_players[[#This Row],[player_id]])</f>
        <v>46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34</v>
      </c>
      <c r="E5" s="21">
        <f>SUMIFS(_stats[wins_on_date],_stats[player_id],_players[[#This Row],[player_id]])</f>
        <v>117</v>
      </c>
      <c r="F5" s="22">
        <f>SUMIFS(_stats[draws_on_date],_stats[player_id],_players[[#This Row],[player_id]])</f>
        <v>22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36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213</v>
      </c>
      <c r="F6" s="17">
        <f>SUMIFS(_stats[draws_on_date],_stats[player_id],_players[[#This Row],[player_id]])</f>
        <v>55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66</v>
      </c>
      <c r="D7" s="11">
        <f>SUMIFS(_stats[assists_on_date],_stats[player_id],_players[[#This Row],[player_id]])</f>
        <v>45</v>
      </c>
      <c r="E7" s="11">
        <f>SUMIFS(_stats[wins_on_date],_stats[player_id],_players[[#This Row],[player_id]])</f>
        <v>113</v>
      </c>
      <c r="F7" s="12">
        <f>SUMIFS(_stats[draws_on_date],_stats[player_id],_players[[#This Row],[player_id]])</f>
        <v>31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47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167</v>
      </c>
      <c r="F8" s="12">
        <f>SUMIFS(_stats[draws_on_date],_stats[player_id],_players[[#This Row],[player_id]])</f>
        <v>48</v>
      </c>
      <c r="G8" s="12">
        <f>SUMIFS(_stats[foul_on_date],_stats[player_id],_players[[#This Row],[player_id]])</f>
        <v>2</v>
      </c>
    </row>
    <row r="9" spans="1:7" x14ac:dyDescent="0.25">
      <c r="A9" s="33" t="s">
        <v>67</v>
      </c>
      <c r="B9" s="33" t="s">
        <v>67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77</v>
      </c>
      <c r="F10" s="17">
        <f>SUMIFS(_stats[draws_on_date],_stats[player_id],_players[[#This Row],[player_id]])</f>
        <v>20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58</v>
      </c>
      <c r="B12" s="32" t="s">
        <v>58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75</v>
      </c>
      <c r="B13" s="35" t="s">
        <v>75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62</v>
      </c>
      <c r="B15" s="30" t="s">
        <v>62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21</v>
      </c>
      <c r="D16" s="11">
        <f>SUMIFS(_stats[assists_on_date],_stats[player_id],_players[[#This Row],[player_id]])</f>
        <v>36</v>
      </c>
      <c r="E16" s="11">
        <f>SUMIFS(_stats[wins_on_date],_stats[player_id],_players[[#This Row],[player_id]])</f>
        <v>72</v>
      </c>
      <c r="F16" s="12">
        <f>SUMIFS(_stats[draws_on_date],_stats[player_id],_players[[#This Row],[player_id]])</f>
        <v>11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11</v>
      </c>
      <c r="D17" s="11">
        <f>SUMIFS(_stats[assists_on_date],_stats[player_id],_players[[#This Row],[player_id]])</f>
        <v>24</v>
      </c>
      <c r="E17" s="11">
        <f>SUMIFS(_stats[wins_on_date],_stats[player_id],_players[[#This Row],[player_id]])</f>
        <v>71</v>
      </c>
      <c r="F17" s="12">
        <f>SUMIFS(_stats[draws_on_date],_stats[player_id],_players[[#This Row],[player_id]])</f>
        <v>18</v>
      </c>
      <c r="G17" s="12">
        <f>SUMIFS(_stats[foul_on_date],_stats[player_id],_players[[#This Row],[player_id]])</f>
        <v>2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64</v>
      </c>
      <c r="B19" s="33" t="s">
        <v>64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23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125</v>
      </c>
      <c r="F20" s="12">
        <f>SUMIFS(_stats[draws_on_date],_stats[player_id],_players[[#This Row],[player_id]])</f>
        <v>27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51</v>
      </c>
      <c r="B21" s="24" t="s">
        <v>51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141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129</v>
      </c>
      <c r="F22" s="17">
        <f>SUMIFS(_stats[draws_on_date],_stats[player_id],_players[[#This Row],[player_id]])</f>
        <v>29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123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16</v>
      </c>
      <c r="D27" s="11">
        <f>SUMIFS(_stats[assists_on_date],_stats[player_id],_players[[#This Row],[player_id]])</f>
        <v>24</v>
      </c>
      <c r="E27" s="11">
        <f>SUMIFS(_stats[wins_on_date],_stats[player_id],_players[[#This Row],[player_id]])</f>
        <v>102</v>
      </c>
      <c r="F27" s="12">
        <f>SUMIFS(_stats[draws_on_date],_stats[player_id],_players[[#This Row],[player_id]])</f>
        <v>23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71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60</v>
      </c>
      <c r="B29" s="36" t="s">
        <v>60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6</v>
      </c>
      <c r="E30" s="16">
        <f>SUMIFS(_stats[wins_on_date],_stats[player_id],_players[[#This Row],[player_id]])</f>
        <v>53</v>
      </c>
      <c r="F30" s="17">
        <f>SUMIFS(_stats[draws_on_date],_stats[player_id],_players[[#This Row],[player_id]])</f>
        <v>12</v>
      </c>
      <c r="G30" s="17">
        <f>SUMIFS(_stats[foul_on_date],_stats[player_id],_players[[#This Row],[player_id]])</f>
        <v>1</v>
      </c>
    </row>
    <row r="31" spans="1:7" x14ac:dyDescent="0.25">
      <c r="A31" s="36" t="s">
        <v>66</v>
      </c>
      <c r="B31" s="36" t="s">
        <v>66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56</v>
      </c>
      <c r="B33" s="24" t="s">
        <v>56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17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76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171</v>
      </c>
      <c r="F39" s="12">
        <f>SUMIFS(_stats[draws_on_date],_stats[player_id],_players[[#This Row],[player_id]])</f>
        <v>65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63</v>
      </c>
      <c r="B42" s="36" t="s">
        <v>63</v>
      </c>
      <c r="C42" s="16">
        <f>SUMIFS(_stats[goals_on_date],_stats[player_id],_players[[#This Row],[player_id]])</f>
        <v>18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73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12</v>
      </c>
      <c r="E43" s="11">
        <f>SUMIFS(_stats[wins_on_date],_stats[player_id],_players[[#This Row],[player_id]])</f>
        <v>54</v>
      </c>
      <c r="F43" s="12">
        <f>SUMIFS(_stats[draws_on_date],_stats[player_id],_players[[#This Row],[player_id]])</f>
        <v>22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27</v>
      </c>
      <c r="F44" s="12">
        <f>SUMIFS(_stats[draws_on_date],_stats[player_id],_players[[#This Row],[player_id]])</f>
        <v>1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7</v>
      </c>
      <c r="E45" s="16">
        <f>SUMIFS(_stats[wins_on_date],_stats[player_id],_players[[#This Row],[player_id]])</f>
        <v>29</v>
      </c>
      <c r="F45" s="17">
        <f>SUMIFS(_stats[draws_on_date],_stats[player_id],_players[[#This Row],[player_id]])</f>
        <v>6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77</v>
      </c>
      <c r="B47" s="24" t="s">
        <v>77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79</v>
      </c>
      <c r="B48" s="36" t="s">
        <v>79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69</v>
      </c>
      <c r="B49" s="25" t="s">
        <v>69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53</v>
      </c>
      <c r="B50" s="24" t="s">
        <v>53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3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13</v>
      </c>
      <c r="F51" s="12">
        <f>SUMIFS(_stats[draws_on_date],_stats[player_id],_players[[#This Row],[player_id]])</f>
        <v>1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65</v>
      </c>
      <c r="B54" s="36" t="s">
        <v>65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4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13</v>
      </c>
      <c r="F55" s="8">
        <f>SUMIFS(_stats[draws_on_date],_stats[player_id],_players[[#This Row],[player_id]])</f>
        <v>6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76</v>
      </c>
      <c r="B56" s="24" t="s">
        <v>76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80</v>
      </c>
      <c r="B57" s="36" t="s">
        <v>80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72</v>
      </c>
      <c r="B58" s="24" t="s">
        <v>72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74</v>
      </c>
      <c r="B59" s="24" t="s">
        <v>74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81</v>
      </c>
      <c r="B60" s="36" t="s">
        <v>81</v>
      </c>
      <c r="C60" s="10">
        <f>SUMIFS(_stats[goals_on_date],_stats[player_id],_players[[#This Row],[player_id]])</f>
        <v>9</v>
      </c>
      <c r="D60" s="10">
        <f>SUMIFS(_stats[assists_on_date],_stats[player_id],_players[[#This Row],[player_id]])</f>
        <v>4</v>
      </c>
      <c r="E60" s="10">
        <f>SUMIFS(_stats[wins_on_date],_stats[player_id],_players[[#This Row],[player_id]])</f>
        <v>18</v>
      </c>
      <c r="F60" s="18">
        <f>SUMIFS(_stats[draws_on_date],_stats[player_id],_players[[#This Row],[player_id]])</f>
        <v>4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71</v>
      </c>
      <c r="B62" s="26" t="s">
        <v>71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73</v>
      </c>
      <c r="B63" s="25" t="s">
        <v>73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78</v>
      </c>
      <c r="B64" s="36" t="s">
        <v>78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124</v>
      </c>
      <c r="F64" s="18">
        <f>SUMIFS(_stats[draws_on_date],_stats[player_id],_players[[#This Row],[player_id]])</f>
        <v>40</v>
      </c>
      <c r="G64" s="18">
        <f>SUMIFS(_stats[foul_on_date],_stats[player_id],_players[[#This Row],[player_id]])</f>
        <v>2</v>
      </c>
    </row>
    <row r="65" spans="1:7" x14ac:dyDescent="0.25">
      <c r="A65" s="36" t="s">
        <v>82</v>
      </c>
      <c r="B65" s="36" t="s">
        <v>82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68</v>
      </c>
      <c r="B66" s="25" t="s">
        <v>68</v>
      </c>
      <c r="C66" s="10">
        <f>SUMIFS(_stats[goals_on_date],_stats[player_id],_players[[#This Row],[player_id]])</f>
        <v>16</v>
      </c>
      <c r="D66" s="10">
        <f>SUMIFS(_stats[assists_on_date],_stats[player_id],_players[[#This Row],[player_id]])</f>
        <v>10</v>
      </c>
      <c r="E66" s="10">
        <f>SUMIFS(_stats[wins_on_date],_stats[player_id],_players[[#This Row],[player_id]])</f>
        <v>23</v>
      </c>
      <c r="F66" s="18">
        <f>SUMIFS(_stats[draws_on_date],_stats[player_id],_players[[#This Row],[player_id]])</f>
        <v>5</v>
      </c>
      <c r="G66" s="18">
        <f>SUMIFS(_stats[foul_on_date],_stats[player_id],_players[[#This Row],[player_id]])</f>
        <v>0</v>
      </c>
    </row>
    <row r="67" spans="1:7" x14ac:dyDescent="0.25">
      <c r="A67" s="36" t="s">
        <v>70</v>
      </c>
      <c r="B67" s="36" t="s">
        <v>70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220</v>
      </c>
      <c r="B68" s="26" t="s">
        <v>220</v>
      </c>
      <c r="C68" s="7">
        <f>SUMIFS(_stats[goals_on_date],_stats[player_id],_players[[#This Row],[player_id]])</f>
        <v>24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51</v>
      </c>
      <c r="F68" s="8">
        <f>SUMIFS(_stats[draws_on_date],_stats[player_id],_players[[#This Row],[player_id]])</f>
        <v>12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52</v>
      </c>
      <c r="B69" s="24" t="s">
        <v>52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54</v>
      </c>
      <c r="B70" s="26" t="s">
        <v>54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55</v>
      </c>
      <c r="B72" s="25" t="s">
        <v>55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61</v>
      </c>
      <c r="B73" s="36" t="s">
        <v>61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57</v>
      </c>
      <c r="B74" s="25" t="s">
        <v>57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83</v>
      </c>
      <c r="B75" s="36" t="s">
        <v>83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84</v>
      </c>
      <c r="B76" s="36" t="s">
        <v>84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85</v>
      </c>
      <c r="B77" s="36" t="s">
        <v>85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86</v>
      </c>
      <c r="B78" s="36" t="s">
        <v>86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145</v>
      </c>
      <c r="B79" s="36" t="s">
        <v>145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24</v>
      </c>
      <c r="E79" s="10">
        <f>SUMIFS(_stats[wins_on_date],_stats[player_id],_players[[#This Row],[player_id]])</f>
        <v>76</v>
      </c>
      <c r="F79" s="18">
        <f>SUMIFS(_stats[draws_on_date],_stats[player_id],_players[[#This Row],[player_id]])</f>
        <v>21</v>
      </c>
      <c r="G79" s="18">
        <f>SUMIFS(_stats[foul_on_date],_stats[player_id],_players[[#This Row],[player_id]])</f>
        <v>0</v>
      </c>
    </row>
    <row r="80" spans="1:7" x14ac:dyDescent="0.25">
      <c r="A80" s="36" t="s">
        <v>87</v>
      </c>
      <c r="B80" s="36" t="s">
        <v>87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88</v>
      </c>
      <c r="B81" s="36" t="s">
        <v>88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89</v>
      </c>
      <c r="B82" s="36" t="s">
        <v>89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94</v>
      </c>
      <c r="B83" s="26" t="s">
        <v>94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90</v>
      </c>
      <c r="B84" s="26" t="s">
        <v>90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91</v>
      </c>
      <c r="B85" s="36" t="s">
        <v>91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92</v>
      </c>
      <c r="B86" s="36" t="s">
        <v>92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93</v>
      </c>
      <c r="B87" s="36" t="s">
        <v>93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95</v>
      </c>
      <c r="B88" s="36" t="s">
        <v>95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101</v>
      </c>
      <c r="B89" s="36" t="s">
        <v>101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103</v>
      </c>
      <c r="B90" s="36" t="s">
        <v>103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104</v>
      </c>
      <c r="B91" s="37" t="s">
        <v>104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105</v>
      </c>
      <c r="B92" s="26" t="s">
        <v>105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106</v>
      </c>
      <c r="B93" s="37" t="s">
        <v>106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107</v>
      </c>
      <c r="B94" s="37" t="s">
        <v>107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108</v>
      </c>
      <c r="B95" s="37" t="s">
        <v>108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109</v>
      </c>
      <c r="B96" s="36" t="s">
        <v>109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110</v>
      </c>
      <c r="B97" s="36" t="s">
        <v>110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111</v>
      </c>
      <c r="B98" s="36" t="s">
        <v>111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112</v>
      </c>
      <c r="B99" s="36" t="s">
        <v>112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113</v>
      </c>
      <c r="B100" s="33" t="s">
        <v>113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114</v>
      </c>
      <c r="B101" s="33" t="s">
        <v>114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115</v>
      </c>
      <c r="B102" s="36" t="s">
        <v>115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116</v>
      </c>
      <c r="B103" s="36" t="s">
        <v>116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117</v>
      </c>
      <c r="B104" s="36" t="s">
        <v>117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118</v>
      </c>
      <c r="B105" s="36" t="s">
        <v>118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119</v>
      </c>
      <c r="B106" s="36" t="s">
        <v>119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120</v>
      </c>
      <c r="B107" s="36" t="s">
        <v>120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121</v>
      </c>
      <c r="B108" s="36" t="s">
        <v>121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122</v>
      </c>
      <c r="B109" s="36" t="s">
        <v>122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123</v>
      </c>
      <c r="B110" s="26" t="s">
        <v>123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45</v>
      </c>
      <c r="F110" s="18">
        <f>SUMIFS(_stats[draws_on_date],_stats[player_id],_players[[#This Row],[player_id]])</f>
        <v>19</v>
      </c>
      <c r="G110" s="18">
        <f>SUMIFS(_stats[foul_on_date],_stats[player_id],_players[[#This Row],[player_id]])</f>
        <v>0</v>
      </c>
    </row>
    <row r="111" spans="1:7" x14ac:dyDescent="0.25">
      <c r="A111" s="36" t="s">
        <v>124</v>
      </c>
      <c r="B111" s="36" t="s">
        <v>124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125</v>
      </c>
      <c r="B112" s="36" t="s">
        <v>125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126</v>
      </c>
      <c r="B113" s="36" t="s">
        <v>126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127</v>
      </c>
      <c r="B114" s="33" t="s">
        <v>127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128</v>
      </c>
      <c r="B115" s="33" t="s">
        <v>128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129</v>
      </c>
      <c r="B116" s="33" t="s">
        <v>129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130</v>
      </c>
      <c r="B117" s="36" t="s">
        <v>130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131</v>
      </c>
      <c r="B118" s="39" t="s">
        <v>131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132</v>
      </c>
      <c r="B119" s="39" t="s">
        <v>132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133</v>
      </c>
      <c r="B120" s="36" t="s">
        <v>133</v>
      </c>
      <c r="C120" s="10">
        <f>SUMIFS(_stats[goals_on_date],_stats[player_id],_players[[#This Row],[player_id]])</f>
        <v>17</v>
      </c>
      <c r="D120" s="10">
        <f>SUMIFS(_stats[assists_on_date],_stats[player_id],_players[[#This Row],[player_id]])</f>
        <v>9</v>
      </c>
      <c r="E120" s="10">
        <f>SUMIFS(_stats[wins_on_date],_stats[player_id],_players[[#This Row],[player_id]])</f>
        <v>51</v>
      </c>
      <c r="F120" s="18">
        <f>SUMIFS(_stats[draws_on_date],_stats[player_id],_players[[#This Row],[player_id]])</f>
        <v>21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134</v>
      </c>
      <c r="B121" s="39" t="s">
        <v>134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135</v>
      </c>
      <c r="B122" s="39" t="s">
        <v>135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136</v>
      </c>
      <c r="B123" s="26" t="s">
        <v>136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137</v>
      </c>
      <c r="B124" s="36" t="s">
        <v>137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138</v>
      </c>
      <c r="B125" s="36" t="s">
        <v>138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139</v>
      </c>
      <c r="B126" s="36" t="s">
        <v>139</v>
      </c>
      <c r="C126" s="10">
        <f>SUMIFS(_stats[goals_on_date],_stats[player_id],_players[[#This Row],[player_id]])</f>
        <v>13</v>
      </c>
      <c r="D126" s="10">
        <f>SUMIFS(_stats[assists_on_date],_stats[player_id],_players[[#This Row],[player_id]])</f>
        <v>6</v>
      </c>
      <c r="E126" s="10">
        <f>SUMIFS(_stats[wins_on_date],_stats[player_id],_players[[#This Row],[player_id]])</f>
        <v>31</v>
      </c>
      <c r="F126" s="18">
        <f>SUMIFS(_stats[draws_on_date],_stats[player_id],_players[[#This Row],[player_id]])</f>
        <v>17</v>
      </c>
      <c r="G126" s="18">
        <f>SUMIFS(_stats[foul_on_date],_stats[player_id],_players[[#This Row],[player_id]])</f>
        <v>0</v>
      </c>
    </row>
    <row r="127" spans="1:7" x14ac:dyDescent="0.25">
      <c r="A127" s="36" t="s">
        <v>140</v>
      </c>
      <c r="B127" s="36" t="s">
        <v>140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141</v>
      </c>
      <c r="B128" s="36" t="s">
        <v>141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142</v>
      </c>
      <c r="B129" s="36" t="s">
        <v>142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143</v>
      </c>
      <c r="B130" s="36" t="s">
        <v>143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144</v>
      </c>
      <c r="B131" s="36" t="s">
        <v>144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146</v>
      </c>
      <c r="B132" s="36" t="s">
        <v>146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147</v>
      </c>
      <c r="B133" s="36" t="s">
        <v>147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148</v>
      </c>
      <c r="B134" s="36" t="s">
        <v>148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149</v>
      </c>
      <c r="B135" s="36" t="s">
        <v>149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150</v>
      </c>
      <c r="B136" s="36" t="s">
        <v>150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151</v>
      </c>
      <c r="B137" s="36" t="s">
        <v>151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3</v>
      </c>
      <c r="E137" s="10">
        <f>SUMIFS(_stats[wins_on_date],_stats[player_id],_players[[#This Row],[player_id]])</f>
        <v>27</v>
      </c>
      <c r="F137" s="18">
        <f>SUMIFS(_stats[draws_on_date],_stats[player_id],_players[[#This Row],[player_id]])</f>
        <v>8</v>
      </c>
      <c r="G137" s="18">
        <f>SUMIFS(_stats[foul_on_date],_stats[player_id],_players[[#This Row],[player_id]])</f>
        <v>1</v>
      </c>
    </row>
    <row r="138" spans="1:7" x14ac:dyDescent="0.25">
      <c r="A138" s="36" t="s">
        <v>152</v>
      </c>
      <c r="B138" s="36" t="s">
        <v>152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153</v>
      </c>
      <c r="B139" s="36" t="s">
        <v>153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154</v>
      </c>
      <c r="B140" s="36" t="s">
        <v>154</v>
      </c>
      <c r="C140" s="10">
        <f>SUMIFS(_stats[goals_on_date],_stats[player_id],_players[[#This Row],[player_id]])</f>
        <v>9</v>
      </c>
      <c r="D140" s="10">
        <f>SUMIFS(_stats[assists_on_date],_stats[player_id],_players[[#This Row],[player_id]])</f>
        <v>3</v>
      </c>
      <c r="E140" s="10">
        <f>SUMIFS(_stats[wins_on_date],_stats[player_id],_players[[#This Row],[player_id]])</f>
        <v>11</v>
      </c>
      <c r="F140" s="18">
        <f>SUMIFS(_stats[draws_on_date],_stats[player_id],_players[[#This Row],[player_id]])</f>
        <v>11</v>
      </c>
      <c r="G140" s="18">
        <f>SUMIFS(_stats[foul_on_date],_stats[player_id],_players[[#This Row],[player_id]])</f>
        <v>0</v>
      </c>
    </row>
    <row r="141" spans="1:7" x14ac:dyDescent="0.25">
      <c r="A141" s="36" t="s">
        <v>155</v>
      </c>
      <c r="B141" s="36" t="s">
        <v>155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158</v>
      </c>
      <c r="B142" s="36" t="s">
        <v>158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156</v>
      </c>
      <c r="B143" s="36" t="s">
        <v>156</v>
      </c>
      <c r="C143" s="10">
        <f>SUMIFS(_stats[goals_on_date],_stats[player_id],_players[[#This Row],[player_id]])</f>
        <v>1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8</v>
      </c>
      <c r="F143" s="18">
        <f>SUMIFS(_stats[draws_on_date],_stats[player_id],_players[[#This Row],[player_id]])</f>
        <v>2</v>
      </c>
      <c r="G143" s="18">
        <f>SUMIFS(_stats[foul_on_date],_stats[player_id],_players[[#This Row],[player_id]])</f>
        <v>0</v>
      </c>
    </row>
    <row r="144" spans="1:7" x14ac:dyDescent="0.25">
      <c r="A144" s="36" t="s">
        <v>157</v>
      </c>
      <c r="B144" s="36" t="s">
        <v>157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181</v>
      </c>
      <c r="B145" s="36" t="s">
        <v>181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182</v>
      </c>
      <c r="B146" s="36" t="s">
        <v>182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183</v>
      </c>
      <c r="B147" s="36" t="s">
        <v>183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184</v>
      </c>
      <c r="B148" s="36" t="s">
        <v>184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18</v>
      </c>
      <c r="F148" s="18">
        <f>SUMIFS(_stats[draws_on_date],_stats[player_id],_players[[#This Row],[player_id]])</f>
        <v>14</v>
      </c>
      <c r="G148" s="18">
        <f>SUMIFS(_stats[foul_on_date],_stats[player_id],_players[[#This Row],[player_id]])</f>
        <v>2</v>
      </c>
    </row>
    <row r="149" spans="1:7" x14ac:dyDescent="0.25">
      <c r="A149" s="36" t="s">
        <v>185</v>
      </c>
      <c r="B149" s="36" t="s">
        <v>185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187</v>
      </c>
      <c r="B150" s="36" t="s">
        <v>187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188</v>
      </c>
      <c r="B151" s="36" t="s">
        <v>188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189</v>
      </c>
      <c r="B152" s="36" t="s">
        <v>189</v>
      </c>
      <c r="C152" s="10">
        <f>SUMIFS(_stats[goals_on_date],_stats[player_id],_players[[#This Row],[player_id]])</f>
        <v>7</v>
      </c>
      <c r="D152" s="10">
        <f>SUMIFS(_stats[assists_on_date],_stats[player_id],_players[[#This Row],[player_id]])</f>
        <v>3</v>
      </c>
      <c r="E152" s="10">
        <f>SUMIFS(_stats[wins_on_date],_stats[player_id],_players[[#This Row],[player_id]])</f>
        <v>21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190</v>
      </c>
      <c r="B153" s="36" t="s">
        <v>190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191</v>
      </c>
      <c r="B154" s="36" t="s">
        <v>191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192</v>
      </c>
      <c r="B155" s="36" t="s">
        <v>192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193</v>
      </c>
      <c r="B156" s="36" t="s">
        <v>193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194</v>
      </c>
      <c r="B157" s="36" t="s">
        <v>194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195</v>
      </c>
      <c r="B158" s="36" t="s">
        <v>195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196</v>
      </c>
      <c r="B159" s="36" t="s">
        <v>196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197</v>
      </c>
      <c r="B160" s="36" t="s">
        <v>197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198</v>
      </c>
      <c r="B161" s="36" t="s">
        <v>198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199</v>
      </c>
      <c r="B162" s="36" t="s">
        <v>199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200</v>
      </c>
      <c r="B163" s="36" t="s">
        <v>200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201</v>
      </c>
      <c r="B164" s="36" t="s">
        <v>201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202</v>
      </c>
      <c r="B165" s="36" t="s">
        <v>202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5</v>
      </c>
      <c r="F165" s="18">
        <f>SUMIFS(_stats[draws_on_date],_stats[player_id],_players[[#This Row],[player_id]])</f>
        <v>1</v>
      </c>
      <c r="G165" s="18">
        <f>SUMIFS(_stats[foul_on_date],_stats[player_id],_players[[#This Row],[player_id]])</f>
        <v>0</v>
      </c>
    </row>
    <row r="166" spans="1:7" x14ac:dyDescent="0.25">
      <c r="A166" s="36" t="s">
        <v>203</v>
      </c>
      <c r="B166" s="36" t="s">
        <v>203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204</v>
      </c>
      <c r="B167" s="36" t="s">
        <v>204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205</v>
      </c>
      <c r="B168" s="36" t="s">
        <v>205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206</v>
      </c>
      <c r="B169" s="36" t="s">
        <v>206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207</v>
      </c>
      <c r="B170" s="36" t="s">
        <v>207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208</v>
      </c>
      <c r="B171" s="36" t="s">
        <v>208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209</v>
      </c>
      <c r="B172" s="36" t="s">
        <v>209</v>
      </c>
      <c r="C172" s="10">
        <f>SUMIFS(_stats[goals_on_date],_stats[player_id],_players[[#This Row],[player_id]])</f>
        <v>1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2</v>
      </c>
      <c r="F172" s="18">
        <f>SUMIFS(_stats[draws_on_date],_stats[player_id],_players[[#This Row],[player_id]])</f>
        <v>1</v>
      </c>
      <c r="G172" s="18">
        <f>SUMIFS(_stats[foul_on_date],_stats[player_id],_players[[#This Row],[player_id]])</f>
        <v>0</v>
      </c>
    </row>
    <row r="173" spans="1:7" x14ac:dyDescent="0.25">
      <c r="A173" s="36" t="s">
        <v>210</v>
      </c>
      <c r="B173" s="36" t="s">
        <v>210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211</v>
      </c>
      <c r="B174" s="36" t="s">
        <v>211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212</v>
      </c>
      <c r="B175" s="36" t="s">
        <v>212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213</v>
      </c>
      <c r="B176" s="36" t="s">
        <v>213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214</v>
      </c>
      <c r="B177" s="36" t="s">
        <v>214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  <row r="178" spans="1:7" x14ac:dyDescent="0.25">
      <c r="A178" s="36" t="s">
        <v>215</v>
      </c>
      <c r="B178" s="36" t="s">
        <v>215</v>
      </c>
      <c r="C178" s="10">
        <f>SUMIFS(_stats[goals_on_date],_stats[player_id],_players[[#This Row],[player_id]])</f>
        <v>0</v>
      </c>
      <c r="D178" s="10">
        <f>SUMIFS(_stats[assists_on_date],_stats[player_id],_players[[#This Row],[player_id]])</f>
        <v>0</v>
      </c>
      <c r="E178" s="10">
        <f>SUMIFS(_stats[wins_on_date],_stats[player_id],_players[[#This Row],[player_id]])</f>
        <v>1</v>
      </c>
      <c r="F178" s="18">
        <f>SUMIFS(_stats[draws_on_date],_stats[player_id],_players[[#This Row],[player_id]])</f>
        <v>1</v>
      </c>
      <c r="G178" s="18">
        <f>SUMIFS(_stats[foul_on_date],_stats[player_id],_players[[#This Row],[player_id]])</f>
        <v>1</v>
      </c>
    </row>
    <row r="179" spans="1:7" x14ac:dyDescent="0.25">
      <c r="A179" s="36" t="s">
        <v>216</v>
      </c>
      <c r="B179" s="36" t="s">
        <v>216</v>
      </c>
      <c r="C179" s="10">
        <f>SUMIFS(_stats[goals_on_date],_stats[player_id],_players[[#This Row],[player_id]])</f>
        <v>0</v>
      </c>
      <c r="D179" s="10">
        <f>SUMIFS(_stats[assists_on_date],_stats[player_id],_players[[#This Row],[player_id]])</f>
        <v>0</v>
      </c>
      <c r="E179" s="10">
        <f>SUMIFS(_stats[wins_on_date],_stats[player_id],_players[[#This Row],[player_id]])</f>
        <v>0</v>
      </c>
      <c r="F179" s="18">
        <f>SUMIFS(_stats[draws_on_date],_stats[player_id],_players[[#This Row],[player_id]])</f>
        <v>0</v>
      </c>
      <c r="G179" s="18">
        <f>SUMIFS(_stats[foul_on_date],_stats[player_id],_players[[#This Row],[player_id]])</f>
        <v>0</v>
      </c>
    </row>
    <row r="180" spans="1:7" x14ac:dyDescent="0.25">
      <c r="A180" s="36" t="s">
        <v>217</v>
      </c>
      <c r="B180" s="36" t="s">
        <v>217</v>
      </c>
      <c r="C180" s="10">
        <f>SUMIFS(_stats[goals_on_date],_stats[player_id],_players[[#This Row],[player_id]])</f>
        <v>2</v>
      </c>
      <c r="D180" s="10">
        <f>SUMIFS(_stats[assists_on_date],_stats[player_id],_players[[#This Row],[player_id]])</f>
        <v>0</v>
      </c>
      <c r="E180" s="10">
        <f>SUMIFS(_stats[wins_on_date],_stats[player_id],_players[[#This Row],[player_id]])</f>
        <v>9</v>
      </c>
      <c r="F180" s="18">
        <f>SUMIFS(_stats[draws_on_date],_stats[player_id],_players[[#This Row],[player_id]])</f>
        <v>5</v>
      </c>
      <c r="G180" s="18">
        <f>SUMIFS(_stats[foul_on_date],_stats[player_id],_players[[#This Row],[player_id]])</f>
        <v>0</v>
      </c>
    </row>
    <row r="181" spans="1:7" x14ac:dyDescent="0.25">
      <c r="A181" s="36" t="s">
        <v>218</v>
      </c>
      <c r="B181" s="36" t="s">
        <v>218</v>
      </c>
      <c r="C181" s="10">
        <f>SUMIFS(_stats[goals_on_date],_stats[player_id],_players[[#This Row],[player_id]])</f>
        <v>0</v>
      </c>
      <c r="D181" s="10">
        <f>SUMIFS(_stats[assists_on_date],_stats[player_id],_players[[#This Row],[player_id]])</f>
        <v>0</v>
      </c>
      <c r="E181" s="10">
        <f>SUMIFS(_stats[wins_on_date],_stats[player_id],_players[[#This Row],[player_id]])</f>
        <v>3</v>
      </c>
      <c r="F181" s="18">
        <f>SUMIFS(_stats[draws_on_date],_stats[player_id],_players[[#This Row],[player_id]])</f>
        <v>1</v>
      </c>
      <c r="G181" s="18">
        <f>SUMIFS(_stats[foul_on_date],_stats[player_id],_players[[#This Row],[player_id]])</f>
        <v>0</v>
      </c>
    </row>
    <row r="182" spans="1:7" x14ac:dyDescent="0.25">
      <c r="A182" s="36" t="s">
        <v>219</v>
      </c>
      <c r="B182" s="36" t="s">
        <v>219</v>
      </c>
      <c r="C182" s="10">
        <f>SUMIFS(_stats[goals_on_date],_stats[player_id],_players[[#This Row],[player_id]])</f>
        <v>0</v>
      </c>
      <c r="D182" s="10">
        <f>SUMIFS(_stats[assists_on_date],_stats[player_id],_players[[#This Row],[player_id]])</f>
        <v>0</v>
      </c>
      <c r="E182" s="10">
        <f>SUMIFS(_stats[wins_on_date],_stats[player_id],_players[[#This Row],[player_id]])</f>
        <v>3</v>
      </c>
      <c r="F182" s="18">
        <f>SUMIFS(_stats[draws_on_date],_stats[player_id],_players[[#This Row],[player_id]])</f>
        <v>1</v>
      </c>
      <c r="G18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523"/>
  <sheetViews>
    <sheetView tabSelected="1" topLeftCell="A1484" zoomScale="85" zoomScaleNormal="85" workbookViewId="0">
      <selection activeCell="C1514" sqref="C1514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98</v>
      </c>
      <c r="I1" s="4" t="s">
        <v>96</v>
      </c>
      <c r="J1" s="4" t="s">
        <v>160</v>
      </c>
      <c r="K1" s="4" t="s">
        <v>99</v>
      </c>
      <c r="L1" s="53" t="s">
        <v>177</v>
      </c>
      <c r="M1" s="53" t="s">
        <v>178</v>
      </c>
      <c r="N1" s="54" t="s">
        <v>179</v>
      </c>
      <c r="O1" s="54" t="s">
        <v>180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62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71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53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52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56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55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57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58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51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59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7" t="s">
        <v>220</v>
      </c>
      <c r="D86" s="16" t="str">
        <f>IFERROR(VLOOKUP(_stats[[#This Row],[player_id]],_players[[player_id]:[player_name]],2,0),"")</f>
        <v>Егор (АК+1) Снюс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75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60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62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61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63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58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51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60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64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75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63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65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67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66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62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65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58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66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68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51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67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69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64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56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75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70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60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66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62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67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72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60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67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64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53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74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56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73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58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71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66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76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77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75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78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58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67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79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80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51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81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56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82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77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67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60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76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62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75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83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60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58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79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51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53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220</v>
      </c>
      <c r="D293" s="10" t="str">
        <f>IFERROR(VLOOKUP(_stats[[#This Row],[player_id]],_players[[player_id]:[player_name]],2,0),"")</f>
        <v>Егор (АК+1) Снюс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74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84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85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86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66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145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60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77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62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76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84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51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58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76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145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87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88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89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60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94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145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76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62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77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90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62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66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77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94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66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75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76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51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58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145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63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68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91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220</v>
      </c>
      <c r="D396" s="10" t="str">
        <f>IFERROR(VLOOKUP(_stats[[#This Row],[player_id]],_players[[player_id]:[player_name]],2,0),"")</f>
        <v>Егор (АК+1) Снюс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53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74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92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62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77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63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66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93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58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87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79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62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95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77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94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66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93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63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73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51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145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58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60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80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220</v>
      </c>
      <c r="D477" s="10" t="str">
        <f>IFERROR(VLOOKUP(_stats[[#This Row],[player_id]],_players[[player_id]:[player_name]],2,0),"")</f>
        <v>Егор (АК+1) Снюс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53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74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93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84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93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60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62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145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77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84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84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145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75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58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101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62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58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75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145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66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103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84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109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58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80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105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107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74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108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106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51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145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107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108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110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94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93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111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103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79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78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51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84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107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112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113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114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109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75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103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145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103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107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60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108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220</v>
      </c>
      <c r="D623" s="10" t="str">
        <f>IFERROR(VLOOKUP(_stats[[#This Row],[player_id]],_players[[player_id]:[player_name]],2,0),"")</f>
        <v>Егор (АК+1) Снюс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66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115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103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58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78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145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116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51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79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105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114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108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63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103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110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51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58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60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79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109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58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65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51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78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114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113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79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75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84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115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65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60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51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68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58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74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110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53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58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51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78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109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68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79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64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117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118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113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115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51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78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79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106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60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145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58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51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78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105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114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119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120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113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79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78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51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58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121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114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79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113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51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60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58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78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68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79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114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220</v>
      </c>
      <c r="D802" s="10" t="str">
        <f>IFERROR(VLOOKUP(_stats[[#This Row],[player_id]],_players[[player_id]:[player_name]],2,0),"")</f>
        <v>Егор (АК+1) Снюс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74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122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58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65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78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145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79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64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114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56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113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123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51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145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58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65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78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79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220</v>
      </c>
      <c r="D845" s="10" t="str">
        <f>IFERROR(VLOOKUP(_stats[[#This Row],[player_id]],_players[[player_id]:[player_name]],2,0),"")</f>
        <v>Егор (АК+1) Снюс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124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51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58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78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93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65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125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123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145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126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51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58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78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56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7" t="s">
        <v>220</v>
      </c>
      <c r="D884" s="16" t="str">
        <f>IFERROR(VLOOKUP(_stats[[#This Row],[player_id]],_players[[player_id]:[player_name]],2,0),"")</f>
        <v>Егор (АК+1) Снюс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74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127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128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65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129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123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79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123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63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53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52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56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130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79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58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123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58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133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63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78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84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51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52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53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70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131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132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64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135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58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133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136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63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51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78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134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84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94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133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139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58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145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78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62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123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119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93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136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106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137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138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66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139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74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140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135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56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220</v>
      </c>
      <c r="D1013" s="10" t="str">
        <f>IFERROR(VLOOKUP(_stats[[#This Row],[player_id]],_players[[player_id]:[player_name]],2,0),"")</f>
        <v>Егор (АК+1) Снюс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141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134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142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63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145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78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134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51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106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123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119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144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143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133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145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78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51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138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146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143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123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147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95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58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220</v>
      </c>
      <c r="D1075" s="10" t="str">
        <f>IFERROR(VLOOKUP(_stats[[#This Row],[player_id]],_players[[player_id]:[player_name]],2,0),"")</f>
        <v>Егор (АК+1) Снюс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134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119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148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93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62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58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134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90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78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66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149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64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79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123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123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109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63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150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58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74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133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84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134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78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139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51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151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137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79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109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52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139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148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147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152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138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58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90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134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62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51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62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66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123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220</v>
      </c>
      <c r="D1161" s="10" t="str">
        <f>IFERROR(VLOOKUP(_stats[[#This Row],[player_id]],_players[[player_id]:[player_name]],2,0),"")</f>
        <v>Егор (АК+1) Снюс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134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56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139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53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122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153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154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90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135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220</v>
      </c>
      <c r="D1177" s="10" t="str">
        <f>IFERROR(VLOOKUP(_stats[[#This Row],[player_id]],_players[[player_id]:[player_name]],2,0),"")</f>
        <v>Егор (АК+1) Снюс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155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63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133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78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134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123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53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151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158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51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156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56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58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157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148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62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134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139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181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74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58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93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78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182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84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53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154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107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64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84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158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103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133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58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183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78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51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148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53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56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156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157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144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119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95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75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63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123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66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58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78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62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134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74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139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181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154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53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133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84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158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145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58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63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184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133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78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134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51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183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119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53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56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143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144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151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123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185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58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151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78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133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51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184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187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81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188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189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52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190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191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192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193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195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194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44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21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93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12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154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122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42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47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184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90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25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45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62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17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19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139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133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74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10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31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134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63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25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18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58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133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42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27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28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17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184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19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51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151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41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148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81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196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197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198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199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34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11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189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29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26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144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95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63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31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78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58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10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25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42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18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22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62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17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28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133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19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81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41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51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38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151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189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188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75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139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19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18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184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62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200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47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25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27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93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68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22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181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42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78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74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133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201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202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220</v>
      </c>
      <c r="D1456" s="10" t="str">
        <f>IFERROR(VLOOKUP(_stats[[#This Row],[player_id]],_players[[player_id]:[player_name]],2,0),"")</f>
        <v>Егор (АК+1) Снюс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21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17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49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203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204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212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213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214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205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206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207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208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209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210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56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211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79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>
        <v>7</v>
      </c>
      <c r="L1473" s="55" t="str">
        <f>VLOOKUP(_stats[[#This Row],[tournament]],tournaments_n_rules[],2,0)</f>
        <v>УПК</v>
      </c>
      <c r="M1473" s="55" t="str">
        <f>VLOOKUP(_stats[[#This Row],[tournament]],tournaments_n_rules[],3,0)</f>
        <v>Лето 2026</v>
      </c>
      <c r="N1473" s="56">
        <f>VLOOKUP(_stats[[#This Row],[tournament]],tournaments_n_rules[],4,0)</f>
        <v>46194</v>
      </c>
      <c r="O1473" s="56">
        <f>VLOOKUP(_stats[[#This Row],[tournament]],tournaments_n_rules[],5,0)</f>
        <v>46265</v>
      </c>
    </row>
    <row r="1474" spans="1:15" x14ac:dyDescent="0.25">
      <c r="A1474" s="6">
        <v>46214</v>
      </c>
      <c r="B1474" s="7">
        <v>3</v>
      </c>
      <c r="C1474" s="7" t="s">
        <v>123</v>
      </c>
      <c r="D1474" s="10" t="str">
        <f>IFERROR(VLOOKUP(_stats[[#This Row],[player_id]],_players[[player_id]:[player_name]],2,0),"")</f>
        <v>Богдан Ждамаров</v>
      </c>
      <c r="E1474" s="7">
        <v>0</v>
      </c>
      <c r="F1474" s="8">
        <v>0</v>
      </c>
      <c r="G1474" s="10">
        <f>SUMIFS(_teams[wins_on_date],_teams[date],_stats[[#This Row],[date]],_teams[team_number],_stats[[#This Row],[team_number]])</f>
        <v>2</v>
      </c>
      <c r="H1474" s="10">
        <f>SUMIFS(_teams[draws_on_date],_teams[date],_stats[[#This Row],[date]],_teams[team_number],_stats[[#This Row],[team_number]])</f>
        <v>1</v>
      </c>
      <c r="I1474" s="10">
        <v>2</v>
      </c>
      <c r="J1474" s="10">
        <v>0</v>
      </c>
      <c r="K1474" s="10">
        <v>7</v>
      </c>
      <c r="L1474" s="55" t="str">
        <f>VLOOKUP(_stats[[#This Row],[tournament]],tournaments_n_rules[],2,0)</f>
        <v>УПК</v>
      </c>
      <c r="M1474" s="55" t="str">
        <f>VLOOKUP(_stats[[#This Row],[tournament]],tournaments_n_rules[],3,0)</f>
        <v>Лето 2026</v>
      </c>
      <c r="N1474" s="56">
        <f>VLOOKUP(_stats[[#This Row],[tournament]],tournaments_n_rules[],4,0)</f>
        <v>46194</v>
      </c>
      <c r="O1474" s="56">
        <f>VLOOKUP(_stats[[#This Row],[tournament]],tournaments_n_rules[],5,0)</f>
        <v>46265</v>
      </c>
    </row>
    <row r="1475" spans="1:15" x14ac:dyDescent="0.25">
      <c r="A1475" s="6">
        <v>46214</v>
      </c>
      <c r="B1475" s="7">
        <v>1</v>
      </c>
      <c r="C1475" s="7" t="s">
        <v>154</v>
      </c>
      <c r="D1475" s="10" t="str">
        <f>IFERROR(VLOOKUP(_stats[[#This Row],[player_id]],_players[[player_id]:[player_name]],2,0),"")</f>
        <v>Никита Марс (АК+1)</v>
      </c>
      <c r="E1475" s="7">
        <v>2</v>
      </c>
      <c r="F1475" s="8">
        <v>1</v>
      </c>
      <c r="G1475" s="10">
        <f>SUMIFS(_teams[wins_on_date],_teams[date],_stats[[#This Row],[date]],_teams[team_number],_stats[[#This Row],[team_number]])</f>
        <v>1</v>
      </c>
      <c r="H1475" s="10">
        <f>SUMIFS(_teams[draws_on_date],_teams[date],_stats[[#This Row],[date]],_teams[team_number],_stats[[#This Row],[team_number]])</f>
        <v>1</v>
      </c>
      <c r="I1475" s="10">
        <v>0</v>
      </c>
      <c r="J1475" s="10">
        <v>0</v>
      </c>
      <c r="K1475" s="10">
        <v>7</v>
      </c>
      <c r="L1475" s="55" t="str">
        <f>VLOOKUP(_stats[[#This Row],[tournament]],tournaments_n_rules[],2,0)</f>
        <v>УПК</v>
      </c>
      <c r="M1475" s="55" t="str">
        <f>VLOOKUP(_stats[[#This Row],[tournament]],tournaments_n_rules[],3,0)</f>
        <v>Лето 2026</v>
      </c>
      <c r="N1475" s="56">
        <f>VLOOKUP(_stats[[#This Row],[tournament]],tournaments_n_rules[],4,0)</f>
        <v>46194</v>
      </c>
      <c r="O1475" s="56">
        <f>VLOOKUP(_stats[[#This Row],[tournament]],tournaments_n_rules[],5,0)</f>
        <v>46265</v>
      </c>
    </row>
    <row r="1476" spans="1:15" x14ac:dyDescent="0.25">
      <c r="A1476" s="6">
        <v>46214</v>
      </c>
      <c r="B1476" s="7">
        <v>2</v>
      </c>
      <c r="C1476" s="7" t="s">
        <v>139</v>
      </c>
      <c r="D1476" s="10" t="str">
        <f>IFERROR(VLOOKUP(_stats[[#This Row],[player_id]],_players[[player_id]:[player_name]],2,0),"")</f>
        <v>Коля (АК+1)</v>
      </c>
      <c r="E1476" s="7">
        <v>2</v>
      </c>
      <c r="F1476" s="8">
        <v>1</v>
      </c>
      <c r="G1476" s="10">
        <f>SUMIFS(_teams[wins_on_date],_teams[date],_stats[[#This Row],[date]],_teams[team_number],_stats[[#This Row],[team_number]])</f>
        <v>5</v>
      </c>
      <c r="H1476" s="10">
        <f>SUMIFS(_teams[draws_on_date],_teams[date],_stats[[#This Row],[date]],_teams[team_number],_stats[[#This Row],[team_number]])</f>
        <v>4</v>
      </c>
      <c r="I1476" s="10">
        <v>0</v>
      </c>
      <c r="J1476" s="10">
        <v>0</v>
      </c>
      <c r="K1476" s="10">
        <v>7</v>
      </c>
      <c r="L1476" s="55" t="str">
        <f>VLOOKUP(_stats[[#This Row],[tournament]],tournaments_n_rules[],2,0)</f>
        <v>УПК</v>
      </c>
      <c r="M1476" s="55" t="str">
        <f>VLOOKUP(_stats[[#This Row],[tournament]],tournaments_n_rules[],3,0)</f>
        <v>Лето 2026</v>
      </c>
      <c r="N1476" s="56">
        <f>VLOOKUP(_stats[[#This Row],[tournament]],tournaments_n_rules[],4,0)</f>
        <v>46194</v>
      </c>
      <c r="O1476" s="56">
        <f>VLOOKUP(_stats[[#This Row],[tournament]],tournaments_n_rules[],5,0)</f>
        <v>46265</v>
      </c>
    </row>
    <row r="1477" spans="1:15" x14ac:dyDescent="0.25">
      <c r="A1477" s="6">
        <v>46214</v>
      </c>
      <c r="B1477" s="7">
        <v>2</v>
      </c>
      <c r="C1477" s="7" t="s">
        <v>11</v>
      </c>
      <c r="D1477" s="10" t="str">
        <f>IFERROR(VLOOKUP(_stats[[#This Row],[player_id]],_players[[player_id]:[player_name]],2,0),"")</f>
        <v>Максим Строцкий</v>
      </c>
      <c r="E1477" s="7">
        <v>2</v>
      </c>
      <c r="F1477" s="8">
        <v>3</v>
      </c>
      <c r="G1477" s="10">
        <f>SUMIFS(_teams[wins_on_date],_teams[date],_stats[[#This Row],[date]],_teams[team_number],_stats[[#This Row],[team_number]])</f>
        <v>5</v>
      </c>
      <c r="H1477" s="10">
        <f>SUMIFS(_teams[draws_on_date],_teams[date],_stats[[#This Row],[date]],_teams[team_number],_stats[[#This Row],[team_number]])</f>
        <v>4</v>
      </c>
      <c r="I1477" s="10">
        <v>0</v>
      </c>
      <c r="J1477" s="10">
        <v>0</v>
      </c>
      <c r="K1477" s="10">
        <v>7</v>
      </c>
      <c r="L1477" s="55" t="str">
        <f>VLOOKUP(_stats[[#This Row],[tournament]],tournaments_n_rules[],2,0)</f>
        <v>УПК</v>
      </c>
      <c r="M1477" s="55" t="str">
        <f>VLOOKUP(_stats[[#This Row],[tournament]],tournaments_n_rules[],3,0)</f>
        <v>Лето 2026</v>
      </c>
      <c r="N1477" s="56">
        <f>VLOOKUP(_stats[[#This Row],[tournament]],tournaments_n_rules[],4,0)</f>
        <v>46194</v>
      </c>
      <c r="O1477" s="56">
        <f>VLOOKUP(_stats[[#This Row],[tournament]],tournaments_n_rules[],5,0)</f>
        <v>46265</v>
      </c>
    </row>
    <row r="1478" spans="1:15" x14ac:dyDescent="0.25">
      <c r="A1478" s="6">
        <v>46214</v>
      </c>
      <c r="B1478" s="7">
        <v>3</v>
      </c>
      <c r="C1478" s="7" t="s">
        <v>16</v>
      </c>
      <c r="D1478" s="10" t="str">
        <f>IFERROR(VLOOKUP(_stats[[#This Row],[player_id]],_players[[player_id]:[player_name]],2,0),"")</f>
        <v>Анатолий</v>
      </c>
      <c r="E1478" s="7">
        <v>0</v>
      </c>
      <c r="F1478" s="8">
        <v>0</v>
      </c>
      <c r="G1478" s="10">
        <f>SUMIFS(_teams[wins_on_date],_teams[date],_stats[[#This Row],[date]],_teams[team_number],_stats[[#This Row],[team_number]])</f>
        <v>2</v>
      </c>
      <c r="H1478" s="10">
        <f>SUMIFS(_teams[draws_on_date],_teams[date],_stats[[#This Row],[date]],_teams[team_number],_stats[[#This Row],[team_number]])</f>
        <v>1</v>
      </c>
      <c r="I1478" s="10">
        <v>0</v>
      </c>
      <c r="J1478" s="10">
        <v>0</v>
      </c>
      <c r="K1478" s="10">
        <v>7</v>
      </c>
      <c r="L1478" s="55" t="str">
        <f>VLOOKUP(_stats[[#This Row],[tournament]],tournaments_n_rules[],2,0)</f>
        <v>УПК</v>
      </c>
      <c r="M1478" s="55" t="str">
        <f>VLOOKUP(_stats[[#This Row],[tournament]],tournaments_n_rules[],3,0)</f>
        <v>Лето 2026</v>
      </c>
      <c r="N1478" s="56">
        <f>VLOOKUP(_stats[[#This Row],[tournament]],tournaments_n_rules[],4,0)</f>
        <v>46194</v>
      </c>
      <c r="O1478" s="56">
        <f>VLOOKUP(_stats[[#This Row],[tournament]],tournaments_n_rules[],5,0)</f>
        <v>46265</v>
      </c>
    </row>
    <row r="1479" spans="1:15" x14ac:dyDescent="0.25">
      <c r="A1479" s="6">
        <v>46214</v>
      </c>
      <c r="B1479" s="7">
        <v>2</v>
      </c>
      <c r="C1479" s="7" t="s">
        <v>78</v>
      </c>
      <c r="D1479" s="10" t="str">
        <f>IFERROR(VLOOKUP(_stats[[#This Row],[player_id]],_players[[player_id]:[player_name]],2,0),"")</f>
        <v>Анашкин</v>
      </c>
      <c r="E1479" s="7">
        <v>0</v>
      </c>
      <c r="F1479" s="8">
        <v>0</v>
      </c>
      <c r="G1479" s="10">
        <f>SUMIFS(_teams[wins_on_date],_teams[date],_stats[[#This Row],[date]],_teams[team_number],_stats[[#This Row],[team_number]])</f>
        <v>5</v>
      </c>
      <c r="H1479" s="10">
        <f>SUMIFS(_teams[draws_on_date],_teams[date],_stats[[#This Row],[date]],_teams[team_number],_stats[[#This Row],[team_number]])</f>
        <v>4</v>
      </c>
      <c r="I1479" s="10">
        <v>0</v>
      </c>
      <c r="J1479" s="10">
        <v>1</v>
      </c>
      <c r="K1479" s="10">
        <v>7</v>
      </c>
      <c r="L1479" s="55" t="str">
        <f>VLOOKUP(_stats[[#This Row],[tournament]],tournaments_n_rules[],2,0)</f>
        <v>УПК</v>
      </c>
      <c r="M1479" s="55" t="str">
        <f>VLOOKUP(_stats[[#This Row],[tournament]],tournaments_n_rules[],3,0)</f>
        <v>Лето 2026</v>
      </c>
      <c r="N1479" s="56">
        <f>VLOOKUP(_stats[[#This Row],[tournament]],tournaments_n_rules[],4,0)</f>
        <v>46194</v>
      </c>
      <c r="O1479" s="56">
        <f>VLOOKUP(_stats[[#This Row],[tournament]],tournaments_n_rules[],5,0)</f>
        <v>46265</v>
      </c>
    </row>
    <row r="1480" spans="1:15" x14ac:dyDescent="0.25">
      <c r="A1480" s="6">
        <v>46214</v>
      </c>
      <c r="B1480" s="7">
        <v>3</v>
      </c>
      <c r="C1480" s="7" t="s">
        <v>21</v>
      </c>
      <c r="D1480" s="10" t="str">
        <f>IFERROR(VLOOKUP(_stats[[#This Row],[player_id]],_players[[player_id]:[player_name]],2,0),"")</f>
        <v>Влад</v>
      </c>
      <c r="E1480" s="7">
        <v>0</v>
      </c>
      <c r="F1480" s="8">
        <v>2</v>
      </c>
      <c r="G1480" s="10">
        <f>SUMIFS(_teams[wins_on_date],_teams[date],_stats[[#This Row],[date]],_teams[team_number],_stats[[#This Row],[team_number]])</f>
        <v>2</v>
      </c>
      <c r="H1480" s="10">
        <f>SUMIFS(_teams[draws_on_date],_teams[date],_stats[[#This Row],[date]],_teams[team_number],_stats[[#This Row],[team_number]])</f>
        <v>1</v>
      </c>
      <c r="I1480" s="10">
        <v>0</v>
      </c>
      <c r="J1480" s="10">
        <v>0</v>
      </c>
      <c r="K1480" s="10">
        <v>7</v>
      </c>
      <c r="L1480" s="55" t="str">
        <f>VLOOKUP(_stats[[#This Row],[tournament]],tournaments_n_rules[],2,0)</f>
        <v>УПК</v>
      </c>
      <c r="M1480" s="55" t="str">
        <f>VLOOKUP(_stats[[#This Row],[tournament]],tournaments_n_rules[],3,0)</f>
        <v>Лето 2026</v>
      </c>
      <c r="N1480" s="56">
        <f>VLOOKUP(_stats[[#This Row],[tournament]],tournaments_n_rules[],4,0)</f>
        <v>46194</v>
      </c>
      <c r="O1480" s="56">
        <f>VLOOKUP(_stats[[#This Row],[tournament]],tournaments_n_rules[],5,0)</f>
        <v>46265</v>
      </c>
    </row>
    <row r="1481" spans="1:15" x14ac:dyDescent="0.25">
      <c r="A1481" s="6">
        <v>46214</v>
      </c>
      <c r="B1481" s="7">
        <v>2</v>
      </c>
      <c r="C1481" s="7" t="s">
        <v>27</v>
      </c>
      <c r="D1481" s="10" t="str">
        <f>IFERROR(VLOOKUP(_stats[[#This Row],[player_id]],_players[[player_id]:[player_name]],2,0),"")</f>
        <v>Миша</v>
      </c>
      <c r="E1481" s="7">
        <v>2</v>
      </c>
      <c r="F1481" s="8">
        <v>3</v>
      </c>
      <c r="G1481" s="10">
        <f>SUMIFS(_teams[wins_on_date],_teams[date],_stats[[#This Row],[date]],_teams[team_number],_stats[[#This Row],[team_number]])</f>
        <v>5</v>
      </c>
      <c r="H1481" s="10">
        <f>SUMIFS(_teams[draws_on_date],_teams[date],_stats[[#This Row],[date]],_teams[team_number],_stats[[#This Row],[team_number]])</f>
        <v>4</v>
      </c>
      <c r="I1481" s="10">
        <v>0</v>
      </c>
      <c r="J1481" s="10">
        <v>0</v>
      </c>
      <c r="K1481" s="10">
        <v>7</v>
      </c>
      <c r="L1481" s="55" t="str">
        <f>VLOOKUP(_stats[[#This Row],[tournament]],tournaments_n_rules[],2,0)</f>
        <v>УПК</v>
      </c>
      <c r="M1481" s="55" t="str">
        <f>VLOOKUP(_stats[[#This Row],[tournament]],tournaments_n_rules[],3,0)</f>
        <v>Лето 2026</v>
      </c>
      <c r="N1481" s="56">
        <f>VLOOKUP(_stats[[#This Row],[tournament]],tournaments_n_rules[],4,0)</f>
        <v>46194</v>
      </c>
      <c r="O1481" s="56">
        <f>VLOOKUP(_stats[[#This Row],[tournament]],tournaments_n_rules[],5,0)</f>
        <v>46265</v>
      </c>
    </row>
    <row r="1482" spans="1:15" x14ac:dyDescent="0.25">
      <c r="A1482" s="6">
        <v>46214</v>
      </c>
      <c r="B1482" s="7">
        <v>1</v>
      </c>
      <c r="C1482" s="7" t="s">
        <v>10</v>
      </c>
      <c r="D1482" s="10" t="str">
        <f>IFERROR(VLOOKUP(_stats[[#This Row],[player_id]],_players[[player_id]:[player_name]],2,0),"")</f>
        <v>Тёма</v>
      </c>
      <c r="E1482" s="7">
        <v>0</v>
      </c>
      <c r="F1482" s="8">
        <v>0</v>
      </c>
      <c r="G1482" s="10">
        <f>SUMIFS(_teams[wins_on_date],_teams[date],_stats[[#This Row],[date]],_teams[team_number],_stats[[#This Row],[team_number]])</f>
        <v>1</v>
      </c>
      <c r="H1482" s="10">
        <f>SUMIFS(_teams[draws_on_date],_teams[date],_stats[[#This Row],[date]],_teams[team_number],_stats[[#This Row],[team_number]])</f>
        <v>1</v>
      </c>
      <c r="I1482" s="10">
        <v>0</v>
      </c>
      <c r="J1482" s="10">
        <v>0</v>
      </c>
      <c r="K1482" s="10">
        <v>7</v>
      </c>
      <c r="L1482" s="55" t="str">
        <f>VLOOKUP(_stats[[#This Row],[tournament]],tournaments_n_rules[],2,0)</f>
        <v>УПК</v>
      </c>
      <c r="M1482" s="55" t="str">
        <f>VLOOKUP(_stats[[#This Row],[tournament]],tournaments_n_rules[],3,0)</f>
        <v>Лето 2026</v>
      </c>
      <c r="N1482" s="56">
        <f>VLOOKUP(_stats[[#This Row],[tournament]],tournaments_n_rules[],4,0)</f>
        <v>46194</v>
      </c>
      <c r="O1482" s="56">
        <f>VLOOKUP(_stats[[#This Row],[tournament]],tournaments_n_rules[],5,0)</f>
        <v>46265</v>
      </c>
    </row>
    <row r="1483" spans="1:15" x14ac:dyDescent="0.25">
      <c r="A1483" s="6">
        <v>46214</v>
      </c>
      <c r="B1483" s="7">
        <v>3</v>
      </c>
      <c r="C1483" s="7" t="s">
        <v>42</v>
      </c>
      <c r="D1483" s="10" t="str">
        <f>IFERROR(VLOOKUP(_stats[[#This Row],[player_id]],_players[[player_id]:[player_name]],2,0),"")</f>
        <v>Нурик</v>
      </c>
      <c r="E1483" s="7">
        <v>3</v>
      </c>
      <c r="F1483" s="8">
        <v>0</v>
      </c>
      <c r="G1483" s="10">
        <f>SUMIFS(_teams[wins_on_date],_teams[date],_stats[[#This Row],[date]],_teams[team_number],_stats[[#This Row],[team_number]])</f>
        <v>2</v>
      </c>
      <c r="H1483" s="10">
        <f>SUMIFS(_teams[draws_on_date],_teams[date],_stats[[#This Row],[date]],_teams[team_number],_stats[[#This Row],[team_number]])</f>
        <v>1</v>
      </c>
      <c r="I1483" s="10">
        <v>0</v>
      </c>
      <c r="J1483" s="10">
        <v>0</v>
      </c>
      <c r="K1483" s="10">
        <v>7</v>
      </c>
      <c r="L1483" s="55" t="str">
        <f>VLOOKUP(_stats[[#This Row],[tournament]],tournaments_n_rules[],2,0)</f>
        <v>УПК</v>
      </c>
      <c r="M1483" s="55" t="str">
        <f>VLOOKUP(_stats[[#This Row],[tournament]],tournaments_n_rules[],3,0)</f>
        <v>Лето 2026</v>
      </c>
      <c r="N1483" s="56">
        <f>VLOOKUP(_stats[[#This Row],[tournament]],tournaments_n_rules[],4,0)</f>
        <v>46194</v>
      </c>
      <c r="O1483" s="56">
        <f>VLOOKUP(_stats[[#This Row],[tournament]],tournaments_n_rules[],5,0)</f>
        <v>46265</v>
      </c>
    </row>
    <row r="1484" spans="1:15" x14ac:dyDescent="0.25">
      <c r="A1484" s="6">
        <v>46214</v>
      </c>
      <c r="B1484" s="7">
        <v>1</v>
      </c>
      <c r="C1484" s="7" t="s">
        <v>133</v>
      </c>
      <c r="D1484" s="10" t="str">
        <f>IFERROR(VLOOKUP(_stats[[#This Row],[player_id]],_players[[player_id]:[player_name]],2,0),"")</f>
        <v>Арги</v>
      </c>
      <c r="E1484" s="7">
        <v>4</v>
      </c>
      <c r="F1484" s="8">
        <v>1</v>
      </c>
      <c r="G1484" s="10">
        <f>SUMIFS(_teams[wins_on_date],_teams[date],_stats[[#This Row],[date]],_teams[team_number],_stats[[#This Row],[team_number]])</f>
        <v>1</v>
      </c>
      <c r="H1484" s="10">
        <f>SUMIFS(_teams[draws_on_date],_teams[date],_stats[[#This Row],[date]],_teams[team_number],_stats[[#This Row],[team_number]])</f>
        <v>1</v>
      </c>
      <c r="I1484" s="10">
        <v>0</v>
      </c>
      <c r="J1484" s="10">
        <v>0</v>
      </c>
      <c r="K1484" s="10">
        <v>7</v>
      </c>
      <c r="L1484" s="55" t="str">
        <f>VLOOKUP(_stats[[#This Row],[tournament]],tournaments_n_rules[],2,0)</f>
        <v>УПК</v>
      </c>
      <c r="M1484" s="55" t="str">
        <f>VLOOKUP(_stats[[#This Row],[tournament]],tournaments_n_rules[],3,0)</f>
        <v>Лето 2026</v>
      </c>
      <c r="N1484" s="56">
        <f>VLOOKUP(_stats[[#This Row],[tournament]],tournaments_n_rules[],4,0)</f>
        <v>46194</v>
      </c>
      <c r="O1484" s="56">
        <f>VLOOKUP(_stats[[#This Row],[tournament]],tournaments_n_rules[],5,0)</f>
        <v>46265</v>
      </c>
    </row>
    <row r="1485" spans="1:15" x14ac:dyDescent="0.25">
      <c r="A1485" s="6">
        <v>46214</v>
      </c>
      <c r="B1485" s="7">
        <v>1</v>
      </c>
      <c r="C1485" s="7" t="s">
        <v>12</v>
      </c>
      <c r="D1485" s="10" t="str">
        <f>IFERROR(VLOOKUP(_stats[[#This Row],[player_id]],_players[[player_id]:[player_name]],2,0),"")</f>
        <v>Толя Шлаев</v>
      </c>
      <c r="E1485" s="7">
        <v>0</v>
      </c>
      <c r="F1485" s="8">
        <v>0</v>
      </c>
      <c r="G1485" s="10">
        <f>SUMIFS(_teams[wins_on_date],_teams[date],_stats[[#This Row],[date]],_teams[team_number],_stats[[#This Row],[team_number]])</f>
        <v>1</v>
      </c>
      <c r="H1485" s="10">
        <f>SUMIFS(_teams[draws_on_date],_teams[date],_stats[[#This Row],[date]],_teams[team_number],_stats[[#This Row],[team_number]])</f>
        <v>1</v>
      </c>
      <c r="I1485" s="10">
        <v>0</v>
      </c>
      <c r="J1485" s="10">
        <v>0</v>
      </c>
      <c r="K1485" s="10">
        <v>7</v>
      </c>
      <c r="L1485" s="55" t="str">
        <f>VLOOKUP(_stats[[#This Row],[tournament]],tournaments_n_rules[],2,0)</f>
        <v>УПК</v>
      </c>
      <c r="M1485" s="55" t="str">
        <f>VLOOKUP(_stats[[#This Row],[tournament]],tournaments_n_rules[],3,0)</f>
        <v>Лето 2026</v>
      </c>
      <c r="N1485" s="56">
        <f>VLOOKUP(_stats[[#This Row],[tournament]],tournaments_n_rules[],4,0)</f>
        <v>46194</v>
      </c>
      <c r="O1485" s="56">
        <f>VLOOKUP(_stats[[#This Row],[tournament]],tournaments_n_rules[],5,0)</f>
        <v>46265</v>
      </c>
    </row>
    <row r="1486" spans="1:15" x14ac:dyDescent="0.25">
      <c r="A1486" s="6">
        <v>46214</v>
      </c>
      <c r="B1486" s="7">
        <v>2</v>
      </c>
      <c r="C1486" s="7" t="s">
        <v>22</v>
      </c>
      <c r="D1486" s="10" t="str">
        <f>IFERROR(VLOOKUP(_stats[[#This Row],[player_id]],_players[[player_id]:[player_name]],2,0),"")</f>
        <v>Женя (кипер)</v>
      </c>
      <c r="E1486" s="7">
        <v>0</v>
      </c>
      <c r="F1486" s="8">
        <v>0</v>
      </c>
      <c r="G1486" s="10">
        <f>SUMIFS(_teams[wins_on_date],_teams[date],_stats[[#This Row],[date]],_teams[team_number],_stats[[#This Row],[team_number]])</f>
        <v>5</v>
      </c>
      <c r="H1486" s="10">
        <f>SUMIFS(_teams[draws_on_date],_teams[date],_stats[[#This Row],[date]],_teams[team_number],_stats[[#This Row],[team_number]])</f>
        <v>4</v>
      </c>
      <c r="I1486" s="10">
        <v>6</v>
      </c>
      <c r="J1486" s="10">
        <v>0</v>
      </c>
      <c r="K1486" s="10">
        <v>7</v>
      </c>
      <c r="L1486" s="55" t="str">
        <f>VLOOKUP(_stats[[#This Row],[tournament]],tournaments_n_rules[],2,0)</f>
        <v>УПК</v>
      </c>
      <c r="M1486" s="55" t="str">
        <f>VLOOKUP(_stats[[#This Row],[tournament]],tournaments_n_rules[],3,0)</f>
        <v>Лето 2026</v>
      </c>
      <c r="N1486" s="56">
        <f>VLOOKUP(_stats[[#This Row],[tournament]],tournaments_n_rules[],4,0)</f>
        <v>46194</v>
      </c>
      <c r="O1486" s="56">
        <f>VLOOKUP(_stats[[#This Row],[tournament]],tournaments_n_rules[],5,0)</f>
        <v>46265</v>
      </c>
    </row>
    <row r="1487" spans="1:15" x14ac:dyDescent="0.25">
      <c r="A1487" s="6">
        <v>46214</v>
      </c>
      <c r="B1487" s="7">
        <v>2</v>
      </c>
      <c r="C1487" s="7" t="s">
        <v>184</v>
      </c>
      <c r="D1487" s="10" t="str">
        <f>IFERROR(VLOOKUP(_stats[[#This Row],[player_id]],_players[[player_id]:[player_name]],2,0),"")</f>
        <v>Богдан</v>
      </c>
      <c r="E1487" s="7">
        <v>0</v>
      </c>
      <c r="F1487" s="8">
        <v>0</v>
      </c>
      <c r="G1487" s="10">
        <f>SUMIFS(_teams[wins_on_date],_teams[date],_stats[[#This Row],[date]],_teams[team_number],_stats[[#This Row],[team_number]])</f>
        <v>5</v>
      </c>
      <c r="H1487" s="10">
        <f>SUMIFS(_teams[draws_on_date],_teams[date],_stats[[#This Row],[date]],_teams[team_number],_stats[[#This Row],[team_number]])</f>
        <v>4</v>
      </c>
      <c r="I1487" s="10">
        <v>0</v>
      </c>
      <c r="J1487" s="10">
        <v>0</v>
      </c>
      <c r="K1487" s="10">
        <v>7</v>
      </c>
      <c r="L1487" s="55" t="str">
        <f>VLOOKUP(_stats[[#This Row],[tournament]],tournaments_n_rules[],2,0)</f>
        <v>УПК</v>
      </c>
      <c r="M1487" s="55" t="str">
        <f>VLOOKUP(_stats[[#This Row],[tournament]],tournaments_n_rules[],3,0)</f>
        <v>Лето 2026</v>
      </c>
      <c r="N1487" s="56">
        <f>VLOOKUP(_stats[[#This Row],[tournament]],tournaments_n_rules[],4,0)</f>
        <v>46194</v>
      </c>
      <c r="O1487" s="56">
        <f>VLOOKUP(_stats[[#This Row],[tournament]],tournaments_n_rules[],5,0)</f>
        <v>46265</v>
      </c>
    </row>
    <row r="1488" spans="1:15" x14ac:dyDescent="0.25">
      <c r="A1488" s="6">
        <v>46214</v>
      </c>
      <c r="B1488" s="7">
        <v>2</v>
      </c>
      <c r="C1488" s="7" t="s">
        <v>29</v>
      </c>
      <c r="D1488" s="10" t="str">
        <f>IFERROR(VLOOKUP(_stats[[#This Row],[player_id]],_players[[player_id]:[player_name]],2,0),"")</f>
        <v>Александр Травкин</v>
      </c>
      <c r="E1488" s="7">
        <v>3</v>
      </c>
      <c r="F1488" s="8">
        <v>4</v>
      </c>
      <c r="G1488" s="10">
        <f>SUMIFS(_teams[wins_on_date],_teams[date],_stats[[#This Row],[date]],_teams[team_number],_stats[[#This Row],[team_number]])</f>
        <v>5</v>
      </c>
      <c r="H1488" s="10">
        <f>SUMIFS(_teams[draws_on_date],_teams[date],_stats[[#This Row],[date]],_teams[team_number],_stats[[#This Row],[team_number]])</f>
        <v>4</v>
      </c>
      <c r="I1488" s="10">
        <v>0</v>
      </c>
      <c r="J1488" s="10">
        <v>0</v>
      </c>
      <c r="K1488" s="10">
        <v>7</v>
      </c>
      <c r="L1488" s="55" t="str">
        <f>VLOOKUP(_stats[[#This Row],[tournament]],tournaments_n_rules[],2,0)</f>
        <v>УПК</v>
      </c>
      <c r="M1488" s="55" t="str">
        <f>VLOOKUP(_stats[[#This Row],[tournament]],tournaments_n_rules[],3,0)</f>
        <v>Лето 2026</v>
      </c>
      <c r="N1488" s="56">
        <f>VLOOKUP(_stats[[#This Row],[tournament]],tournaments_n_rules[],4,0)</f>
        <v>46194</v>
      </c>
      <c r="O1488" s="56">
        <f>VLOOKUP(_stats[[#This Row],[tournament]],tournaments_n_rules[],5,0)</f>
        <v>46265</v>
      </c>
    </row>
    <row r="1489" spans="1:15" x14ac:dyDescent="0.25">
      <c r="A1489" s="6">
        <v>46214</v>
      </c>
      <c r="B1489" s="7">
        <v>3</v>
      </c>
      <c r="C1489" s="7" t="s">
        <v>19</v>
      </c>
      <c r="D1489" s="10" t="str">
        <f>IFERROR(VLOOKUP(_stats[[#This Row],[player_id]],_players[[player_id]:[player_name]],2,0),"")</f>
        <v>Сергей Крюков</v>
      </c>
      <c r="E1489" s="7">
        <v>0</v>
      </c>
      <c r="F1489" s="8">
        <v>0</v>
      </c>
      <c r="G1489" s="10">
        <f>SUMIFS(_teams[wins_on_date],_teams[date],_stats[[#This Row],[date]],_teams[team_number],_stats[[#This Row],[team_number]])</f>
        <v>2</v>
      </c>
      <c r="H1489" s="10">
        <f>SUMIFS(_teams[draws_on_date],_teams[date],_stats[[#This Row],[date]],_teams[team_number],_stats[[#This Row],[team_number]])</f>
        <v>1</v>
      </c>
      <c r="I1489" s="10">
        <v>0</v>
      </c>
      <c r="J1489" s="10">
        <v>0</v>
      </c>
      <c r="K1489" s="10">
        <v>7</v>
      </c>
      <c r="L1489" s="55" t="str">
        <f>VLOOKUP(_stats[[#This Row],[tournament]],tournaments_n_rules[],2,0)</f>
        <v>УПК</v>
      </c>
      <c r="M1489" s="55" t="str">
        <f>VLOOKUP(_stats[[#This Row],[tournament]],tournaments_n_rules[],3,0)</f>
        <v>Лето 2026</v>
      </c>
      <c r="N1489" s="56">
        <f>VLOOKUP(_stats[[#This Row],[tournament]],tournaments_n_rules[],4,0)</f>
        <v>46194</v>
      </c>
      <c r="O1489" s="56">
        <f>VLOOKUP(_stats[[#This Row],[tournament]],tournaments_n_rules[],5,0)</f>
        <v>46265</v>
      </c>
    </row>
    <row r="1490" spans="1:15" x14ac:dyDescent="0.25">
      <c r="A1490" s="6">
        <v>46214</v>
      </c>
      <c r="B1490" s="7">
        <v>3</v>
      </c>
      <c r="C1490" s="7" t="s">
        <v>46</v>
      </c>
      <c r="D1490" s="10" t="str">
        <f>IFERROR(VLOOKUP(_stats[[#This Row],[player_id]],_players[[player_id]:[player_name]],2,0),"")</f>
        <v>Игорь (Ник +1)</v>
      </c>
      <c r="E1490" s="7">
        <v>1</v>
      </c>
      <c r="F1490" s="8">
        <v>0</v>
      </c>
      <c r="G1490" s="10">
        <f>SUMIFS(_teams[wins_on_date],_teams[date],_stats[[#This Row],[date]],_teams[team_number],_stats[[#This Row],[team_number]])</f>
        <v>2</v>
      </c>
      <c r="H1490" s="10">
        <f>SUMIFS(_teams[draws_on_date],_teams[date],_stats[[#This Row],[date]],_teams[team_number],_stats[[#This Row],[team_number]])</f>
        <v>1</v>
      </c>
      <c r="I1490" s="10">
        <v>0</v>
      </c>
      <c r="J1490" s="10">
        <v>0</v>
      </c>
      <c r="K1490" s="10">
        <v>7</v>
      </c>
      <c r="L1490" s="55" t="str">
        <f>VLOOKUP(_stats[[#This Row],[tournament]],tournaments_n_rules[],2,0)</f>
        <v>УПК</v>
      </c>
      <c r="M1490" s="55" t="str">
        <f>VLOOKUP(_stats[[#This Row],[tournament]],tournaments_n_rules[],3,0)</f>
        <v>Лето 2026</v>
      </c>
      <c r="N1490" s="56">
        <f>VLOOKUP(_stats[[#This Row],[tournament]],tournaments_n_rules[],4,0)</f>
        <v>46194</v>
      </c>
      <c r="O1490" s="56">
        <f>VLOOKUP(_stats[[#This Row],[tournament]],tournaments_n_rules[],5,0)</f>
        <v>46265</v>
      </c>
    </row>
    <row r="1491" spans="1:15" x14ac:dyDescent="0.25">
      <c r="A1491" s="6">
        <v>46214</v>
      </c>
      <c r="B1491" s="7">
        <v>1</v>
      </c>
      <c r="C1491" s="7" t="s">
        <v>145</v>
      </c>
      <c r="D1491" s="10" t="str">
        <f>IFERROR(VLOOKUP(_stats[[#This Row],[player_id]],_players[[player_id]:[player_name]],2,0),"")</f>
        <v>Антон Копач</v>
      </c>
      <c r="E1491" s="7">
        <v>0</v>
      </c>
      <c r="F1491" s="8">
        <v>1</v>
      </c>
      <c r="G1491" s="10">
        <f>SUMIFS(_teams[wins_on_date],_teams[date],_stats[[#This Row],[date]],_teams[team_number],_stats[[#This Row],[team_number]])</f>
        <v>1</v>
      </c>
      <c r="H1491" s="10">
        <f>SUMIFS(_teams[draws_on_date],_teams[date],_stats[[#This Row],[date]],_teams[team_number],_stats[[#This Row],[team_number]])</f>
        <v>1</v>
      </c>
      <c r="I1491" s="10">
        <v>0</v>
      </c>
      <c r="J1491" s="10">
        <v>0</v>
      </c>
      <c r="K1491" s="10">
        <v>7</v>
      </c>
      <c r="L1491" s="55" t="str">
        <f>VLOOKUP(_stats[[#This Row],[tournament]],tournaments_n_rules[],2,0)</f>
        <v>УПК</v>
      </c>
      <c r="M1491" s="55" t="str">
        <f>VLOOKUP(_stats[[#This Row],[tournament]],tournaments_n_rules[],3,0)</f>
        <v>Лето 2026</v>
      </c>
      <c r="N1491" s="56">
        <f>VLOOKUP(_stats[[#This Row],[tournament]],tournaments_n_rules[],4,0)</f>
        <v>46194</v>
      </c>
      <c r="O1491" s="56">
        <f>VLOOKUP(_stats[[#This Row],[tournament]],tournaments_n_rules[],5,0)</f>
        <v>46265</v>
      </c>
    </row>
    <row r="1492" spans="1:15" x14ac:dyDescent="0.25">
      <c r="A1492" s="6">
        <v>46214</v>
      </c>
      <c r="B1492" s="7">
        <v>3</v>
      </c>
      <c r="C1492" s="7" t="s">
        <v>18</v>
      </c>
      <c r="D1492" s="10" t="str">
        <f>IFERROR(VLOOKUP(_stats[[#This Row],[player_id]],_players[[player_id]:[player_name]],2,0),"")</f>
        <v>Расул</v>
      </c>
      <c r="E1492" s="7">
        <v>1</v>
      </c>
      <c r="F1492" s="8">
        <v>3</v>
      </c>
      <c r="G1492" s="10">
        <f>SUMIFS(_teams[wins_on_date],_teams[date],_stats[[#This Row],[date]],_teams[team_number],_stats[[#This Row],[team_number]])</f>
        <v>2</v>
      </c>
      <c r="H1492" s="10">
        <f>SUMIFS(_teams[draws_on_date],_teams[date],_stats[[#This Row],[date]],_teams[team_number],_stats[[#This Row],[team_number]])</f>
        <v>1</v>
      </c>
      <c r="I1492" s="10">
        <v>0</v>
      </c>
      <c r="J1492" s="10">
        <v>0</v>
      </c>
      <c r="K1492" s="10">
        <v>7</v>
      </c>
      <c r="L1492" s="55" t="str">
        <f>VLOOKUP(_stats[[#This Row],[tournament]],tournaments_n_rules[],2,0)</f>
        <v>УПК</v>
      </c>
      <c r="M1492" s="55" t="str">
        <f>VLOOKUP(_stats[[#This Row],[tournament]],tournaments_n_rules[],3,0)</f>
        <v>Лето 2026</v>
      </c>
      <c r="N1492" s="56">
        <f>VLOOKUP(_stats[[#This Row],[tournament]],tournaments_n_rules[],4,0)</f>
        <v>46194</v>
      </c>
      <c r="O1492" s="56">
        <f>VLOOKUP(_stats[[#This Row],[tournament]],tournaments_n_rules[],5,0)</f>
        <v>46265</v>
      </c>
    </row>
    <row r="1493" spans="1:15" x14ac:dyDescent="0.25">
      <c r="A1493" s="6">
        <v>46214</v>
      </c>
      <c r="B1493" s="7">
        <v>1</v>
      </c>
      <c r="C1493" s="7" t="s">
        <v>215</v>
      </c>
      <c r="D1493" s="10" t="str">
        <f>IFERROR(VLOOKUP(_stats[[#This Row],[player_id]],_players[[player_id]:[player_name]],2,0),"")</f>
        <v>Глеб (УПК)</v>
      </c>
      <c r="E1493" s="7">
        <v>0</v>
      </c>
      <c r="F1493" s="8">
        <v>0</v>
      </c>
      <c r="G1493" s="10">
        <f>SUMIFS(_teams[wins_on_date],_teams[date],_stats[[#This Row],[date]],_teams[team_number],_stats[[#This Row],[team_number]])</f>
        <v>1</v>
      </c>
      <c r="H1493" s="10">
        <f>SUMIFS(_teams[draws_on_date],_teams[date],_stats[[#This Row],[date]],_teams[team_number],_stats[[#This Row],[team_number]])</f>
        <v>1</v>
      </c>
      <c r="I1493" s="10">
        <v>0</v>
      </c>
      <c r="J1493" s="10">
        <v>1</v>
      </c>
      <c r="K1493" s="10">
        <v>7</v>
      </c>
      <c r="L1493" s="55" t="str">
        <f>VLOOKUP(_stats[[#This Row],[tournament]],tournaments_n_rules[],2,0)</f>
        <v>УПК</v>
      </c>
      <c r="M1493" s="55" t="str">
        <f>VLOOKUP(_stats[[#This Row],[tournament]],tournaments_n_rules[],3,0)</f>
        <v>Лето 2026</v>
      </c>
      <c r="N1493" s="56">
        <f>VLOOKUP(_stats[[#This Row],[tournament]],tournaments_n_rules[],4,0)</f>
        <v>46194</v>
      </c>
      <c r="O1493" s="56">
        <f>VLOOKUP(_stats[[#This Row],[tournament]],tournaments_n_rules[],5,0)</f>
        <v>46265</v>
      </c>
    </row>
    <row r="1494" spans="1:15" x14ac:dyDescent="0.25">
      <c r="A1494" s="6">
        <v>46214</v>
      </c>
      <c r="B1494" s="7">
        <v>1</v>
      </c>
      <c r="C1494" s="7" t="s">
        <v>209</v>
      </c>
      <c r="D1494" s="10" t="str">
        <f>IFERROR(VLOOKUP(_stats[[#This Row],[player_id]],_players[[player_id]:[player_name]],2,0),"")</f>
        <v>Эд (УПК)</v>
      </c>
      <c r="E1494" s="7">
        <v>1</v>
      </c>
      <c r="F1494" s="8">
        <v>0</v>
      </c>
      <c r="G1494" s="10">
        <f>SUMIFS(_teams[wins_on_date],_teams[date],_stats[[#This Row],[date]],_teams[team_number],_stats[[#This Row],[team_number]])</f>
        <v>1</v>
      </c>
      <c r="H1494" s="10">
        <f>SUMIFS(_teams[draws_on_date],_teams[date],_stats[[#This Row],[date]],_teams[team_number],_stats[[#This Row],[team_number]])</f>
        <v>1</v>
      </c>
      <c r="I1494" s="10">
        <v>0</v>
      </c>
      <c r="J1494" s="10">
        <v>0</v>
      </c>
      <c r="K1494" s="10">
        <v>7</v>
      </c>
      <c r="L1494" s="55" t="str">
        <f>VLOOKUP(_stats[[#This Row],[tournament]],tournaments_n_rules[],2,0)</f>
        <v>УПК</v>
      </c>
      <c r="M1494" s="55" t="str">
        <f>VLOOKUP(_stats[[#This Row],[tournament]],tournaments_n_rules[],3,0)</f>
        <v>Лето 2026</v>
      </c>
      <c r="N1494" s="56">
        <f>VLOOKUP(_stats[[#This Row],[tournament]],tournaments_n_rules[],4,0)</f>
        <v>46194</v>
      </c>
      <c r="O1494" s="56">
        <f>VLOOKUP(_stats[[#This Row],[tournament]],tournaments_n_rules[],5,0)</f>
        <v>46265</v>
      </c>
    </row>
    <row r="1495" spans="1:15" x14ac:dyDescent="0.25">
      <c r="A1495" s="6">
        <v>46214</v>
      </c>
      <c r="B1495" s="7">
        <v>2</v>
      </c>
      <c r="C1495" s="7" t="s">
        <v>217</v>
      </c>
      <c r="D1495" s="10" t="str">
        <f>IFERROR(VLOOKUP(_stats[[#This Row],[player_id]],_players[[player_id]:[player_name]],2,0),"")</f>
        <v>Саша (Коля +1)</v>
      </c>
      <c r="E1495" s="7">
        <v>0</v>
      </c>
      <c r="F1495" s="8">
        <v>0</v>
      </c>
      <c r="G1495" s="10">
        <f>SUMIFS(_teams[wins_on_date],_teams[date],_stats[[#This Row],[date]],_teams[team_number],_stats[[#This Row],[team_number]])</f>
        <v>5</v>
      </c>
      <c r="H1495" s="10">
        <f>SUMIFS(_teams[draws_on_date],_teams[date],_stats[[#This Row],[date]],_teams[team_number],_stats[[#This Row],[team_number]])</f>
        <v>4</v>
      </c>
      <c r="I1495" s="10">
        <v>0</v>
      </c>
      <c r="J1495" s="10">
        <v>0</v>
      </c>
      <c r="K1495" s="10">
        <v>7</v>
      </c>
      <c r="L1495" s="55" t="str">
        <f>VLOOKUP(_stats[[#This Row],[tournament]],tournaments_n_rules[],2,0)</f>
        <v>УПК</v>
      </c>
      <c r="M1495" s="55" t="str">
        <f>VLOOKUP(_stats[[#This Row],[tournament]],tournaments_n_rules[],3,0)</f>
        <v>Лето 2026</v>
      </c>
      <c r="N1495" s="56">
        <f>VLOOKUP(_stats[[#This Row],[tournament]],tournaments_n_rules[],4,0)</f>
        <v>46194</v>
      </c>
      <c r="O1495" s="56">
        <f>VLOOKUP(_stats[[#This Row],[tournament]],tournaments_n_rules[],5,0)</f>
        <v>46265</v>
      </c>
    </row>
    <row r="1496" spans="1:15" x14ac:dyDescent="0.25">
      <c r="A1496" s="6">
        <v>46215</v>
      </c>
      <c r="B1496" s="7">
        <v>4</v>
      </c>
      <c r="C1496" s="7" t="s">
        <v>63</v>
      </c>
      <c r="D1496" s="10" t="str">
        <f>IFERROR(VLOOKUP(_stats[[#This Row],[player_id]],_players[[player_id]:[player_name]],2,0),"")</f>
        <v>Дима Сахаров</v>
      </c>
      <c r="E1496" s="7">
        <v>1</v>
      </c>
      <c r="F1496" s="8">
        <v>0</v>
      </c>
      <c r="G1496" s="10">
        <f>SUMIFS(_teams[wins_on_date],_teams[date],_stats[[#This Row],[date]],_teams[team_number],_stats[[#This Row],[team_number]])</f>
        <v>2</v>
      </c>
      <c r="H1496" s="10">
        <f>SUMIFS(_teams[draws_on_date],_teams[date],_stats[[#This Row],[date]],_teams[team_number],_stats[[#This Row],[team_number]])</f>
        <v>0</v>
      </c>
      <c r="I1496" s="10">
        <v>0</v>
      </c>
      <c r="J1496" s="10">
        <v>0</v>
      </c>
      <c r="K1496" s="10">
        <v>7</v>
      </c>
      <c r="L1496" s="55" t="str">
        <f>VLOOKUP(_stats[[#This Row],[tournament]],tournaments_n_rules[],2,0)</f>
        <v>УПК</v>
      </c>
      <c r="M1496" s="55" t="str">
        <f>VLOOKUP(_stats[[#This Row],[tournament]],tournaments_n_rules[],3,0)</f>
        <v>Лето 2026</v>
      </c>
      <c r="N1496" s="56">
        <f>VLOOKUP(_stats[[#This Row],[tournament]],tournaments_n_rules[],4,0)</f>
        <v>46194</v>
      </c>
      <c r="O1496" s="56">
        <f>VLOOKUP(_stats[[#This Row],[tournament]],tournaments_n_rules[],5,0)</f>
        <v>46265</v>
      </c>
    </row>
    <row r="1497" spans="1:15" x14ac:dyDescent="0.25">
      <c r="A1497" s="6">
        <v>46215</v>
      </c>
      <c r="B1497" s="7">
        <v>4</v>
      </c>
      <c r="C1497" s="7" t="s">
        <v>44</v>
      </c>
      <c r="D1497" s="10" t="str">
        <f>IFERROR(VLOOKUP(_stats[[#This Row],[player_id]],_players[[player_id]:[player_name]],2,0),"")</f>
        <v>Кирилл Попов</v>
      </c>
      <c r="E1497" s="7">
        <v>0</v>
      </c>
      <c r="F1497" s="8">
        <v>0</v>
      </c>
      <c r="G1497" s="10">
        <f>SUMIFS(_teams[wins_on_date],_teams[date],_stats[[#This Row],[date]],_teams[team_number],_stats[[#This Row],[team_number]])</f>
        <v>2</v>
      </c>
      <c r="H1497" s="10">
        <f>SUMIFS(_teams[draws_on_date],_teams[date],_stats[[#This Row],[date]],_teams[team_number],_stats[[#This Row],[team_number]])</f>
        <v>0</v>
      </c>
      <c r="I1497" s="10">
        <v>0</v>
      </c>
      <c r="J1497" s="10">
        <v>0</v>
      </c>
      <c r="K1497" s="10">
        <v>7</v>
      </c>
      <c r="L1497" s="55" t="str">
        <f>VLOOKUP(_stats[[#This Row],[tournament]],tournaments_n_rules[],2,0)</f>
        <v>УПК</v>
      </c>
      <c r="M1497" s="55" t="str">
        <f>VLOOKUP(_stats[[#This Row],[tournament]],tournaments_n_rules[],3,0)</f>
        <v>Лето 2026</v>
      </c>
      <c r="N1497" s="56">
        <f>VLOOKUP(_stats[[#This Row],[tournament]],tournaments_n_rules[],4,0)</f>
        <v>46194</v>
      </c>
      <c r="O1497" s="56">
        <f>VLOOKUP(_stats[[#This Row],[tournament]],tournaments_n_rules[],5,0)</f>
        <v>46265</v>
      </c>
    </row>
    <row r="1498" spans="1:15" x14ac:dyDescent="0.25">
      <c r="A1498" s="6">
        <v>46215</v>
      </c>
      <c r="B1498" s="7">
        <v>2</v>
      </c>
      <c r="C1498" s="7" t="s">
        <v>47</v>
      </c>
      <c r="D1498" s="10" t="str">
        <f>IFERROR(VLOOKUP(_stats[[#This Row],[player_id]],_players[[player_id]:[player_name]],2,0),"")</f>
        <v>Андрей (АК+1)</v>
      </c>
      <c r="E1498" s="7">
        <v>0</v>
      </c>
      <c r="F1498" s="8">
        <v>1</v>
      </c>
      <c r="G1498" s="10">
        <f>SUMIFS(_teams[wins_on_date],_teams[date],_stats[[#This Row],[date]],_teams[team_number],_stats[[#This Row],[team_number]])</f>
        <v>4</v>
      </c>
      <c r="H1498" s="10">
        <f>SUMIFS(_teams[draws_on_date],_teams[date],_stats[[#This Row],[date]],_teams[team_number],_stats[[#This Row],[team_number]])</f>
        <v>1</v>
      </c>
      <c r="I1498" s="10">
        <v>0</v>
      </c>
      <c r="J1498" s="10">
        <v>0</v>
      </c>
      <c r="K1498" s="10">
        <v>7</v>
      </c>
      <c r="L1498" s="55" t="str">
        <f>VLOOKUP(_stats[[#This Row],[tournament]],tournaments_n_rules[],2,0)</f>
        <v>УПК</v>
      </c>
      <c r="M1498" s="55" t="str">
        <f>VLOOKUP(_stats[[#This Row],[tournament]],tournaments_n_rules[],3,0)</f>
        <v>Лето 2026</v>
      </c>
      <c r="N1498" s="56">
        <f>VLOOKUP(_stats[[#This Row],[tournament]],tournaments_n_rules[],4,0)</f>
        <v>46194</v>
      </c>
      <c r="O1498" s="56">
        <f>VLOOKUP(_stats[[#This Row],[tournament]],tournaments_n_rules[],5,0)</f>
        <v>46265</v>
      </c>
    </row>
    <row r="1499" spans="1:15" x14ac:dyDescent="0.25">
      <c r="A1499" s="6">
        <v>46215</v>
      </c>
      <c r="B1499" s="7">
        <v>3</v>
      </c>
      <c r="C1499" s="7" t="s">
        <v>17</v>
      </c>
      <c r="D1499" s="10" t="str">
        <f>IFERROR(VLOOKUP(_stats[[#This Row],[player_id]],_players[[player_id]:[player_name]],2,0),"")</f>
        <v>Костя</v>
      </c>
      <c r="E1499" s="7">
        <v>1</v>
      </c>
      <c r="F1499" s="8">
        <v>1</v>
      </c>
      <c r="G1499" s="10">
        <f>SUMIFS(_teams[wins_on_date],_teams[date],_stats[[#This Row],[date]],_teams[team_number],_stats[[#This Row],[team_number]])</f>
        <v>4</v>
      </c>
      <c r="H1499" s="10">
        <f>SUMIFS(_teams[draws_on_date],_teams[date],_stats[[#This Row],[date]],_teams[team_number],_stats[[#This Row],[team_number]])</f>
        <v>1</v>
      </c>
      <c r="I1499" s="10">
        <v>0</v>
      </c>
      <c r="J1499" s="10">
        <v>0</v>
      </c>
      <c r="K1499" s="10">
        <v>7</v>
      </c>
      <c r="L1499" s="55" t="str">
        <f>VLOOKUP(_stats[[#This Row],[tournament]],tournaments_n_rules[],2,0)</f>
        <v>УПК</v>
      </c>
      <c r="M1499" s="55" t="str">
        <f>VLOOKUP(_stats[[#This Row],[tournament]],tournaments_n_rules[],3,0)</f>
        <v>Лето 2026</v>
      </c>
      <c r="N1499" s="56">
        <f>VLOOKUP(_stats[[#This Row],[tournament]],tournaments_n_rules[],4,0)</f>
        <v>46194</v>
      </c>
      <c r="O1499" s="56">
        <f>VLOOKUP(_stats[[#This Row],[tournament]],tournaments_n_rules[],5,0)</f>
        <v>46265</v>
      </c>
    </row>
    <row r="1500" spans="1:15" x14ac:dyDescent="0.25">
      <c r="A1500" s="6">
        <v>46215</v>
      </c>
      <c r="B1500" s="7">
        <v>3</v>
      </c>
      <c r="C1500" s="7" t="s">
        <v>78</v>
      </c>
      <c r="D1500" s="10" t="str">
        <f>IFERROR(VLOOKUP(_stats[[#This Row],[player_id]],_players[[player_id]:[player_name]],2,0),"")</f>
        <v>Анашкин</v>
      </c>
      <c r="E1500" s="7">
        <v>0</v>
      </c>
      <c r="F1500" s="8">
        <v>0</v>
      </c>
      <c r="G1500" s="10">
        <f>SUMIFS(_teams[wins_on_date],_teams[date],_stats[[#This Row],[date]],_teams[team_number],_stats[[#This Row],[team_number]])</f>
        <v>4</v>
      </c>
      <c r="H1500" s="10">
        <f>SUMIFS(_teams[draws_on_date],_teams[date],_stats[[#This Row],[date]],_teams[team_number],_stats[[#This Row],[team_number]])</f>
        <v>1</v>
      </c>
      <c r="I1500" s="10">
        <v>0</v>
      </c>
      <c r="J1500" s="10">
        <v>0</v>
      </c>
      <c r="K1500" s="10">
        <v>7</v>
      </c>
      <c r="L1500" s="55" t="str">
        <f>VLOOKUP(_stats[[#This Row],[tournament]],tournaments_n_rules[],2,0)</f>
        <v>УПК</v>
      </c>
      <c r="M1500" s="55" t="str">
        <f>VLOOKUP(_stats[[#This Row],[tournament]],tournaments_n_rules[],3,0)</f>
        <v>Лето 2026</v>
      </c>
      <c r="N1500" s="56">
        <f>VLOOKUP(_stats[[#This Row],[tournament]],tournaments_n_rules[],4,0)</f>
        <v>46194</v>
      </c>
      <c r="O1500" s="56">
        <f>VLOOKUP(_stats[[#This Row],[tournament]],tournaments_n_rules[],5,0)</f>
        <v>46265</v>
      </c>
    </row>
    <row r="1501" spans="1:15" x14ac:dyDescent="0.25">
      <c r="A1501" s="6">
        <v>46215</v>
      </c>
      <c r="B1501" s="7">
        <v>4</v>
      </c>
      <c r="C1501" s="7" t="s">
        <v>42</v>
      </c>
      <c r="D1501" s="10" t="str">
        <f>IFERROR(VLOOKUP(_stats[[#This Row],[player_id]],_players[[player_id]:[player_name]],2,0),"")</f>
        <v>Нурик</v>
      </c>
      <c r="E1501" s="7">
        <v>0</v>
      </c>
      <c r="F1501" s="8">
        <v>0</v>
      </c>
      <c r="G1501" s="10">
        <f>SUMIFS(_teams[wins_on_date],_teams[date],_stats[[#This Row],[date]],_teams[team_number],_stats[[#This Row],[team_number]])</f>
        <v>2</v>
      </c>
      <c r="H1501" s="10">
        <f>SUMIFS(_teams[draws_on_date],_teams[date],_stats[[#This Row],[date]],_teams[team_number],_stats[[#This Row],[team_number]])</f>
        <v>0</v>
      </c>
      <c r="I1501" s="10">
        <v>0</v>
      </c>
      <c r="J1501" s="10">
        <v>0</v>
      </c>
      <c r="K1501" s="10">
        <v>7</v>
      </c>
      <c r="L1501" s="55" t="str">
        <f>VLOOKUP(_stats[[#This Row],[tournament]],tournaments_n_rules[],2,0)</f>
        <v>УПК</v>
      </c>
      <c r="M1501" s="55" t="str">
        <f>VLOOKUP(_stats[[#This Row],[tournament]],tournaments_n_rules[],3,0)</f>
        <v>Лето 2026</v>
      </c>
      <c r="N1501" s="56">
        <f>VLOOKUP(_stats[[#This Row],[tournament]],tournaments_n_rules[],4,0)</f>
        <v>46194</v>
      </c>
      <c r="O1501" s="56">
        <f>VLOOKUP(_stats[[#This Row],[tournament]],tournaments_n_rules[],5,0)</f>
        <v>46265</v>
      </c>
    </row>
    <row r="1502" spans="1:15" x14ac:dyDescent="0.25">
      <c r="A1502" s="6">
        <v>46215</v>
      </c>
      <c r="B1502" s="7">
        <v>3</v>
      </c>
      <c r="C1502" s="7" t="s">
        <v>27</v>
      </c>
      <c r="D1502" s="10" t="str">
        <f>IFERROR(VLOOKUP(_stats[[#This Row],[player_id]],_players[[player_id]:[player_name]],2,0),"")</f>
        <v>Миша</v>
      </c>
      <c r="E1502" s="7">
        <v>0</v>
      </c>
      <c r="F1502" s="8">
        <v>0</v>
      </c>
      <c r="G1502" s="10">
        <f>SUMIFS(_teams[wins_on_date],_teams[date],_stats[[#This Row],[date]],_teams[team_number],_stats[[#This Row],[team_number]])</f>
        <v>4</v>
      </c>
      <c r="H1502" s="10">
        <f>SUMIFS(_teams[draws_on_date],_teams[date],_stats[[#This Row],[date]],_teams[team_number],_stats[[#This Row],[team_number]])</f>
        <v>1</v>
      </c>
      <c r="I1502" s="10">
        <v>4</v>
      </c>
      <c r="J1502" s="10">
        <v>0</v>
      </c>
      <c r="K1502" s="10">
        <v>7</v>
      </c>
      <c r="L1502" s="55" t="str">
        <f>VLOOKUP(_stats[[#This Row],[tournament]],tournaments_n_rules[],2,0)</f>
        <v>УПК</v>
      </c>
      <c r="M1502" s="55" t="str">
        <f>VLOOKUP(_stats[[#This Row],[tournament]],tournaments_n_rules[],3,0)</f>
        <v>Лето 2026</v>
      </c>
      <c r="N1502" s="56">
        <f>VLOOKUP(_stats[[#This Row],[tournament]],tournaments_n_rules[],4,0)</f>
        <v>46194</v>
      </c>
      <c r="O1502" s="56">
        <f>VLOOKUP(_stats[[#This Row],[tournament]],tournaments_n_rules[],5,0)</f>
        <v>46265</v>
      </c>
    </row>
    <row r="1503" spans="1:15" x14ac:dyDescent="0.25">
      <c r="A1503" s="6">
        <v>46215</v>
      </c>
      <c r="B1503" s="7">
        <v>3</v>
      </c>
      <c r="C1503" s="7" t="s">
        <v>68</v>
      </c>
      <c r="D1503" s="10" t="str">
        <f>IFERROR(VLOOKUP(_stats[[#This Row],[player_id]],_players[[player_id]:[player_name]],2,0),"")</f>
        <v>Макс (Миша +1)</v>
      </c>
      <c r="E1503" s="7">
        <v>1</v>
      </c>
      <c r="F1503" s="8">
        <v>1</v>
      </c>
      <c r="G1503" s="10">
        <f>SUMIFS(_teams[wins_on_date],_teams[date],_stats[[#This Row],[date]],_teams[team_number],_stats[[#This Row],[team_number]])</f>
        <v>4</v>
      </c>
      <c r="H1503" s="10">
        <f>SUMIFS(_teams[draws_on_date],_teams[date],_stats[[#This Row],[date]],_teams[team_number],_stats[[#This Row],[team_number]])</f>
        <v>1</v>
      </c>
      <c r="I1503" s="10">
        <v>0</v>
      </c>
      <c r="J1503" s="10">
        <v>0</v>
      </c>
      <c r="K1503" s="10">
        <v>7</v>
      </c>
      <c r="L1503" s="55" t="str">
        <f>VLOOKUP(_stats[[#This Row],[tournament]],tournaments_n_rules[],2,0)</f>
        <v>УПК</v>
      </c>
      <c r="M1503" s="55" t="str">
        <f>VLOOKUP(_stats[[#This Row],[tournament]],tournaments_n_rules[],3,0)</f>
        <v>Лето 2026</v>
      </c>
      <c r="N1503" s="56">
        <f>VLOOKUP(_stats[[#This Row],[tournament]],tournaments_n_rules[],4,0)</f>
        <v>46194</v>
      </c>
      <c r="O1503" s="56">
        <f>VLOOKUP(_stats[[#This Row],[tournament]],tournaments_n_rules[],5,0)</f>
        <v>46265</v>
      </c>
    </row>
    <row r="1504" spans="1:15" x14ac:dyDescent="0.25">
      <c r="A1504" s="6">
        <v>46215</v>
      </c>
      <c r="B1504" s="7">
        <v>2</v>
      </c>
      <c r="C1504" s="7" t="s">
        <v>22</v>
      </c>
      <c r="D1504" s="10" t="str">
        <f>IFERROR(VLOOKUP(_stats[[#This Row],[player_id]],_players[[player_id]:[player_name]],2,0),"")</f>
        <v>Женя (кипер)</v>
      </c>
      <c r="E1504" s="7">
        <v>0</v>
      </c>
      <c r="F1504" s="8">
        <v>0</v>
      </c>
      <c r="G1504" s="10">
        <f>SUMIFS(_teams[wins_on_date],_teams[date],_stats[[#This Row],[date]],_teams[team_number],_stats[[#This Row],[team_number]])</f>
        <v>4</v>
      </c>
      <c r="H1504" s="10">
        <f>SUMIFS(_teams[draws_on_date],_teams[date],_stats[[#This Row],[date]],_teams[team_number],_stats[[#This Row],[team_number]])</f>
        <v>1</v>
      </c>
      <c r="I1504" s="10">
        <v>4</v>
      </c>
      <c r="J1504" s="10">
        <v>0</v>
      </c>
      <c r="K1504" s="10">
        <v>7</v>
      </c>
      <c r="L1504" s="55" t="str">
        <f>VLOOKUP(_stats[[#This Row],[tournament]],tournaments_n_rules[],2,0)</f>
        <v>УПК</v>
      </c>
      <c r="M1504" s="55" t="str">
        <f>VLOOKUP(_stats[[#This Row],[tournament]],tournaments_n_rules[],3,0)</f>
        <v>Лето 2026</v>
      </c>
      <c r="N1504" s="56">
        <f>VLOOKUP(_stats[[#This Row],[tournament]],tournaments_n_rules[],4,0)</f>
        <v>46194</v>
      </c>
      <c r="O1504" s="56">
        <f>VLOOKUP(_stats[[#This Row],[tournament]],tournaments_n_rules[],5,0)</f>
        <v>46265</v>
      </c>
    </row>
    <row r="1505" spans="1:15" x14ac:dyDescent="0.25">
      <c r="A1505" s="6">
        <v>46215</v>
      </c>
      <c r="B1505" s="7">
        <v>2</v>
      </c>
      <c r="C1505" s="7" t="s">
        <v>133</v>
      </c>
      <c r="D1505" s="10" t="str">
        <f>IFERROR(VLOOKUP(_stats[[#This Row],[player_id]],_players[[player_id]:[player_name]],2,0),"")</f>
        <v>Арги</v>
      </c>
      <c r="E1505" s="7">
        <v>2</v>
      </c>
      <c r="F1505" s="8">
        <v>1</v>
      </c>
      <c r="G1505" s="10">
        <f>SUMIFS(_teams[wins_on_date],_teams[date],_stats[[#This Row],[date]],_teams[team_number],_stats[[#This Row],[team_number]])</f>
        <v>4</v>
      </c>
      <c r="H1505" s="10">
        <f>SUMIFS(_teams[draws_on_date],_teams[date],_stats[[#This Row],[date]],_teams[team_number],_stats[[#This Row],[team_number]])</f>
        <v>1</v>
      </c>
      <c r="I1505" s="10">
        <v>0</v>
      </c>
      <c r="J1505" s="10">
        <v>0</v>
      </c>
      <c r="K1505" s="10">
        <v>7</v>
      </c>
      <c r="L1505" s="55" t="str">
        <f>VLOOKUP(_stats[[#This Row],[tournament]],tournaments_n_rules[],2,0)</f>
        <v>УПК</v>
      </c>
      <c r="M1505" s="55" t="str">
        <f>VLOOKUP(_stats[[#This Row],[tournament]],tournaments_n_rules[],3,0)</f>
        <v>Лето 2026</v>
      </c>
      <c r="N1505" s="56">
        <f>VLOOKUP(_stats[[#This Row],[tournament]],tournaments_n_rules[],4,0)</f>
        <v>46194</v>
      </c>
      <c r="O1505" s="56">
        <f>VLOOKUP(_stats[[#This Row],[tournament]],tournaments_n_rules[],5,0)</f>
        <v>46265</v>
      </c>
    </row>
    <row r="1506" spans="1:15" x14ac:dyDescent="0.25">
      <c r="A1506" s="6">
        <v>46215</v>
      </c>
      <c r="B1506" s="7">
        <v>3</v>
      </c>
      <c r="C1506" s="7" t="s">
        <v>19</v>
      </c>
      <c r="D1506" s="10" t="str">
        <f>IFERROR(VLOOKUP(_stats[[#This Row],[player_id]],_players[[player_id]:[player_name]],2,0),"")</f>
        <v>Сергей Крюков</v>
      </c>
      <c r="E1506" s="7">
        <v>3</v>
      </c>
      <c r="F1506" s="8">
        <v>0</v>
      </c>
      <c r="G1506" s="10">
        <f>SUMIFS(_teams[wins_on_date],_teams[date],_stats[[#This Row],[date]],_teams[team_number],_stats[[#This Row],[team_number]])</f>
        <v>4</v>
      </c>
      <c r="H1506" s="10">
        <f>SUMIFS(_teams[draws_on_date],_teams[date],_stats[[#This Row],[date]],_teams[team_number],_stats[[#This Row],[team_number]])</f>
        <v>1</v>
      </c>
      <c r="I1506" s="10">
        <v>0</v>
      </c>
      <c r="J1506" s="10">
        <v>0</v>
      </c>
      <c r="K1506" s="10">
        <v>7</v>
      </c>
      <c r="L1506" s="55" t="str">
        <f>VLOOKUP(_stats[[#This Row],[tournament]],tournaments_n_rules[],2,0)</f>
        <v>УПК</v>
      </c>
      <c r="M1506" s="55" t="str">
        <f>VLOOKUP(_stats[[#This Row],[tournament]],tournaments_n_rules[],3,0)</f>
        <v>Лето 2026</v>
      </c>
      <c r="N1506" s="56">
        <f>VLOOKUP(_stats[[#This Row],[tournament]],tournaments_n_rules[],4,0)</f>
        <v>46194</v>
      </c>
      <c r="O1506" s="56">
        <f>VLOOKUP(_stats[[#This Row],[tournament]],tournaments_n_rules[],5,0)</f>
        <v>46265</v>
      </c>
    </row>
    <row r="1507" spans="1:15" x14ac:dyDescent="0.25">
      <c r="A1507" s="6">
        <v>46215</v>
      </c>
      <c r="B1507" s="7">
        <v>4</v>
      </c>
      <c r="C1507" s="7" t="s">
        <v>28</v>
      </c>
      <c r="D1507" s="10" t="str">
        <f>IFERROR(VLOOKUP(_stats[[#This Row],[player_id]],_players[[player_id]:[player_name]],2,0),"")</f>
        <v>Никита</v>
      </c>
      <c r="E1507" s="7">
        <v>1</v>
      </c>
      <c r="F1507" s="8">
        <v>0</v>
      </c>
      <c r="G1507" s="10">
        <f>SUMIFS(_teams[wins_on_date],_teams[date],_stats[[#This Row],[date]],_teams[team_number],_stats[[#This Row],[team_number]])</f>
        <v>2</v>
      </c>
      <c r="H1507" s="10">
        <f>SUMIFS(_teams[draws_on_date],_teams[date],_stats[[#This Row],[date]],_teams[team_number],_stats[[#This Row],[team_number]])</f>
        <v>0</v>
      </c>
      <c r="I1507" s="10">
        <v>0</v>
      </c>
      <c r="J1507" s="10">
        <v>0</v>
      </c>
      <c r="K1507" s="10">
        <v>7</v>
      </c>
      <c r="L1507" s="55" t="str">
        <f>VLOOKUP(_stats[[#This Row],[tournament]],tournaments_n_rules[],2,0)</f>
        <v>УПК</v>
      </c>
      <c r="M1507" s="55" t="str">
        <f>VLOOKUP(_stats[[#This Row],[tournament]],tournaments_n_rules[],3,0)</f>
        <v>Лето 2026</v>
      </c>
      <c r="N1507" s="56">
        <f>VLOOKUP(_stats[[#This Row],[tournament]],tournaments_n_rules[],4,0)</f>
        <v>46194</v>
      </c>
      <c r="O1507" s="56">
        <f>VLOOKUP(_stats[[#This Row],[tournament]],tournaments_n_rules[],5,0)</f>
        <v>46265</v>
      </c>
    </row>
    <row r="1508" spans="1:15" x14ac:dyDescent="0.25">
      <c r="A1508" s="6">
        <v>46215</v>
      </c>
      <c r="B1508" s="7">
        <v>4</v>
      </c>
      <c r="C1508" s="7" t="s">
        <v>51</v>
      </c>
      <c r="D1508" s="10" t="str">
        <f>IFERROR(VLOOKUP(_stats[[#This Row],[player_id]],_players[[player_id]:[player_name]],2,0),"")</f>
        <v>Игорь Фомичев</v>
      </c>
      <c r="E1508" s="7">
        <v>0</v>
      </c>
      <c r="F1508" s="8">
        <v>0</v>
      </c>
      <c r="G1508" s="10">
        <f>SUMIFS(_teams[wins_on_date],_teams[date],_stats[[#This Row],[date]],_teams[team_number],_stats[[#This Row],[team_number]])</f>
        <v>2</v>
      </c>
      <c r="H1508" s="10">
        <f>SUMIFS(_teams[draws_on_date],_teams[date],_stats[[#This Row],[date]],_teams[team_number],_stats[[#This Row],[team_number]])</f>
        <v>0</v>
      </c>
      <c r="I1508" s="10">
        <v>1</v>
      </c>
      <c r="J1508" s="10">
        <v>0</v>
      </c>
      <c r="K1508" s="10">
        <v>7</v>
      </c>
      <c r="L1508" s="55" t="str">
        <f>VLOOKUP(_stats[[#This Row],[tournament]],tournaments_n_rules[],2,0)</f>
        <v>УПК</v>
      </c>
      <c r="M1508" s="55" t="str">
        <f>VLOOKUP(_stats[[#This Row],[tournament]],tournaments_n_rules[],3,0)</f>
        <v>Лето 2026</v>
      </c>
      <c r="N1508" s="56">
        <f>VLOOKUP(_stats[[#This Row],[tournament]],tournaments_n_rules[],4,0)</f>
        <v>46194</v>
      </c>
      <c r="O1508" s="56">
        <f>VLOOKUP(_stats[[#This Row],[tournament]],tournaments_n_rules[],5,0)</f>
        <v>46265</v>
      </c>
    </row>
    <row r="1509" spans="1:15" x14ac:dyDescent="0.25">
      <c r="A1509" s="6">
        <v>46215</v>
      </c>
      <c r="B1509" s="7">
        <v>1</v>
      </c>
      <c r="C1509" s="7" t="s">
        <v>26</v>
      </c>
      <c r="D1509" s="10" t="str">
        <f>IFERROR(VLOOKUP(_stats[[#This Row],[player_id]],_players[[player_id]:[player_name]],2,0),"")</f>
        <v>Рубик</v>
      </c>
      <c r="E1509" s="7">
        <v>0</v>
      </c>
      <c r="F1509" s="8">
        <v>1</v>
      </c>
      <c r="G1509" s="10">
        <f>SUMIFS(_teams[wins_on_date],_teams[date],_stats[[#This Row],[date]],_teams[team_number],_stats[[#This Row],[team_number]])</f>
        <v>3</v>
      </c>
      <c r="H1509" s="10">
        <f>SUMIFS(_teams[draws_on_date],_teams[date],_stats[[#This Row],[date]],_teams[team_number],_stats[[#This Row],[team_number]])</f>
        <v>1</v>
      </c>
      <c r="I1509" s="10">
        <v>0</v>
      </c>
      <c r="J1509" s="10">
        <v>0</v>
      </c>
      <c r="K1509" s="10">
        <v>7</v>
      </c>
      <c r="L1509" s="55" t="str">
        <f>VLOOKUP(_stats[[#This Row],[tournament]],tournaments_n_rules[],2,0)</f>
        <v>УПК</v>
      </c>
      <c r="M1509" s="55" t="str">
        <f>VLOOKUP(_stats[[#This Row],[tournament]],tournaments_n_rules[],3,0)</f>
        <v>Лето 2026</v>
      </c>
      <c r="N1509" s="56">
        <f>VLOOKUP(_stats[[#This Row],[tournament]],tournaments_n_rules[],4,0)</f>
        <v>46194</v>
      </c>
      <c r="O1509" s="56">
        <f>VLOOKUP(_stats[[#This Row],[tournament]],tournaments_n_rules[],5,0)</f>
        <v>46265</v>
      </c>
    </row>
    <row r="1510" spans="1:15" x14ac:dyDescent="0.25">
      <c r="A1510" s="6">
        <v>46215</v>
      </c>
      <c r="B1510" s="7">
        <v>1</v>
      </c>
      <c r="C1510" s="7" t="s">
        <v>18</v>
      </c>
      <c r="D1510" s="10" t="str">
        <f>IFERROR(VLOOKUP(_stats[[#This Row],[player_id]],_players[[player_id]:[player_name]],2,0),"")</f>
        <v>Расул</v>
      </c>
      <c r="E1510" s="7">
        <v>1</v>
      </c>
      <c r="F1510" s="8">
        <v>1</v>
      </c>
      <c r="G1510" s="10">
        <f>SUMIFS(_teams[wins_on_date],_teams[date],_stats[[#This Row],[date]],_teams[team_number],_stats[[#This Row],[team_number]])</f>
        <v>3</v>
      </c>
      <c r="H1510" s="10">
        <f>SUMIFS(_teams[draws_on_date],_teams[date],_stats[[#This Row],[date]],_teams[team_number],_stats[[#This Row],[team_number]])</f>
        <v>1</v>
      </c>
      <c r="I1510" s="10">
        <v>0</v>
      </c>
      <c r="J1510" s="10">
        <v>2</v>
      </c>
      <c r="K1510" s="10">
        <v>7</v>
      </c>
      <c r="L1510" s="55" t="str">
        <f>VLOOKUP(_stats[[#This Row],[tournament]],tournaments_n_rules[],2,0)</f>
        <v>УПК</v>
      </c>
      <c r="M1510" s="55" t="str">
        <f>VLOOKUP(_stats[[#This Row],[tournament]],tournaments_n_rules[],3,0)</f>
        <v>Лето 2026</v>
      </c>
      <c r="N1510" s="56">
        <f>VLOOKUP(_stats[[#This Row],[tournament]],tournaments_n_rules[],4,0)</f>
        <v>46194</v>
      </c>
      <c r="O1510" s="56">
        <f>VLOOKUP(_stats[[#This Row],[tournament]],tournaments_n_rules[],5,0)</f>
        <v>46265</v>
      </c>
    </row>
    <row r="1511" spans="1:15" x14ac:dyDescent="0.25">
      <c r="A1511" s="6">
        <v>46215</v>
      </c>
      <c r="B1511" s="7">
        <v>1</v>
      </c>
      <c r="C1511" s="7" t="s">
        <v>154</v>
      </c>
      <c r="D1511" s="10" t="str">
        <f>IFERROR(VLOOKUP(_stats[[#This Row],[player_id]],_players[[player_id]:[player_name]],2,0),"")</f>
        <v>Никита Марс (АК+1)</v>
      </c>
      <c r="E1511" s="7">
        <v>0</v>
      </c>
      <c r="F1511" s="8">
        <v>1</v>
      </c>
      <c r="G1511" s="10">
        <f>SUMIFS(_teams[wins_on_date],_teams[date],_stats[[#This Row],[date]],_teams[team_number],_stats[[#This Row],[team_number]])</f>
        <v>3</v>
      </c>
      <c r="H1511" s="10">
        <f>SUMIFS(_teams[draws_on_date],_teams[date],_stats[[#This Row],[date]],_teams[team_number],_stats[[#This Row],[team_number]])</f>
        <v>1</v>
      </c>
      <c r="I1511" s="10">
        <v>0</v>
      </c>
      <c r="J1511" s="10">
        <v>0</v>
      </c>
      <c r="K1511" s="10">
        <v>7</v>
      </c>
      <c r="L1511" s="55" t="str">
        <f>VLOOKUP(_stats[[#This Row],[tournament]],tournaments_n_rules[],2,0)</f>
        <v>УПК</v>
      </c>
      <c r="M1511" s="55" t="str">
        <f>VLOOKUP(_stats[[#This Row],[tournament]],tournaments_n_rules[],3,0)</f>
        <v>Лето 2026</v>
      </c>
      <c r="N1511" s="56">
        <f>VLOOKUP(_stats[[#This Row],[tournament]],tournaments_n_rules[],4,0)</f>
        <v>46194</v>
      </c>
      <c r="O1511" s="56">
        <f>VLOOKUP(_stats[[#This Row],[tournament]],tournaments_n_rules[],5,0)</f>
        <v>46265</v>
      </c>
    </row>
    <row r="1512" spans="1:15" x14ac:dyDescent="0.25">
      <c r="A1512" s="6">
        <v>46215</v>
      </c>
      <c r="B1512" s="7">
        <v>1</v>
      </c>
      <c r="C1512" s="7" t="s">
        <v>220</v>
      </c>
      <c r="D1512" s="10" t="str">
        <f>IFERROR(VLOOKUP(_stats[[#This Row],[player_id]],_players[[player_id]:[player_name]],2,0),"")</f>
        <v>Егор (АК+1) Снюс</v>
      </c>
      <c r="E1512" s="7">
        <v>2</v>
      </c>
      <c r="F1512" s="8">
        <v>0</v>
      </c>
      <c r="G1512" s="10">
        <f>SUMIFS(_teams[wins_on_date],_teams[date],_stats[[#This Row],[date]],_teams[team_number],_stats[[#This Row],[team_number]])</f>
        <v>3</v>
      </c>
      <c r="H1512" s="10">
        <f>SUMIFS(_teams[draws_on_date],_teams[date],_stats[[#This Row],[date]],_teams[team_number],_stats[[#This Row],[team_number]])</f>
        <v>1</v>
      </c>
      <c r="I1512" s="10">
        <v>0</v>
      </c>
      <c r="J1512" s="10">
        <v>0</v>
      </c>
      <c r="K1512" s="10">
        <v>7</v>
      </c>
      <c r="L1512" s="55" t="str">
        <f>VLOOKUP(_stats[[#This Row],[tournament]],tournaments_n_rules[],2,0)</f>
        <v>УПК</v>
      </c>
      <c r="M1512" s="55" t="str">
        <f>VLOOKUP(_stats[[#This Row],[tournament]],tournaments_n_rules[],3,0)</f>
        <v>Лето 2026</v>
      </c>
      <c r="N1512" s="56">
        <f>VLOOKUP(_stats[[#This Row],[tournament]],tournaments_n_rules[],4,0)</f>
        <v>46194</v>
      </c>
      <c r="O1512" s="56">
        <f>VLOOKUP(_stats[[#This Row],[tournament]],tournaments_n_rules[],5,0)</f>
        <v>46265</v>
      </c>
    </row>
    <row r="1513" spans="1:15" x14ac:dyDescent="0.25">
      <c r="A1513" s="6">
        <v>46215</v>
      </c>
      <c r="B1513" s="7">
        <v>1</v>
      </c>
      <c r="C1513" s="7" t="s">
        <v>50</v>
      </c>
      <c r="D1513" s="10" t="str">
        <f>IFERROR(VLOOKUP(_stats[[#This Row],[player_id]],_players[[player_id]:[player_name]],2,0),"")</f>
        <v>Дима (Руб)</v>
      </c>
      <c r="E1513" s="7">
        <v>2</v>
      </c>
      <c r="F1513" s="8">
        <v>0</v>
      </c>
      <c r="G1513" s="10">
        <f>SUMIFS(_teams[wins_on_date],_teams[date],_stats[[#This Row],[date]],_teams[team_number],_stats[[#This Row],[team_number]])</f>
        <v>3</v>
      </c>
      <c r="H1513" s="10">
        <f>SUMIFS(_teams[draws_on_date],_teams[date],_stats[[#This Row],[date]],_teams[team_number],_stats[[#This Row],[team_number]])</f>
        <v>1</v>
      </c>
      <c r="I1513" s="10">
        <v>0</v>
      </c>
      <c r="J1513" s="10">
        <v>0</v>
      </c>
      <c r="K1513" s="10">
        <v>7</v>
      </c>
      <c r="L1513" s="55" t="str">
        <f>VLOOKUP(_stats[[#This Row],[tournament]],tournaments_n_rules[],2,0)</f>
        <v>УПК</v>
      </c>
      <c r="M1513" s="55" t="str">
        <f>VLOOKUP(_stats[[#This Row],[tournament]],tournaments_n_rules[],3,0)</f>
        <v>Лето 2026</v>
      </c>
      <c r="N1513" s="56">
        <f>VLOOKUP(_stats[[#This Row],[tournament]],tournaments_n_rules[],4,0)</f>
        <v>46194</v>
      </c>
      <c r="O1513" s="56">
        <f>VLOOKUP(_stats[[#This Row],[tournament]],tournaments_n_rules[],5,0)</f>
        <v>46265</v>
      </c>
    </row>
    <row r="1514" spans="1:15" x14ac:dyDescent="0.25">
      <c r="A1514" s="6">
        <v>46215</v>
      </c>
      <c r="B1514" s="7">
        <v>1</v>
      </c>
      <c r="C1514" s="7" t="s">
        <v>218</v>
      </c>
      <c r="D1514" s="10" t="str">
        <f>IFERROR(VLOOKUP(_stats[[#This Row],[player_id]],_players[[player_id]:[player_name]],2,0),"")</f>
        <v>Иракли (Руб +1)</v>
      </c>
      <c r="E1514" s="7">
        <v>0</v>
      </c>
      <c r="F1514" s="8">
        <v>0</v>
      </c>
      <c r="G1514" s="10">
        <f>SUMIFS(_teams[wins_on_date],_teams[date],_stats[[#This Row],[date]],_teams[team_number],_stats[[#This Row],[team_number]])</f>
        <v>3</v>
      </c>
      <c r="H1514" s="10">
        <f>SUMIFS(_teams[draws_on_date],_teams[date],_stats[[#This Row],[date]],_teams[team_number],_stats[[#This Row],[team_number]])</f>
        <v>1</v>
      </c>
      <c r="I1514" s="10">
        <v>0</v>
      </c>
      <c r="J1514" s="10">
        <v>0</v>
      </c>
      <c r="K1514" s="10">
        <v>7</v>
      </c>
      <c r="L1514" s="55" t="str">
        <f>VLOOKUP(_stats[[#This Row],[tournament]],tournaments_n_rules[],2,0)</f>
        <v>УПК</v>
      </c>
      <c r="M1514" s="55" t="str">
        <f>VLOOKUP(_stats[[#This Row],[tournament]],tournaments_n_rules[],3,0)</f>
        <v>Лето 2026</v>
      </c>
      <c r="N1514" s="56">
        <f>VLOOKUP(_stats[[#This Row],[tournament]],tournaments_n_rules[],4,0)</f>
        <v>46194</v>
      </c>
      <c r="O1514" s="56">
        <f>VLOOKUP(_stats[[#This Row],[tournament]],tournaments_n_rules[],5,0)</f>
        <v>46265</v>
      </c>
    </row>
    <row r="1515" spans="1:15" x14ac:dyDescent="0.25">
      <c r="A1515" s="6">
        <v>46215</v>
      </c>
      <c r="B1515" s="7">
        <v>1</v>
      </c>
      <c r="C1515" s="7" t="s">
        <v>219</v>
      </c>
      <c r="D1515" s="10" t="str">
        <f>IFERROR(VLOOKUP(_stats[[#This Row],[player_id]],_players[[player_id]:[player_name]],2,0),"")</f>
        <v>Саша (Руб +1)</v>
      </c>
      <c r="E1515" s="7">
        <v>0</v>
      </c>
      <c r="F1515" s="8">
        <v>0</v>
      </c>
      <c r="G1515" s="10">
        <f>SUMIFS(_teams[wins_on_date],_teams[date],_stats[[#This Row],[date]],_teams[team_number],_stats[[#This Row],[team_number]])</f>
        <v>3</v>
      </c>
      <c r="H1515" s="10">
        <f>SUMIFS(_teams[draws_on_date],_teams[date],_stats[[#This Row],[date]],_teams[team_number],_stats[[#This Row],[team_number]])</f>
        <v>1</v>
      </c>
      <c r="I1515" s="10">
        <v>0</v>
      </c>
      <c r="J1515" s="10">
        <v>0</v>
      </c>
      <c r="K1515" s="10">
        <v>7</v>
      </c>
      <c r="L1515" s="55" t="str">
        <f>VLOOKUP(_stats[[#This Row],[tournament]],tournaments_n_rules[],2,0)</f>
        <v>УПК</v>
      </c>
      <c r="M1515" s="55" t="str">
        <f>VLOOKUP(_stats[[#This Row],[tournament]],tournaments_n_rules[],3,0)</f>
        <v>Лето 2026</v>
      </c>
      <c r="N1515" s="56">
        <f>VLOOKUP(_stats[[#This Row],[tournament]],tournaments_n_rules[],4,0)</f>
        <v>46194</v>
      </c>
      <c r="O1515" s="56">
        <f>VLOOKUP(_stats[[#This Row],[tournament]],tournaments_n_rules[],5,0)</f>
        <v>46265</v>
      </c>
    </row>
    <row r="1516" spans="1:15" x14ac:dyDescent="0.25">
      <c r="A1516" s="6">
        <v>46215</v>
      </c>
      <c r="B1516" s="7">
        <v>2</v>
      </c>
      <c r="C1516" s="7" t="s">
        <v>41</v>
      </c>
      <c r="D1516" s="10" t="str">
        <f>IFERROR(VLOOKUP(_stats[[#This Row],[player_id]],_players[[player_id]:[player_name]],2,0),"")</f>
        <v>Атай</v>
      </c>
      <c r="E1516" s="7">
        <v>2</v>
      </c>
      <c r="F1516" s="8">
        <v>0</v>
      </c>
      <c r="G1516" s="10">
        <f>SUMIFS(_teams[wins_on_date],_teams[date],_stats[[#This Row],[date]],_teams[team_number],_stats[[#This Row],[team_number]])</f>
        <v>4</v>
      </c>
      <c r="H1516" s="10">
        <f>SUMIFS(_teams[draws_on_date],_teams[date],_stats[[#This Row],[date]],_teams[team_number],_stats[[#This Row],[team_number]])</f>
        <v>1</v>
      </c>
      <c r="I1516" s="10">
        <v>0</v>
      </c>
      <c r="J1516" s="10">
        <v>0</v>
      </c>
      <c r="K1516" s="10">
        <v>7</v>
      </c>
      <c r="L1516" s="55" t="str">
        <f>VLOOKUP(_stats[[#This Row],[tournament]],tournaments_n_rules[],2,0)</f>
        <v>УПК</v>
      </c>
      <c r="M1516" s="55" t="str">
        <f>VLOOKUP(_stats[[#This Row],[tournament]],tournaments_n_rules[],3,0)</f>
        <v>Лето 2026</v>
      </c>
      <c r="N1516" s="56">
        <f>VLOOKUP(_stats[[#This Row],[tournament]],tournaments_n_rules[],4,0)</f>
        <v>46194</v>
      </c>
      <c r="O1516" s="56">
        <f>VLOOKUP(_stats[[#This Row],[tournament]],tournaments_n_rules[],5,0)</f>
        <v>46265</v>
      </c>
    </row>
    <row r="1517" spans="1:15" x14ac:dyDescent="0.25">
      <c r="A1517" s="6">
        <v>46215</v>
      </c>
      <c r="B1517" s="7">
        <v>2</v>
      </c>
      <c r="C1517" s="7" t="s">
        <v>81</v>
      </c>
      <c r="D1517" s="10" t="str">
        <f>IFERROR(VLOOKUP(_stats[[#This Row],[player_id]],_players[[player_id]:[player_name]],2,0),"")</f>
        <v>Марат (Атай+1)</v>
      </c>
      <c r="E1517" s="7">
        <v>3</v>
      </c>
      <c r="F1517" s="8">
        <v>1</v>
      </c>
      <c r="G1517" s="10">
        <f>SUMIFS(_teams[wins_on_date],_teams[date],_stats[[#This Row],[date]],_teams[team_number],_stats[[#This Row],[team_number]])</f>
        <v>4</v>
      </c>
      <c r="H1517" s="10">
        <f>SUMIFS(_teams[draws_on_date],_teams[date],_stats[[#This Row],[date]],_teams[team_number],_stats[[#This Row],[team_number]])</f>
        <v>1</v>
      </c>
      <c r="I1517" s="10">
        <v>0</v>
      </c>
      <c r="J1517" s="10">
        <v>0</v>
      </c>
      <c r="K1517" s="10">
        <v>7</v>
      </c>
      <c r="L1517" s="55" t="str">
        <f>VLOOKUP(_stats[[#This Row],[tournament]],tournaments_n_rules[],2,0)</f>
        <v>УПК</v>
      </c>
      <c r="M1517" s="55" t="str">
        <f>VLOOKUP(_stats[[#This Row],[tournament]],tournaments_n_rules[],3,0)</f>
        <v>Лето 2026</v>
      </c>
      <c r="N1517" s="56">
        <f>VLOOKUP(_stats[[#This Row],[tournament]],tournaments_n_rules[],4,0)</f>
        <v>46194</v>
      </c>
      <c r="O1517" s="56">
        <f>VLOOKUP(_stats[[#This Row],[tournament]],tournaments_n_rules[],5,0)</f>
        <v>46265</v>
      </c>
    </row>
    <row r="1518" spans="1:15" x14ac:dyDescent="0.25">
      <c r="A1518" s="6">
        <v>46215</v>
      </c>
      <c r="B1518" s="7">
        <v>4</v>
      </c>
      <c r="C1518" s="7" t="s">
        <v>31</v>
      </c>
      <c r="D1518" s="10" t="str">
        <f>IFERROR(VLOOKUP(_stats[[#This Row],[player_id]],_players[[player_id]:[player_name]],2,0),"")</f>
        <v>Артем Ширяев</v>
      </c>
      <c r="E1518" s="7">
        <v>0</v>
      </c>
      <c r="F1518" s="8">
        <v>0</v>
      </c>
      <c r="G1518" s="10">
        <f>SUMIFS(_teams[wins_on_date],_teams[date],_stats[[#This Row],[date]],_teams[team_number],_stats[[#This Row],[team_number]])</f>
        <v>2</v>
      </c>
      <c r="H1518" s="10">
        <f>SUMIFS(_teams[draws_on_date],_teams[date],_stats[[#This Row],[date]],_teams[team_number],_stats[[#This Row],[team_number]])</f>
        <v>0</v>
      </c>
      <c r="I1518" s="10">
        <v>0</v>
      </c>
      <c r="J1518" s="10">
        <v>0</v>
      </c>
      <c r="K1518" s="10">
        <v>7</v>
      </c>
      <c r="L1518" s="55" t="str">
        <f>VLOOKUP(_stats[[#This Row],[tournament]],tournaments_n_rules[],2,0)</f>
        <v>УПК</v>
      </c>
      <c r="M1518" s="55" t="str">
        <f>VLOOKUP(_stats[[#This Row],[tournament]],tournaments_n_rules[],3,0)</f>
        <v>Лето 2026</v>
      </c>
      <c r="N1518" s="56">
        <f>VLOOKUP(_stats[[#This Row],[tournament]],tournaments_n_rules[],4,0)</f>
        <v>46194</v>
      </c>
      <c r="O1518" s="56">
        <f>VLOOKUP(_stats[[#This Row],[tournament]],tournaments_n_rules[],5,0)</f>
        <v>46265</v>
      </c>
    </row>
    <row r="1519" spans="1:15" x14ac:dyDescent="0.25">
      <c r="A1519" s="6">
        <v>46215</v>
      </c>
      <c r="B1519" s="7">
        <v>2</v>
      </c>
      <c r="C1519" s="7" t="s">
        <v>38</v>
      </c>
      <c r="D1519" s="10" t="str">
        <f>IFERROR(VLOOKUP(_stats[[#This Row],[player_id]],_players[[player_id]:[player_name]],2,0),"")</f>
        <v>Эд (Сэм)</v>
      </c>
      <c r="E1519" s="7">
        <v>0</v>
      </c>
      <c r="F1519" s="8">
        <v>1</v>
      </c>
      <c r="G1519" s="10">
        <f>SUMIFS(_teams[wins_on_date],_teams[date],_stats[[#This Row],[date]],_teams[team_number],_stats[[#This Row],[team_number]])</f>
        <v>4</v>
      </c>
      <c r="H1519" s="10">
        <f>SUMIFS(_teams[draws_on_date],_teams[date],_stats[[#This Row],[date]],_teams[team_number],_stats[[#This Row],[team_number]])</f>
        <v>1</v>
      </c>
      <c r="I1519" s="10">
        <v>0</v>
      </c>
      <c r="J1519" s="10">
        <v>0</v>
      </c>
      <c r="K1519" s="10">
        <v>7</v>
      </c>
      <c r="L1519" s="55" t="str">
        <f>VLOOKUP(_stats[[#This Row],[tournament]],tournaments_n_rules[],2,0)</f>
        <v>УПК</v>
      </c>
      <c r="M1519" s="55" t="str">
        <f>VLOOKUP(_stats[[#This Row],[tournament]],tournaments_n_rules[],3,0)</f>
        <v>Лето 2026</v>
      </c>
      <c r="N1519" s="56">
        <f>VLOOKUP(_stats[[#This Row],[tournament]],tournaments_n_rules[],4,0)</f>
        <v>46194</v>
      </c>
      <c r="O1519" s="56">
        <f>VLOOKUP(_stats[[#This Row],[tournament]],tournaments_n_rules[],5,0)</f>
        <v>46265</v>
      </c>
    </row>
    <row r="1520" spans="1:15" x14ac:dyDescent="0.25">
      <c r="A1520" s="6">
        <v>46215</v>
      </c>
      <c r="B1520" s="7">
        <v>3</v>
      </c>
      <c r="C1520" s="7" t="s">
        <v>217</v>
      </c>
      <c r="D1520" s="10" t="str">
        <f>IFERROR(VLOOKUP(_stats[[#This Row],[player_id]],_players[[player_id]:[player_name]],2,0),"")</f>
        <v>Саша (Коля +1)</v>
      </c>
      <c r="E1520" s="7">
        <v>2</v>
      </c>
      <c r="F1520" s="8">
        <v>0</v>
      </c>
      <c r="G1520" s="10">
        <f>SUMIFS(_teams[wins_on_date],_teams[date],_stats[[#This Row],[date]],_teams[team_number],_stats[[#This Row],[team_number]])</f>
        <v>4</v>
      </c>
      <c r="H1520" s="10">
        <f>SUMIFS(_teams[draws_on_date],_teams[date],_stats[[#This Row],[date]],_teams[team_number],_stats[[#This Row],[team_number]])</f>
        <v>1</v>
      </c>
      <c r="I1520" s="10">
        <v>0</v>
      </c>
      <c r="J1520" s="10">
        <v>0</v>
      </c>
      <c r="K1520" s="10">
        <v>7</v>
      </c>
      <c r="L1520" s="55" t="str">
        <f>VLOOKUP(_stats[[#This Row],[tournament]],tournaments_n_rules[],2,0)</f>
        <v>УПК</v>
      </c>
      <c r="M1520" s="55" t="str">
        <f>VLOOKUP(_stats[[#This Row],[tournament]],tournaments_n_rules[],3,0)</f>
        <v>Лето 2026</v>
      </c>
      <c r="N1520" s="56">
        <f>VLOOKUP(_stats[[#This Row],[tournament]],tournaments_n_rules[],4,0)</f>
        <v>46194</v>
      </c>
      <c r="O1520" s="56">
        <f>VLOOKUP(_stats[[#This Row],[tournament]],tournaments_n_rules[],5,0)</f>
        <v>46265</v>
      </c>
    </row>
    <row r="1521" spans="1:15" x14ac:dyDescent="0.25">
      <c r="A1521" s="6">
        <v>46215</v>
      </c>
      <c r="B1521" s="7">
        <v>4</v>
      </c>
      <c r="C1521" s="7" t="s">
        <v>189</v>
      </c>
      <c r="D1521" s="10" t="str">
        <f>IFERROR(VLOOKUP(_stats[[#This Row],[player_id]],_players[[player_id]:[player_name]],2,0),"")</f>
        <v>Никита (Сурэн+1)</v>
      </c>
      <c r="E1521" s="7">
        <v>1</v>
      </c>
      <c r="F1521" s="8">
        <v>1</v>
      </c>
      <c r="G1521" s="10">
        <f>SUMIFS(_teams[wins_on_date],_teams[date],_stats[[#This Row],[date]],_teams[team_number],_stats[[#This Row],[team_number]])</f>
        <v>2</v>
      </c>
      <c r="H1521" s="10">
        <f>SUMIFS(_teams[draws_on_date],_teams[date],_stats[[#This Row],[date]],_teams[team_number],_stats[[#This Row],[team_number]])</f>
        <v>0</v>
      </c>
      <c r="I1521" s="10">
        <v>0</v>
      </c>
      <c r="J1521" s="10">
        <v>0</v>
      </c>
      <c r="K1521" s="10">
        <v>7</v>
      </c>
      <c r="L1521" s="55" t="str">
        <f>VLOOKUP(_stats[[#This Row],[tournament]],tournaments_n_rules[],2,0)</f>
        <v>УПК</v>
      </c>
      <c r="M1521" s="55" t="str">
        <f>VLOOKUP(_stats[[#This Row],[tournament]],tournaments_n_rules[],3,0)</f>
        <v>Лето 2026</v>
      </c>
      <c r="N1521" s="56">
        <f>VLOOKUP(_stats[[#This Row],[tournament]],tournaments_n_rules[],4,0)</f>
        <v>46194</v>
      </c>
      <c r="O1521" s="56">
        <f>VLOOKUP(_stats[[#This Row],[tournament]],tournaments_n_rules[],5,0)</f>
        <v>46265</v>
      </c>
    </row>
    <row r="1522" spans="1:15" x14ac:dyDescent="0.25">
      <c r="A1522" s="6">
        <v>46215</v>
      </c>
      <c r="B1522" s="7">
        <v>3</v>
      </c>
      <c r="C1522" s="7" t="s">
        <v>151</v>
      </c>
      <c r="D1522" s="10" t="str">
        <f>IFERROR(VLOOKUP(_stats[[#This Row],[player_id]],_players[[player_id]:[player_name]],2,0),"")</f>
        <v>Сурэн</v>
      </c>
      <c r="E1522" s="7">
        <v>0</v>
      </c>
      <c r="F1522" s="8">
        <v>1</v>
      </c>
      <c r="G1522" s="10">
        <f>SUMIFS(_teams[wins_on_date],_teams[date],_stats[[#This Row],[date]],_teams[team_number],_stats[[#This Row],[team_number]])</f>
        <v>4</v>
      </c>
      <c r="H1522" s="10">
        <f>SUMIFS(_teams[draws_on_date],_teams[date],_stats[[#This Row],[date]],_teams[team_number],_stats[[#This Row],[team_number]])</f>
        <v>1</v>
      </c>
      <c r="I1522" s="10">
        <v>0</v>
      </c>
      <c r="J1522" s="10">
        <v>0</v>
      </c>
      <c r="K1522" s="10">
        <v>7</v>
      </c>
      <c r="L1522" s="55" t="str">
        <f>VLOOKUP(_stats[[#This Row],[tournament]],tournaments_n_rules[],2,0)</f>
        <v>УПК</v>
      </c>
      <c r="M1522" s="55" t="str">
        <f>VLOOKUP(_stats[[#This Row],[tournament]],tournaments_n_rules[],3,0)</f>
        <v>Лето 2026</v>
      </c>
      <c r="N1522" s="56">
        <f>VLOOKUP(_stats[[#This Row],[tournament]],tournaments_n_rules[],4,0)</f>
        <v>46194</v>
      </c>
      <c r="O1522" s="56">
        <f>VLOOKUP(_stats[[#This Row],[tournament]],tournaments_n_rules[],5,0)</f>
        <v>46265</v>
      </c>
    </row>
    <row r="1523" spans="1:15" x14ac:dyDescent="0.25">
      <c r="A1523" s="6">
        <v>46215</v>
      </c>
      <c r="B1523" s="7">
        <v>2</v>
      </c>
      <c r="C1523" s="7" t="s">
        <v>156</v>
      </c>
      <c r="D1523" s="10" t="str">
        <f>IFERROR(VLOOKUP(_stats[[#This Row],[player_id]],_players[[player_id]:[player_name]],2,0),"")</f>
        <v>Ислам</v>
      </c>
      <c r="E1523" s="7">
        <v>1</v>
      </c>
      <c r="F1523" s="8">
        <v>0</v>
      </c>
      <c r="G1523" s="10">
        <f>SUMIFS(_teams[wins_on_date],_teams[date],_stats[[#This Row],[date]],_teams[team_number],_stats[[#This Row],[team_number]])</f>
        <v>4</v>
      </c>
      <c r="H1523" s="10">
        <f>SUMIFS(_teams[draws_on_date],_teams[date],_stats[[#This Row],[date]],_teams[team_number],_stats[[#This Row],[team_number]])</f>
        <v>1</v>
      </c>
      <c r="I1523" s="10">
        <v>0</v>
      </c>
      <c r="J1523" s="10">
        <v>0</v>
      </c>
      <c r="K1523" s="10">
        <v>7</v>
      </c>
      <c r="L1523" s="55" t="str">
        <f>VLOOKUP(_stats[[#This Row],[tournament]],tournaments_n_rules[],2,0)</f>
        <v>УПК</v>
      </c>
      <c r="M1523" s="55" t="str">
        <f>VLOOKUP(_stats[[#This Row],[tournament]],tournaments_n_rules[],3,0)</f>
        <v>Лето 2026</v>
      </c>
      <c r="N1523" s="56">
        <f>VLOOKUP(_stats[[#This Row],[tournament]],tournaments_n_rules[],4,0)</f>
        <v>46194</v>
      </c>
      <c r="O1523" s="56">
        <f>VLOOKUP(_stats[[#This Row],[tournament]],tournaments_n_rules[],5,0)</f>
        <v>46265</v>
      </c>
    </row>
  </sheetData>
  <phoneticPr fontId="7" type="noConversion"/>
  <dataValidations count="1">
    <dataValidation type="list" allowBlank="1" showInputMessage="1" showErrorMessage="1" sqref="C885:C914 C846:C883 C803:C844 C624:C801 C478:C622 C397:C476 C294:C395 C2:C85 C87:C292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212"/>
  <sheetViews>
    <sheetView topLeftCell="A176" workbookViewId="0">
      <selection activeCell="E211" sqref="E211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98</v>
      </c>
      <c r="E1" s="5" t="s">
        <v>99</v>
      </c>
      <c r="F1" s="49" t="s">
        <v>177</v>
      </c>
      <c r="G1" s="49" t="s">
        <v>178</v>
      </c>
      <c r="H1" s="50" t="s">
        <v>179</v>
      </c>
      <c r="I1" s="50" t="s">
        <v>180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  <row r="206" spans="1:9" x14ac:dyDescent="0.25">
      <c r="A206" s="13">
        <v>46214</v>
      </c>
      <c r="B206" s="7">
        <v>1</v>
      </c>
      <c r="C206" s="8">
        <v>1</v>
      </c>
      <c r="D206" s="8">
        <v>1</v>
      </c>
      <c r="E206" s="7">
        <v>7</v>
      </c>
      <c r="F206" s="55" t="str">
        <f>VLOOKUP(_teams[[#This Row],[tournament]],tournaments_n_rules[],2,0)</f>
        <v>УПК</v>
      </c>
      <c r="G206" s="55" t="str">
        <f>VLOOKUP(_teams[[#This Row],[tournament]],tournaments_n_rules[],3,0)</f>
        <v>Лето 2026</v>
      </c>
      <c r="H206" s="56">
        <f>VLOOKUP(_teams[[#This Row],[tournament]],tournaments_n_rules[],4,0)</f>
        <v>46194</v>
      </c>
      <c r="I206" s="56">
        <f>VLOOKUP(_teams[[#This Row],[tournament]],tournaments_n_rules[],5,0)</f>
        <v>46265</v>
      </c>
    </row>
    <row r="207" spans="1:9" x14ac:dyDescent="0.25">
      <c r="A207" s="13">
        <v>46214</v>
      </c>
      <c r="B207" s="7">
        <v>2</v>
      </c>
      <c r="C207" s="8">
        <v>5</v>
      </c>
      <c r="D207" s="8">
        <v>4</v>
      </c>
      <c r="E207" s="7">
        <v>7</v>
      </c>
      <c r="F207" s="55" t="str">
        <f>VLOOKUP(_teams[[#This Row],[tournament]],tournaments_n_rules[],2,0)</f>
        <v>УПК</v>
      </c>
      <c r="G207" s="55" t="str">
        <f>VLOOKUP(_teams[[#This Row],[tournament]],tournaments_n_rules[],3,0)</f>
        <v>Лето 2026</v>
      </c>
      <c r="H207" s="56">
        <f>VLOOKUP(_teams[[#This Row],[tournament]],tournaments_n_rules[],4,0)</f>
        <v>46194</v>
      </c>
      <c r="I207" s="56">
        <f>VLOOKUP(_teams[[#This Row],[tournament]],tournaments_n_rules[],5,0)</f>
        <v>46265</v>
      </c>
    </row>
    <row r="208" spans="1:9" x14ac:dyDescent="0.25">
      <c r="A208" s="13">
        <v>46214</v>
      </c>
      <c r="B208" s="7">
        <v>3</v>
      </c>
      <c r="C208" s="8">
        <v>2</v>
      </c>
      <c r="D208" s="8">
        <v>1</v>
      </c>
      <c r="E208" s="7">
        <v>7</v>
      </c>
      <c r="F208" s="55" t="str">
        <f>VLOOKUP(_teams[[#This Row],[tournament]],tournaments_n_rules[],2,0)</f>
        <v>УПК</v>
      </c>
      <c r="G208" s="55" t="str">
        <f>VLOOKUP(_teams[[#This Row],[tournament]],tournaments_n_rules[],3,0)</f>
        <v>Лето 2026</v>
      </c>
      <c r="H208" s="56">
        <f>VLOOKUP(_teams[[#This Row],[tournament]],tournaments_n_rules[],4,0)</f>
        <v>46194</v>
      </c>
      <c r="I208" s="56">
        <f>VLOOKUP(_teams[[#This Row],[tournament]],tournaments_n_rules[],5,0)</f>
        <v>46265</v>
      </c>
    </row>
    <row r="209" spans="1:9" x14ac:dyDescent="0.25">
      <c r="A209" s="13">
        <v>46215</v>
      </c>
      <c r="B209" s="7">
        <v>1</v>
      </c>
      <c r="C209" s="8">
        <v>3</v>
      </c>
      <c r="D209" s="8">
        <v>1</v>
      </c>
      <c r="E209" s="7">
        <v>7</v>
      </c>
      <c r="F209" s="55" t="str">
        <f>VLOOKUP(_teams[[#This Row],[tournament]],tournaments_n_rules[],2,0)</f>
        <v>УПК</v>
      </c>
      <c r="G209" s="55" t="str">
        <f>VLOOKUP(_teams[[#This Row],[tournament]],tournaments_n_rules[],3,0)</f>
        <v>Лето 2026</v>
      </c>
      <c r="H209" s="56">
        <f>VLOOKUP(_teams[[#This Row],[tournament]],tournaments_n_rules[],4,0)</f>
        <v>46194</v>
      </c>
      <c r="I209" s="56">
        <f>VLOOKUP(_teams[[#This Row],[tournament]],tournaments_n_rules[],5,0)</f>
        <v>46265</v>
      </c>
    </row>
    <row r="210" spans="1:9" x14ac:dyDescent="0.25">
      <c r="A210" s="13">
        <v>46215</v>
      </c>
      <c r="B210" s="7">
        <v>2</v>
      </c>
      <c r="C210" s="8">
        <v>4</v>
      </c>
      <c r="D210" s="8">
        <v>1</v>
      </c>
      <c r="E210" s="7">
        <v>7</v>
      </c>
      <c r="F210" s="55" t="str">
        <f>VLOOKUP(_teams[[#This Row],[tournament]],tournaments_n_rules[],2,0)</f>
        <v>УПК</v>
      </c>
      <c r="G210" s="55" t="str">
        <f>VLOOKUP(_teams[[#This Row],[tournament]],tournaments_n_rules[],3,0)</f>
        <v>Лето 2026</v>
      </c>
      <c r="H210" s="56">
        <f>VLOOKUP(_teams[[#This Row],[tournament]],tournaments_n_rules[],4,0)</f>
        <v>46194</v>
      </c>
      <c r="I210" s="56">
        <f>VLOOKUP(_teams[[#This Row],[tournament]],tournaments_n_rules[],5,0)</f>
        <v>46265</v>
      </c>
    </row>
    <row r="211" spans="1:9" x14ac:dyDescent="0.25">
      <c r="A211" s="13">
        <v>46215</v>
      </c>
      <c r="B211" s="7">
        <v>3</v>
      </c>
      <c r="C211" s="8">
        <v>4</v>
      </c>
      <c r="D211" s="8">
        <v>1</v>
      </c>
      <c r="E211" s="7">
        <v>7</v>
      </c>
      <c r="F211" s="55" t="str">
        <f>VLOOKUP(_teams[[#This Row],[tournament]],tournaments_n_rules[],2,0)</f>
        <v>УПК</v>
      </c>
      <c r="G211" s="55" t="str">
        <f>VLOOKUP(_teams[[#This Row],[tournament]],tournaments_n_rules[],3,0)</f>
        <v>Лето 2026</v>
      </c>
      <c r="H211" s="56">
        <f>VLOOKUP(_teams[[#This Row],[tournament]],tournaments_n_rules[],4,0)</f>
        <v>46194</v>
      </c>
      <c r="I211" s="56">
        <f>VLOOKUP(_teams[[#This Row],[tournament]],tournaments_n_rules[],5,0)</f>
        <v>46265</v>
      </c>
    </row>
    <row r="212" spans="1:9" x14ac:dyDescent="0.25">
      <c r="A212" s="13">
        <v>46215</v>
      </c>
      <c r="B212" s="7">
        <v>4</v>
      </c>
      <c r="C212" s="8">
        <v>2</v>
      </c>
      <c r="D212" s="8">
        <v>0</v>
      </c>
      <c r="E212" s="7">
        <v>7</v>
      </c>
      <c r="F212" s="55" t="str">
        <f>VLOOKUP(_teams[[#This Row],[tournament]],tournaments_n_rules[],2,0)</f>
        <v>УПК</v>
      </c>
      <c r="G212" s="55" t="str">
        <f>VLOOKUP(_teams[[#This Row],[tournament]],tournaments_n_rules[],3,0)</f>
        <v>Лето 2026</v>
      </c>
      <c r="H212" s="56">
        <f>VLOOKUP(_teams[[#This Row],[tournament]],tournaments_n_rules[],4,0)</f>
        <v>46194</v>
      </c>
      <c r="I212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12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D21" sqref="D21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167</v>
      </c>
      <c r="B1" s="4" t="s">
        <v>168</v>
      </c>
      <c r="C1" s="4" t="s">
        <v>161</v>
      </c>
      <c r="D1" s="4" t="s">
        <v>169</v>
      </c>
      <c r="E1" s="4" t="s">
        <v>170</v>
      </c>
      <c r="F1" s="44" t="s">
        <v>171</v>
      </c>
      <c r="G1" s="44" t="s">
        <v>172</v>
      </c>
      <c r="H1" s="44" t="s">
        <v>173</v>
      </c>
      <c r="I1" s="44" t="s">
        <v>174</v>
      </c>
      <c r="J1" s="44" t="s">
        <v>175</v>
      </c>
      <c r="K1" s="43" t="s">
        <v>176</v>
      </c>
    </row>
    <row r="2" spans="1:11" x14ac:dyDescent="0.25">
      <c r="A2" s="46">
        <f t="shared" ref="A2:A7" si="0">ROW()-1</f>
        <v>1</v>
      </c>
      <c r="B2" s="45" t="s">
        <v>100</v>
      </c>
      <c r="C2" s="45" t="s">
        <v>162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100</v>
      </c>
      <c r="C3" s="45" t="s">
        <v>163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100</v>
      </c>
      <c r="C4" s="45" t="s">
        <v>164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102</v>
      </c>
      <c r="C5" s="45" t="s">
        <v>164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102</v>
      </c>
      <c r="C6" s="45" t="s">
        <v>165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102</v>
      </c>
      <c r="C7" s="45" t="s">
        <v>166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102</v>
      </c>
      <c r="C8" s="45" t="s">
        <v>186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2026-07-12T11:16:13Z</dcterms:modified>
</cp:coreProperties>
</file>