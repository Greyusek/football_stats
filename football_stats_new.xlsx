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v\football_stats\"/>
    </mc:Choice>
  </mc:AlternateContent>
  <xr:revisionPtr revIDLastSave="0" documentId="13_ncr:1_{A283B811-82B4-43BA-81A9-C2F0E9F2417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14" i="2" l="1"/>
  <c r="G1414" i="2"/>
  <c r="H1414" i="2"/>
  <c r="L1414" i="2"/>
  <c r="M1414" i="2"/>
  <c r="N1414" i="2"/>
  <c r="O1414" i="2"/>
  <c r="D1413" i="2"/>
  <c r="G1413" i="2"/>
  <c r="H1413" i="2"/>
  <c r="L1413" i="2"/>
  <c r="M1413" i="2"/>
  <c r="N1413" i="2"/>
  <c r="O1413" i="2"/>
  <c r="D1412" i="2"/>
  <c r="G1412" i="2"/>
  <c r="H1412" i="2"/>
  <c r="L1412" i="2"/>
  <c r="M1412" i="2"/>
  <c r="N1412" i="2"/>
  <c r="O1412" i="2"/>
  <c r="D1411" i="2"/>
  <c r="G1411" i="2"/>
  <c r="H1411" i="2"/>
  <c r="L1411" i="2"/>
  <c r="M1411" i="2"/>
  <c r="N1411" i="2"/>
  <c r="O1411" i="2"/>
  <c r="D1410" i="2"/>
  <c r="G1410" i="2"/>
  <c r="H1410" i="2"/>
  <c r="L1410" i="2"/>
  <c r="M1410" i="2"/>
  <c r="N1410" i="2"/>
  <c r="O1410" i="2"/>
  <c r="D1409" i="2"/>
  <c r="G1409" i="2"/>
  <c r="H1409" i="2"/>
  <c r="L1409" i="2"/>
  <c r="M1409" i="2"/>
  <c r="N1409" i="2"/>
  <c r="O1409" i="2"/>
  <c r="D1408" i="2"/>
  <c r="G1408" i="2"/>
  <c r="H1408" i="2"/>
  <c r="L1408" i="2"/>
  <c r="M1408" i="2"/>
  <c r="N1408" i="2"/>
  <c r="O1408" i="2"/>
  <c r="D1407" i="2"/>
  <c r="G1407" i="2"/>
  <c r="H1407" i="2"/>
  <c r="L1407" i="2"/>
  <c r="M1407" i="2"/>
  <c r="N1407" i="2"/>
  <c r="O1407" i="2"/>
  <c r="D1406" i="2"/>
  <c r="G1406" i="2"/>
  <c r="H1406" i="2"/>
  <c r="L1406" i="2"/>
  <c r="M1406" i="2"/>
  <c r="N1406" i="2"/>
  <c r="O1406" i="2"/>
  <c r="D1405" i="2"/>
  <c r="G1405" i="2"/>
  <c r="H1405" i="2"/>
  <c r="L1405" i="2"/>
  <c r="M1405" i="2"/>
  <c r="N1405" i="2"/>
  <c r="O1405" i="2"/>
  <c r="D1404" i="2"/>
  <c r="G1404" i="2"/>
  <c r="E159" i="1" s="1"/>
  <c r="H1404" i="2"/>
  <c r="L1404" i="2"/>
  <c r="M1404" i="2"/>
  <c r="N1404" i="2"/>
  <c r="O1404" i="2"/>
  <c r="D1403" i="2"/>
  <c r="G1403" i="2"/>
  <c r="H1403" i="2"/>
  <c r="L1403" i="2"/>
  <c r="M1403" i="2"/>
  <c r="N1403" i="2"/>
  <c r="O1403" i="2"/>
  <c r="D1402" i="2"/>
  <c r="G1402" i="2"/>
  <c r="H1402" i="2"/>
  <c r="L1402" i="2"/>
  <c r="M1402" i="2"/>
  <c r="N1402" i="2"/>
  <c r="O1402" i="2"/>
  <c r="D1401" i="2"/>
  <c r="G1401" i="2"/>
  <c r="H1401" i="2"/>
  <c r="L1401" i="2"/>
  <c r="M1401" i="2"/>
  <c r="N1401" i="2"/>
  <c r="O1401" i="2"/>
  <c r="D1400" i="2"/>
  <c r="G1400" i="2"/>
  <c r="H1400" i="2"/>
  <c r="L1400" i="2"/>
  <c r="M1400" i="2"/>
  <c r="N1400" i="2"/>
  <c r="O1400" i="2"/>
  <c r="D1399" i="2"/>
  <c r="G1399" i="2"/>
  <c r="H1399" i="2"/>
  <c r="L1399" i="2"/>
  <c r="M1399" i="2"/>
  <c r="N1399" i="2"/>
  <c r="O1399" i="2"/>
  <c r="D1398" i="2"/>
  <c r="G1398" i="2"/>
  <c r="H1398" i="2"/>
  <c r="L1398" i="2"/>
  <c r="M1398" i="2"/>
  <c r="N1398" i="2"/>
  <c r="O1398" i="2"/>
  <c r="D1397" i="2"/>
  <c r="G1397" i="2"/>
  <c r="H1397" i="2"/>
  <c r="L1397" i="2"/>
  <c r="M1397" i="2"/>
  <c r="N1397" i="2"/>
  <c r="O1397" i="2"/>
  <c r="D1396" i="2"/>
  <c r="G1396" i="2"/>
  <c r="H1396" i="2"/>
  <c r="L1396" i="2"/>
  <c r="M1396" i="2"/>
  <c r="N1396" i="2"/>
  <c r="O1396" i="2"/>
  <c r="D1395" i="2"/>
  <c r="G1395" i="2"/>
  <c r="H1395" i="2"/>
  <c r="L1395" i="2"/>
  <c r="M1395" i="2"/>
  <c r="N1395" i="2"/>
  <c r="O1395" i="2"/>
  <c r="D1394" i="2"/>
  <c r="G1394" i="2"/>
  <c r="H1394" i="2"/>
  <c r="L1394" i="2"/>
  <c r="M1394" i="2"/>
  <c r="N1394" i="2"/>
  <c r="O1394" i="2"/>
  <c r="D1393" i="2"/>
  <c r="G1393" i="2"/>
  <c r="H1393" i="2"/>
  <c r="L1393" i="2"/>
  <c r="M1393" i="2"/>
  <c r="N1393" i="2"/>
  <c r="O1393" i="2"/>
  <c r="D1392" i="2"/>
  <c r="G1392" i="2"/>
  <c r="H1392" i="2"/>
  <c r="L1392" i="2"/>
  <c r="M1392" i="2"/>
  <c r="N1392" i="2"/>
  <c r="O1392" i="2"/>
  <c r="D1391" i="2"/>
  <c r="G1391" i="2"/>
  <c r="H1391" i="2"/>
  <c r="L1391" i="2"/>
  <c r="M1391" i="2"/>
  <c r="N1391" i="2"/>
  <c r="O1391" i="2"/>
  <c r="D1390" i="2"/>
  <c r="G1390" i="2"/>
  <c r="H1390" i="2"/>
  <c r="L1390" i="2"/>
  <c r="M1390" i="2"/>
  <c r="N1390" i="2"/>
  <c r="O1390" i="2"/>
  <c r="D1389" i="2"/>
  <c r="G1389" i="2"/>
  <c r="H1389" i="2"/>
  <c r="L1389" i="2"/>
  <c r="M1389" i="2"/>
  <c r="N1389" i="2"/>
  <c r="O1389" i="2"/>
  <c r="D1388" i="2"/>
  <c r="G1388" i="2"/>
  <c r="H1388" i="2"/>
  <c r="L1388" i="2"/>
  <c r="M1388" i="2"/>
  <c r="N1388" i="2"/>
  <c r="O1388" i="2"/>
  <c r="D1387" i="2"/>
  <c r="G1387" i="2"/>
  <c r="H1387" i="2"/>
  <c r="L1387" i="2"/>
  <c r="M1387" i="2"/>
  <c r="N1387" i="2"/>
  <c r="O1387" i="2"/>
  <c r="D1386" i="2"/>
  <c r="G1386" i="2"/>
  <c r="H1386" i="2"/>
  <c r="L1386" i="2"/>
  <c r="M1386" i="2"/>
  <c r="N1386" i="2"/>
  <c r="O1386" i="2"/>
  <c r="D1385" i="2"/>
  <c r="G1385" i="2"/>
  <c r="H1385" i="2"/>
  <c r="L1385" i="2"/>
  <c r="M1385" i="2"/>
  <c r="N1385" i="2"/>
  <c r="O1385" i="2"/>
  <c r="F197" i="3"/>
  <c r="G197" i="3"/>
  <c r="H197" i="3"/>
  <c r="I197" i="3"/>
  <c r="F196" i="3"/>
  <c r="G196" i="3"/>
  <c r="H196" i="3"/>
  <c r="I196" i="3"/>
  <c r="F195" i="3"/>
  <c r="G195" i="3"/>
  <c r="H195" i="3"/>
  <c r="I195" i="3"/>
  <c r="F194" i="3"/>
  <c r="G194" i="3"/>
  <c r="H194" i="3"/>
  <c r="I194" i="3"/>
  <c r="C162" i="1"/>
  <c r="D162" i="1"/>
  <c r="E162" i="1"/>
  <c r="F162" i="1"/>
  <c r="G162" i="1"/>
  <c r="C161" i="1"/>
  <c r="D161" i="1"/>
  <c r="E161" i="1"/>
  <c r="F161" i="1"/>
  <c r="G161" i="1"/>
  <c r="C160" i="1"/>
  <c r="D160" i="1"/>
  <c r="E160" i="1"/>
  <c r="F160" i="1"/>
  <c r="G160" i="1"/>
  <c r="C159" i="1"/>
  <c r="D159" i="1"/>
  <c r="F159" i="1"/>
  <c r="G159" i="1"/>
  <c r="D1384" i="2"/>
  <c r="G1384" i="2"/>
  <c r="H1384" i="2"/>
  <c r="L1384" i="2"/>
  <c r="M1384" i="2"/>
  <c r="N1384" i="2"/>
  <c r="O1384" i="2"/>
  <c r="D1383" i="2"/>
  <c r="G1383" i="2"/>
  <c r="H1383" i="2"/>
  <c r="L1383" i="2"/>
  <c r="M1383" i="2"/>
  <c r="N1383" i="2"/>
  <c r="O1383" i="2"/>
  <c r="D1382" i="2"/>
  <c r="G1382" i="2"/>
  <c r="H1382" i="2"/>
  <c r="L1382" i="2"/>
  <c r="M1382" i="2"/>
  <c r="N1382" i="2"/>
  <c r="O1382" i="2"/>
  <c r="D1381" i="2"/>
  <c r="G1381" i="2"/>
  <c r="H1381" i="2"/>
  <c r="L1381" i="2"/>
  <c r="M1381" i="2"/>
  <c r="N1381" i="2"/>
  <c r="O1381" i="2"/>
  <c r="D1380" i="2"/>
  <c r="G1380" i="2"/>
  <c r="H1380" i="2"/>
  <c r="L1380" i="2"/>
  <c r="M1380" i="2"/>
  <c r="N1380" i="2"/>
  <c r="O1380" i="2"/>
  <c r="D1379" i="2"/>
  <c r="G1379" i="2"/>
  <c r="H1379" i="2"/>
  <c r="L1379" i="2"/>
  <c r="M1379" i="2"/>
  <c r="N1379" i="2"/>
  <c r="O1379" i="2"/>
  <c r="D1378" i="2"/>
  <c r="G1378" i="2"/>
  <c r="H1378" i="2"/>
  <c r="L1378" i="2"/>
  <c r="M1378" i="2"/>
  <c r="N1378" i="2"/>
  <c r="O1378" i="2"/>
  <c r="D1377" i="2"/>
  <c r="G1377" i="2"/>
  <c r="H1377" i="2"/>
  <c r="L1377" i="2"/>
  <c r="M1377" i="2"/>
  <c r="N1377" i="2"/>
  <c r="O1377" i="2"/>
  <c r="D1376" i="2"/>
  <c r="G1376" i="2"/>
  <c r="H1376" i="2"/>
  <c r="L1376" i="2"/>
  <c r="M1376" i="2"/>
  <c r="N1376" i="2"/>
  <c r="O1376" i="2"/>
  <c r="D1375" i="2"/>
  <c r="G1375" i="2"/>
  <c r="H1375" i="2"/>
  <c r="L1375" i="2"/>
  <c r="M1375" i="2"/>
  <c r="N1375" i="2"/>
  <c r="O1375" i="2"/>
  <c r="D1374" i="2"/>
  <c r="G1374" i="2"/>
  <c r="H1374" i="2"/>
  <c r="L1374" i="2"/>
  <c r="M1374" i="2"/>
  <c r="N1374" i="2"/>
  <c r="O1374" i="2"/>
  <c r="D1373" i="2"/>
  <c r="G1373" i="2"/>
  <c r="H1373" i="2"/>
  <c r="L1373" i="2"/>
  <c r="M1373" i="2"/>
  <c r="N1373" i="2"/>
  <c r="O1373" i="2"/>
  <c r="D1372" i="2"/>
  <c r="G1372" i="2"/>
  <c r="H1372" i="2"/>
  <c r="L1372" i="2"/>
  <c r="M1372" i="2"/>
  <c r="N1372" i="2"/>
  <c r="O1372" i="2"/>
  <c r="D1371" i="2"/>
  <c r="G1371" i="2"/>
  <c r="H1371" i="2"/>
  <c r="L1371" i="2"/>
  <c r="M1371" i="2"/>
  <c r="N1371" i="2"/>
  <c r="O1371" i="2"/>
  <c r="D1370" i="2"/>
  <c r="G1370" i="2"/>
  <c r="H1370" i="2"/>
  <c r="L1370" i="2"/>
  <c r="M1370" i="2"/>
  <c r="N1370" i="2"/>
  <c r="O1370" i="2"/>
  <c r="D1369" i="2"/>
  <c r="G1369" i="2"/>
  <c r="H1369" i="2"/>
  <c r="L1369" i="2"/>
  <c r="M1369" i="2"/>
  <c r="N1369" i="2"/>
  <c r="O1369" i="2"/>
  <c r="D1368" i="2"/>
  <c r="G1368" i="2"/>
  <c r="H1368" i="2"/>
  <c r="L1368" i="2"/>
  <c r="M1368" i="2"/>
  <c r="N1368" i="2"/>
  <c r="O1368" i="2"/>
  <c r="D1367" i="2"/>
  <c r="G1367" i="2"/>
  <c r="H1367" i="2"/>
  <c r="L1367" i="2"/>
  <c r="M1367" i="2"/>
  <c r="N1367" i="2"/>
  <c r="O1367" i="2"/>
  <c r="D1366" i="2"/>
  <c r="G1366" i="2"/>
  <c r="E157" i="1" s="1"/>
  <c r="H1366" i="2"/>
  <c r="F157" i="1" s="1"/>
  <c r="L1366" i="2"/>
  <c r="M1366" i="2"/>
  <c r="N1366" i="2"/>
  <c r="O1366" i="2"/>
  <c r="D1365" i="2"/>
  <c r="G1365" i="2"/>
  <c r="E158" i="1" s="1"/>
  <c r="H1365" i="2"/>
  <c r="F158" i="1" s="1"/>
  <c r="L1365" i="2"/>
  <c r="M1365" i="2"/>
  <c r="N1365" i="2"/>
  <c r="O1365" i="2"/>
  <c r="D1364" i="2"/>
  <c r="G1364" i="2"/>
  <c r="E156" i="1" s="1"/>
  <c r="H1364" i="2"/>
  <c r="F156" i="1" s="1"/>
  <c r="L1364" i="2"/>
  <c r="M1364" i="2"/>
  <c r="N1364" i="2"/>
  <c r="O1364" i="2"/>
  <c r="C158" i="1"/>
  <c r="D158" i="1"/>
  <c r="G158" i="1"/>
  <c r="C157" i="1"/>
  <c r="D157" i="1"/>
  <c r="G157" i="1"/>
  <c r="C156" i="1"/>
  <c r="D156" i="1"/>
  <c r="G156" i="1"/>
  <c r="F193" i="3"/>
  <c r="G193" i="3"/>
  <c r="H193" i="3"/>
  <c r="I193" i="3"/>
  <c r="F192" i="3"/>
  <c r="G192" i="3"/>
  <c r="H192" i="3"/>
  <c r="I192" i="3"/>
  <c r="F191" i="3"/>
  <c r="G191" i="3"/>
  <c r="H191" i="3"/>
  <c r="I191" i="3"/>
  <c r="C155" i="1"/>
  <c r="D155" i="1"/>
  <c r="G155" i="1"/>
  <c r="C154" i="1"/>
  <c r="D154" i="1"/>
  <c r="G154" i="1"/>
  <c r="C153" i="1"/>
  <c r="D153" i="1"/>
  <c r="G153" i="1"/>
  <c r="D1363" i="2"/>
  <c r="G1363" i="2"/>
  <c r="E155" i="1" s="1"/>
  <c r="H1363" i="2"/>
  <c r="F155" i="1" s="1"/>
  <c r="L1363" i="2"/>
  <c r="M1363" i="2"/>
  <c r="N1363" i="2"/>
  <c r="O1363" i="2"/>
  <c r="D1362" i="2"/>
  <c r="G1362" i="2"/>
  <c r="H1362" i="2"/>
  <c r="L1362" i="2"/>
  <c r="M1362" i="2"/>
  <c r="N1362" i="2"/>
  <c r="O1362" i="2"/>
  <c r="D1361" i="2"/>
  <c r="G1361" i="2"/>
  <c r="E154" i="1" s="1"/>
  <c r="H1361" i="2"/>
  <c r="F154" i="1" s="1"/>
  <c r="L1361" i="2"/>
  <c r="M1361" i="2"/>
  <c r="N1361" i="2"/>
  <c r="O1361" i="2"/>
  <c r="D1358" i="2"/>
  <c r="C152" i="1"/>
  <c r="D152" i="1"/>
  <c r="G152" i="1"/>
  <c r="C151" i="1"/>
  <c r="D151" i="1"/>
  <c r="G151" i="1"/>
  <c r="C150" i="1"/>
  <c r="D150" i="1"/>
  <c r="G150" i="1"/>
  <c r="D1360" i="2"/>
  <c r="G1360" i="2"/>
  <c r="E153" i="1" s="1"/>
  <c r="H1360" i="2"/>
  <c r="F153" i="1" s="1"/>
  <c r="L1360" i="2"/>
  <c r="M1360" i="2"/>
  <c r="N1360" i="2"/>
  <c r="O1360" i="2"/>
  <c r="D1359" i="2"/>
  <c r="G1359" i="2"/>
  <c r="H1359" i="2"/>
  <c r="L1359" i="2"/>
  <c r="M1359" i="2"/>
  <c r="N1359" i="2"/>
  <c r="O1359" i="2"/>
  <c r="G1358" i="2"/>
  <c r="E152" i="1" s="1"/>
  <c r="H1358" i="2"/>
  <c r="F152" i="1" s="1"/>
  <c r="L1358" i="2"/>
  <c r="M1358" i="2"/>
  <c r="N1358" i="2"/>
  <c r="O1358" i="2"/>
  <c r="D1357" i="2"/>
  <c r="G1357" i="2"/>
  <c r="H1357" i="2"/>
  <c r="L1357" i="2"/>
  <c r="M1357" i="2"/>
  <c r="N1357" i="2"/>
  <c r="O1357" i="2"/>
  <c r="D1356" i="2"/>
  <c r="G1356" i="2"/>
  <c r="H1356" i="2"/>
  <c r="L1356" i="2"/>
  <c r="M1356" i="2"/>
  <c r="N1356" i="2"/>
  <c r="O1356" i="2"/>
  <c r="D1355" i="2"/>
  <c r="G1355" i="2"/>
  <c r="E151" i="1" s="1"/>
  <c r="H1355" i="2"/>
  <c r="F151" i="1" s="1"/>
  <c r="L1355" i="2"/>
  <c r="M1355" i="2"/>
  <c r="N1355" i="2"/>
  <c r="O1355" i="2"/>
  <c r="D1354" i="2"/>
  <c r="G1354" i="2"/>
  <c r="H1354" i="2"/>
  <c r="L1354" i="2"/>
  <c r="M1354" i="2"/>
  <c r="N1354" i="2"/>
  <c r="O1354" i="2"/>
  <c r="D1353" i="2"/>
  <c r="G1353" i="2"/>
  <c r="H1353" i="2"/>
  <c r="L1353" i="2"/>
  <c r="M1353" i="2"/>
  <c r="N1353" i="2"/>
  <c r="O1353" i="2"/>
  <c r="D1352" i="2"/>
  <c r="G1352" i="2"/>
  <c r="E150" i="1" s="1"/>
  <c r="H1352" i="2"/>
  <c r="F150" i="1" s="1"/>
  <c r="L1352" i="2"/>
  <c r="M1352" i="2"/>
  <c r="N1352" i="2"/>
  <c r="O1352" i="2"/>
  <c r="D1351" i="2"/>
  <c r="G1351" i="2"/>
  <c r="H1351" i="2"/>
  <c r="L1351" i="2"/>
  <c r="M1351" i="2"/>
  <c r="N1351" i="2"/>
  <c r="O1351" i="2"/>
  <c r="D1350" i="2"/>
  <c r="G1350" i="2"/>
  <c r="H1350" i="2"/>
  <c r="L1350" i="2"/>
  <c r="M1350" i="2"/>
  <c r="N1350" i="2"/>
  <c r="O1350" i="2"/>
  <c r="D1349" i="2"/>
  <c r="G1349" i="2"/>
  <c r="H1349" i="2"/>
  <c r="L1349" i="2"/>
  <c r="M1349" i="2"/>
  <c r="N1349" i="2"/>
  <c r="O1349" i="2"/>
  <c r="D1348" i="2"/>
  <c r="G1348" i="2"/>
  <c r="H1348" i="2"/>
  <c r="L1348" i="2"/>
  <c r="M1348" i="2"/>
  <c r="N1348" i="2"/>
  <c r="O1348" i="2"/>
  <c r="D1347" i="2"/>
  <c r="G1347" i="2"/>
  <c r="H1347" i="2"/>
  <c r="L1347" i="2"/>
  <c r="M1347" i="2"/>
  <c r="N1347" i="2"/>
  <c r="O1347" i="2"/>
  <c r="D1346" i="2"/>
  <c r="G1346" i="2"/>
  <c r="H1346" i="2"/>
  <c r="L1346" i="2"/>
  <c r="M1346" i="2"/>
  <c r="N1346" i="2"/>
  <c r="O1346" i="2"/>
  <c r="D1345" i="2"/>
  <c r="G1345" i="2"/>
  <c r="H1345" i="2"/>
  <c r="L1345" i="2"/>
  <c r="M1345" i="2"/>
  <c r="N1345" i="2"/>
  <c r="O1345" i="2"/>
  <c r="D1344" i="2"/>
  <c r="G1344" i="2"/>
  <c r="H1344" i="2"/>
  <c r="L1344" i="2"/>
  <c r="M1344" i="2"/>
  <c r="N1344" i="2"/>
  <c r="O1344" i="2"/>
  <c r="D1343" i="2"/>
  <c r="G1343" i="2"/>
  <c r="H1343" i="2"/>
  <c r="L1343" i="2"/>
  <c r="M1343" i="2"/>
  <c r="N1343" i="2"/>
  <c r="O1343" i="2"/>
  <c r="D1342" i="2"/>
  <c r="G1342" i="2"/>
  <c r="H1342" i="2"/>
  <c r="L1342" i="2"/>
  <c r="M1342" i="2"/>
  <c r="N1342" i="2"/>
  <c r="O1342" i="2"/>
  <c r="D1341" i="2"/>
  <c r="G1341" i="2"/>
  <c r="H1341" i="2"/>
  <c r="L1341" i="2"/>
  <c r="M1341" i="2"/>
  <c r="N1341" i="2"/>
  <c r="O1341" i="2"/>
  <c r="D1340" i="2"/>
  <c r="G1340" i="2"/>
  <c r="H1340" i="2"/>
  <c r="L1340" i="2"/>
  <c r="M1340" i="2"/>
  <c r="N1340" i="2"/>
  <c r="O1340" i="2"/>
  <c r="D1339" i="2"/>
  <c r="G1339" i="2"/>
  <c r="H1339" i="2"/>
  <c r="L1339" i="2"/>
  <c r="M1339" i="2"/>
  <c r="N1339" i="2"/>
  <c r="O1339" i="2"/>
  <c r="F190" i="3"/>
  <c r="G190" i="3"/>
  <c r="H190" i="3"/>
  <c r="I190" i="3"/>
  <c r="F189" i="3"/>
  <c r="G189" i="3"/>
  <c r="H189" i="3"/>
  <c r="I189" i="3"/>
  <c r="F188" i="3"/>
  <c r="G188" i="3"/>
  <c r="H188" i="3"/>
  <c r="I188" i="3"/>
  <c r="A8" i="4"/>
  <c r="G1311" i="2"/>
  <c r="C149" i="1"/>
  <c r="D149" i="1"/>
  <c r="G149" i="1"/>
  <c r="C148" i="1"/>
  <c r="D148" i="1"/>
  <c r="G148" i="1"/>
  <c r="D1307" i="2"/>
  <c r="G1307" i="2"/>
  <c r="H1307" i="2"/>
  <c r="L1307" i="2"/>
  <c r="M1307" i="2"/>
  <c r="N1307" i="2"/>
  <c r="O1307" i="2"/>
  <c r="D1308" i="2"/>
  <c r="G1308" i="2"/>
  <c r="H1308" i="2"/>
  <c r="L1308" i="2"/>
  <c r="M1308" i="2"/>
  <c r="N1308" i="2"/>
  <c r="O1308" i="2"/>
  <c r="D1309" i="2"/>
  <c r="G1309" i="2"/>
  <c r="H1309" i="2"/>
  <c r="L1309" i="2"/>
  <c r="M1309" i="2"/>
  <c r="N1309" i="2"/>
  <c r="O1309" i="2"/>
  <c r="D1310" i="2"/>
  <c r="G1310" i="2"/>
  <c r="H1310" i="2"/>
  <c r="L1310" i="2"/>
  <c r="M1310" i="2"/>
  <c r="N1310" i="2"/>
  <c r="O1310" i="2"/>
  <c r="D1311" i="2"/>
  <c r="H1311" i="2"/>
  <c r="L1311" i="2"/>
  <c r="M1311" i="2"/>
  <c r="N1311" i="2"/>
  <c r="O1311" i="2"/>
  <c r="D1312" i="2"/>
  <c r="G1312" i="2"/>
  <c r="H1312" i="2"/>
  <c r="L1312" i="2"/>
  <c r="M1312" i="2"/>
  <c r="N1312" i="2"/>
  <c r="O1312" i="2"/>
  <c r="D1313" i="2"/>
  <c r="G1313" i="2"/>
  <c r="H1313" i="2"/>
  <c r="L1313" i="2"/>
  <c r="M1313" i="2"/>
  <c r="N1313" i="2"/>
  <c r="O1313" i="2"/>
  <c r="D1314" i="2"/>
  <c r="G1314" i="2"/>
  <c r="H1314" i="2"/>
  <c r="L1314" i="2"/>
  <c r="M1314" i="2"/>
  <c r="N1314" i="2"/>
  <c r="O1314" i="2"/>
  <c r="D1315" i="2"/>
  <c r="G1315" i="2"/>
  <c r="H1315" i="2"/>
  <c r="L1315" i="2"/>
  <c r="M1315" i="2"/>
  <c r="N1315" i="2"/>
  <c r="O1315" i="2"/>
  <c r="D1316" i="2"/>
  <c r="G1316" i="2"/>
  <c r="H1316" i="2"/>
  <c r="L1316" i="2"/>
  <c r="M1316" i="2"/>
  <c r="N1316" i="2"/>
  <c r="O1316" i="2"/>
  <c r="D1317" i="2"/>
  <c r="G1317" i="2"/>
  <c r="H1317" i="2"/>
  <c r="L1317" i="2"/>
  <c r="M1317" i="2"/>
  <c r="N1317" i="2"/>
  <c r="O1317" i="2"/>
  <c r="D1318" i="2"/>
  <c r="G1318" i="2"/>
  <c r="H1318" i="2"/>
  <c r="L1318" i="2"/>
  <c r="M1318" i="2"/>
  <c r="N1318" i="2"/>
  <c r="O1318" i="2"/>
  <c r="D1319" i="2"/>
  <c r="G1319" i="2"/>
  <c r="H1319" i="2"/>
  <c r="L1319" i="2"/>
  <c r="M1319" i="2"/>
  <c r="N1319" i="2"/>
  <c r="O1319" i="2"/>
  <c r="D1320" i="2"/>
  <c r="G1320" i="2"/>
  <c r="H1320" i="2"/>
  <c r="L1320" i="2"/>
  <c r="M1320" i="2"/>
  <c r="N1320" i="2"/>
  <c r="O1320" i="2"/>
  <c r="D1321" i="2"/>
  <c r="G1321" i="2"/>
  <c r="H1321" i="2"/>
  <c r="L1321" i="2"/>
  <c r="M1321" i="2"/>
  <c r="N1321" i="2"/>
  <c r="O1321" i="2"/>
  <c r="D1322" i="2"/>
  <c r="G1322" i="2"/>
  <c r="H1322" i="2"/>
  <c r="L1322" i="2"/>
  <c r="M1322" i="2"/>
  <c r="N1322" i="2"/>
  <c r="O1322" i="2"/>
  <c r="D1323" i="2"/>
  <c r="G1323" i="2"/>
  <c r="H1323" i="2"/>
  <c r="L1323" i="2"/>
  <c r="M1323" i="2"/>
  <c r="N1323" i="2"/>
  <c r="O1323" i="2"/>
  <c r="D1324" i="2"/>
  <c r="G1324" i="2"/>
  <c r="H1324" i="2"/>
  <c r="L1324" i="2"/>
  <c r="M1324" i="2"/>
  <c r="N1324" i="2"/>
  <c r="O1324" i="2"/>
  <c r="D1325" i="2"/>
  <c r="G1325" i="2"/>
  <c r="H1325" i="2"/>
  <c r="L1325" i="2"/>
  <c r="M1325" i="2"/>
  <c r="N1325" i="2"/>
  <c r="O1325" i="2"/>
  <c r="D1326" i="2"/>
  <c r="G1326" i="2"/>
  <c r="H1326" i="2"/>
  <c r="L1326" i="2"/>
  <c r="M1326" i="2"/>
  <c r="N1326" i="2"/>
  <c r="O1326" i="2"/>
  <c r="D1327" i="2"/>
  <c r="G1327" i="2"/>
  <c r="H1327" i="2"/>
  <c r="L1327" i="2"/>
  <c r="M1327" i="2"/>
  <c r="N1327" i="2"/>
  <c r="O1327" i="2"/>
  <c r="D1328" i="2"/>
  <c r="G1328" i="2"/>
  <c r="H1328" i="2"/>
  <c r="L1328" i="2"/>
  <c r="M1328" i="2"/>
  <c r="N1328" i="2"/>
  <c r="O1328" i="2"/>
  <c r="D1329" i="2"/>
  <c r="G1329" i="2"/>
  <c r="H1329" i="2"/>
  <c r="L1329" i="2"/>
  <c r="M1329" i="2"/>
  <c r="N1329" i="2"/>
  <c r="O1329" i="2"/>
  <c r="D1330" i="2"/>
  <c r="G1330" i="2"/>
  <c r="H1330" i="2"/>
  <c r="L1330" i="2"/>
  <c r="M1330" i="2"/>
  <c r="N1330" i="2"/>
  <c r="O1330" i="2"/>
  <c r="D1331" i="2"/>
  <c r="G1331" i="2"/>
  <c r="H1331" i="2"/>
  <c r="L1331" i="2"/>
  <c r="M1331" i="2"/>
  <c r="N1331" i="2"/>
  <c r="O1331" i="2"/>
  <c r="D1332" i="2"/>
  <c r="G1332" i="2"/>
  <c r="H1332" i="2"/>
  <c r="L1332" i="2"/>
  <c r="M1332" i="2"/>
  <c r="N1332" i="2"/>
  <c r="O1332" i="2"/>
  <c r="D1333" i="2"/>
  <c r="G1333" i="2"/>
  <c r="H1333" i="2"/>
  <c r="L1333" i="2"/>
  <c r="M1333" i="2"/>
  <c r="N1333" i="2"/>
  <c r="O1333" i="2"/>
  <c r="D1334" i="2"/>
  <c r="G1334" i="2"/>
  <c r="H1334" i="2"/>
  <c r="L1334" i="2"/>
  <c r="M1334" i="2"/>
  <c r="N1334" i="2"/>
  <c r="O1334" i="2"/>
  <c r="D1335" i="2"/>
  <c r="G1335" i="2"/>
  <c r="H1335" i="2"/>
  <c r="L1335" i="2"/>
  <c r="M1335" i="2"/>
  <c r="N1335" i="2"/>
  <c r="O1335" i="2"/>
  <c r="D1336" i="2"/>
  <c r="G1336" i="2"/>
  <c r="H1336" i="2"/>
  <c r="L1336" i="2"/>
  <c r="M1336" i="2"/>
  <c r="N1336" i="2"/>
  <c r="O1336" i="2"/>
  <c r="D1338" i="2"/>
  <c r="G1338" i="2"/>
  <c r="E149" i="1" s="1"/>
  <c r="H1338" i="2"/>
  <c r="F149" i="1" s="1"/>
  <c r="L1338" i="2"/>
  <c r="M1338" i="2"/>
  <c r="N1338" i="2"/>
  <c r="O1338" i="2"/>
  <c r="D1337" i="2"/>
  <c r="G1337" i="2"/>
  <c r="H1337" i="2"/>
  <c r="L1337" i="2"/>
  <c r="M1337" i="2"/>
  <c r="N1337" i="2"/>
  <c r="O1337" i="2"/>
  <c r="D1306" i="2"/>
  <c r="G1306" i="2"/>
  <c r="H1306" i="2"/>
  <c r="L1306" i="2"/>
  <c r="M1306" i="2"/>
  <c r="N1306" i="2"/>
  <c r="O1306" i="2"/>
  <c r="D1305" i="2"/>
  <c r="G1305" i="2"/>
  <c r="H1305" i="2"/>
  <c r="L1305" i="2"/>
  <c r="M1305" i="2"/>
  <c r="N1305" i="2"/>
  <c r="O1305" i="2"/>
  <c r="F187" i="3"/>
  <c r="G187" i="3"/>
  <c r="H187" i="3"/>
  <c r="I187" i="3"/>
  <c r="F186" i="3"/>
  <c r="G186" i="3"/>
  <c r="H186" i="3"/>
  <c r="I186" i="3"/>
  <c r="F185" i="3"/>
  <c r="G185" i="3"/>
  <c r="H185" i="3"/>
  <c r="I185" i="3"/>
  <c r="F184" i="3"/>
  <c r="G184" i="3"/>
  <c r="H184" i="3"/>
  <c r="I184" i="3"/>
  <c r="D1304" i="2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H1257" i="2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E135" i="1" s="1"/>
  <c r="H1098" i="2"/>
  <c r="F135" i="1" s="1"/>
  <c r="C135" i="1"/>
  <c r="D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30" i="1" l="1"/>
  <c r="F147" i="1"/>
  <c r="E147" i="1"/>
  <c r="E130" i="1"/>
  <c r="E148" i="1"/>
  <c r="F148" i="1"/>
  <c r="F144" i="1"/>
  <c r="E124" i="1"/>
  <c r="F131" i="1"/>
  <c r="E145" i="1"/>
  <c r="F145" i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<sst xmlns="http://schemas.openxmlformats.org/spreadsheetml/2006/main" count="1791" uniqueCount="201">
  <si>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</si>
  <si>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</si>
  <si>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</si>
  <si>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</si>
  <si>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</si>
  <si>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</si>
  <si>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</si>
  <si>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</si>
  <si>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</si>
  <si>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</si>
  <si>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</si>
  <si>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</si>
  <si>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</si>
  <si>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</si>
  <si>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</si>
  <si>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</si>
  <si>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</si>
  <si>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</si>
  <si>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</si>
  <si>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</si>
  <si>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</si>
  <si>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</si>
  <si>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</si>
  <si>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</si>
  <si>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</si>
  <si>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</si>
  <si>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</si>
  <si>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</si>
  <si>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</si>
  <si>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</si>
  <si>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</si>
  <si>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</si>
  <si>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</si>
  <si>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</si>
  <si>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</si>
  <si>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</si>
  <si>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</si>
  <si>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</si>
  <si>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</si>
  <si>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</si>
  <si>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</si>
  <si>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</si>
  <si>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</si>
  <si>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</si>
  <si>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</si>
  <si>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</si>
  <si>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</si>
  <si>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</si>
  <si>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</si>
  <si>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</si>
  <si>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</si>
  <si>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</si>
  <si>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</si>
  <si>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</si>
  <si>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</si>
  <si>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</si>
  <si>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</si>
  <si>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</si>
  <si>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</si>
  <si>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</si>
  <si>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</si>
  <si>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</si>
  <si>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</si>
  <si>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</si>
  <si>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</si>
  <si>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</si>
  <si>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</si>
  <si>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</si>
  <si>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</si>
  <si>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</si>
  <si>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</si>
  <si>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</si>
  <si>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</si>
  <si>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</si>
  <si>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</si>
  <si>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</si>
  <si>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</si>
  <si>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</si>
  <si>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</si>
  <si>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</si>
  <si>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</si>
  <si>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</si>
  <si>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</si>
  <si>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</si>
  <si>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</si>
  <si>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</si>
  <si>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</si>
  <si>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</si>
  <si>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</si>
  <si>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</si>
  <si>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</si>
  <si>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</si>
  <si>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</si>
  <si>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</si>
  <si>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</si>
  <si>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</si>
  <si>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</si>
  <si>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</si>
  <si>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</si>
  <si>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</si>
  <si>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</si>
  <si>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</si>
  <si>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</si>
  <si>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</si>
  <si>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</si>
  <si>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</si>
  <si>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</si>
  <si>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</si>
  <si>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</si>
  <si>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</si>
  <si>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</si>
  <si>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</si>
  <si>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</si>
  <si>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</si>
  <si>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</si>
  <si>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</si>
  <si>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</si>
  <si>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</si>
  <si>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</si>
  <si>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</si>
  <si>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</si>
  <si>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</si>
  <si>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</si>
  <si>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</si>
  <si>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</si>
  <si>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</si>
  <si>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</si>
  <si>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</si>
  <si>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</si>
  <si>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</si>
  <si>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</si>
  <si>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</si>
  <si>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</si>
  <si>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</si>
  <si>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</si>
  <si>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</si>
  <si>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</si>
  <si>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</si>
  <si>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</si>
  <si>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</si>
  <si>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</si>
  <si>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</si>
  <si>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</si>
  <si>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</si>
  <si>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</si>
  <si>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</si>
  <si>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</si>
  <si>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</si>
  <si>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</si>
  <si>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</si>
  <si>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</si>
  <si>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</si>
  <si>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</si>
  <si>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</si>
  <si>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</si>
  <si>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</si>
  <si>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</si>
  <si>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</si>
  <si>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</si>
  <si>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</si>
  <si>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</si>
  <si>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</si>
  <si>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</si>
  <si>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</si>
  <si>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</si>
  <si>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</si>
  <si>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</si>
  <si>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</si>
  <si>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</si>
  <si>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</si>
  <si>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</si>
  <si>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</si>
  <si>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</si>
  <si>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</si>
  <si>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</si>
  <si>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</si>
  <si>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</si>
  <si>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</si>
  <si>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</si>
  <si>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</si>
  <si>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</si>
  <si>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</si>
  <si>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</si>
  <si>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</si>
  <si>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</si>
  <si>
    <t>Богдан</t>
  </si>
  <si>
    <t>Анар</t>
  </si>
  <si>
    <t>Лето 2026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</si>
  <si>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</si>
  <si>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</si>
  <si>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</si>
  <si>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</si>
  <si>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</si>
  <si>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</si>
  <si>
    <t>Федя Бохан</t>
  </si>
  <si>
    <t>Женя Ионов</t>
  </si>
  <si>
    <t>Никита Лунев</t>
  </si>
  <si>
    <t>Дима (Логинов+1)</t>
  </si>
  <si>
    <t>Арсен (Логинов+1)</t>
  </si>
  <si>
    <t>Артур (Логинов+1)</t>
  </si>
  <si>
    <t>Остап (Логинов+1)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</si>
</sst>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62" totalsRowShown="0" headerRowDxfId="59" headerRowBorderDxfId="58" tableBorderDxfId="57" totalsRowBorderDxfId="56">
  <autoFilter ref="A1:G162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414" totalsRowShown="0" headerRowDxfId="48" dataDxfId="46" headerRowBorderDxfId="47" tableBorderDxfId="45" totalsRowBorderDxfId="44">
  <autoFilter ref="A1:O1414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97" totalsRowShown="0" headerRowDxfId="28" dataDxfId="26" headerRowBorderDxfId="27" tableBorderDxfId="25" totalsRowBorderDxfId="24">
  <autoFilter ref="A1:I197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8" totalsRowShown="0" headerRowDxfId="14" headerRowBorderDxfId="13" tableBorderDxfId="12" totalsRowBorderDxfId="11">
  <autoFilter ref="A1:K8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62"/>
  <sheetViews>
    <sheetView tabSelected="1" topLeftCell="A133" workbookViewId="0">
      <selection activeCell="C176" sqref="C176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102</v>
      </c>
      <c r="D2" s="19">
        <f>SUMIFS(_stats[assists_on_date],_stats[player_id],_players[[#This Row],[player_id]])</f>
        <v>40</v>
      </c>
      <c r="E2" s="19">
        <f>SUMIFS(_stats[wins_on_date],_stats[player_id],_players[[#This Row],[player_id]])</f>
        <v>125</v>
      </c>
      <c r="F2" s="20">
        <f>SUMIFS(_stats[draws_on_date],_stats[player_id],_players[[#This Row],[player_id]])</f>
        <v>20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67</v>
      </c>
      <c r="D3" s="11">
        <f>SUMIFS(_stats[assists_on_date],_stats[player_id],_players[[#This Row],[player_id]])</f>
        <v>45</v>
      </c>
      <c r="E3" s="11">
        <f>SUMIFS(_stats[wins_on_date],_stats[player_id],_players[[#This Row],[player_id]])</f>
        <v>185</v>
      </c>
      <c r="F3" s="12">
        <f>SUMIFS(_stats[draws_on_date],_stats[player_id],_players[[#This Row],[player_id]])</f>
        <v>42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32</v>
      </c>
      <c r="E5" s="21">
        <f>SUMIFS(_stats[wins_on_date],_stats[player_id],_players[[#This Row],[player_id]])</f>
        <v>112</v>
      </c>
      <c r="F5" s="22">
        <f>SUMIFS(_stats[draws_on_date],_stats[player_id],_players[[#This Row],[player_id]])</f>
        <v>20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31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199</v>
      </c>
      <c r="F6" s="17">
        <f>SUMIFS(_stats[draws_on_date],_stats[player_id],_players[[#This Row],[player_id]])</f>
        <v>49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63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108</v>
      </c>
      <c r="F7" s="12">
        <f>SUMIFS(_stats[draws_on_date],_stats[player_id],_players[[#This Row],[player_id]])</f>
        <v>27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41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158</v>
      </c>
      <c r="F8" s="12">
        <f>SUMIFS(_stats[draws_on_date],_stats[player_id],_players[[#This Row],[player_id]])</f>
        <v>46</v>
      </c>
      <c r="G8" s="12">
        <f>SUMIFS(_stats[foul_on_date],_stats[player_id],_players[[#This Row],[player_id]])</f>
        <v>2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74</v>
      </c>
      <c r="F10" s="17">
        <f>SUMIFS(_stats[draws_on_date],_stats[player_id],_players[[#This Row],[player_id]])</f>
        <v>17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79</v>
      </c>
      <c r="D12" s="16">
        <f>SUMIFS(_stats[assists_on_date],_stats[player_id],_players[[#This Row],[player_id]])</f>
        <v>82</v>
      </c>
      <c r="E12" s="16">
        <f>SUMIFS(_stats[wins_on_date],_stats[player_id],_players[[#This Row],[player_id]])</f>
        <v>154</v>
      </c>
      <c r="F12" s="17">
        <f>SUMIFS(_stats[draws_on_date],_stats[player_id],_players[[#This Row],[player_id]])</f>
        <v>48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26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48</v>
      </c>
      <c r="F13" s="12">
        <f>SUMIFS(_stats[draws_on_date],_stats[player_id],_players[[#This Row],[player_id]])</f>
        <v>11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10</v>
      </c>
      <c r="E14" s="11">
        <f>SUMIFS(_stats[wins_on_date],_stats[player_id],_players[[#This Row],[player_id]])</f>
        <v>171</v>
      </c>
      <c r="F14" s="12">
        <f>SUMIFS(_stats[draws_on_date],_stats[player_id],_players[[#This Row],[player_id]])</f>
        <v>46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21</v>
      </c>
      <c r="D15" s="11">
        <f>SUMIFS(_stats[assists_on_date],_stats[player_id],_players[[#This Row],[player_id]])</f>
        <v>40</v>
      </c>
      <c r="E15" s="11">
        <f>SUMIFS(_stats[wins_on_date],_stats[player_id],_players[[#This Row],[player_id]])</f>
        <v>79</v>
      </c>
      <c r="F15" s="12">
        <f>SUMIFS(_stats[draws_on_date],_stats[player_id],_players[[#This Row],[player_id]])</f>
        <v>13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19</v>
      </c>
      <c r="D16" s="11">
        <f>SUMIFS(_stats[assists_on_date],_stats[player_id],_players[[#This Row],[player_id]])</f>
        <v>33</v>
      </c>
      <c r="E16" s="11">
        <f>SUMIFS(_stats[wins_on_date],_stats[player_id],_players[[#This Row],[player_id]])</f>
        <v>67</v>
      </c>
      <c r="F16" s="12">
        <f>SUMIFS(_stats[draws_on_date],_stats[player_id],_players[[#This Row],[player_id]])</f>
        <v>7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18</v>
      </c>
      <c r="E17" s="11">
        <f>SUMIFS(_stats[wins_on_date],_stats[player_id],_players[[#This Row],[player_id]])</f>
        <v>71</v>
      </c>
      <c r="F17" s="12">
        <f>SUMIFS(_stats[draws_on_date],_stats[player_id],_players[[#This Row],[player_id]])</f>
        <v>15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21</v>
      </c>
      <c r="D20" s="11">
        <f>SUMIFS(_stats[assists_on_date],_stats[player_id],_players[[#This Row],[player_id]])</f>
        <v>20</v>
      </c>
      <c r="E20" s="11">
        <f>SUMIFS(_stats[wins_on_date],_stats[player_id],_players[[#This Row],[player_id]])</f>
        <v>119</v>
      </c>
      <c r="F20" s="12">
        <f>SUMIFS(_stats[draws_on_date],_stats[player_id],_players[[#This Row],[player_id]])</f>
        <v>24</v>
      </c>
      <c r="G20" s="12">
        <f>SUMIFS(_stats[foul_on_date],_stats[player_id],_players[[#This Row],[player_id]])</f>
        <v>2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40</v>
      </c>
      <c r="D21" s="11">
        <f>SUMIFS(_stats[assists_on_date],_stats[player_id],_players[[#This Row],[player_id]])</f>
        <v>50</v>
      </c>
      <c r="E21" s="11">
        <f>SUMIFS(_stats[wins_on_date],_stats[player_id],_players[[#This Row],[player_id]])</f>
        <v>135</v>
      </c>
      <c r="F21" s="12">
        <f>SUMIFS(_stats[draws_on_date],_stats[player_id],_players[[#This Row],[player_id]])</f>
        <v>36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128</v>
      </c>
      <c r="F22" s="17">
        <f>SUMIFS(_stats[draws_on_date],_stats[player_id],_players[[#This Row],[player_id]])</f>
        <v>28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125</v>
      </c>
      <c r="F23" s="12">
        <f>SUMIFS(_stats[draws_on_date],_stats[player_id],_players[[#This Row],[player_id]])</f>
        <v>27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17</v>
      </c>
      <c r="D25" s="11">
        <f>SUMIFS(_stats[assists_on_date],_stats[player_id],_players[[#This Row],[player_id]])</f>
        <v>26</v>
      </c>
      <c r="E25" s="11">
        <f>SUMIFS(_stats[wins_on_date],_stats[player_id],_players[[#This Row],[player_id]])</f>
        <v>121</v>
      </c>
      <c r="F25" s="12">
        <f>SUMIFS(_stats[draws_on_date],_stats[player_id],_players[[#This Row],[player_id]])</f>
        <v>38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14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90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65</v>
      </c>
      <c r="F28" s="12">
        <f>SUMIFS(_stats[draws_on_date],_stats[player_id],_players[[#This Row],[player_id]])</f>
        <v>25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50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8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30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79</v>
      </c>
      <c r="F37" s="12">
        <f>SUMIFS(_stats[draws_on_date],_stats[player_id],_players[[#This Row],[player_id]])</f>
        <v>23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16</v>
      </c>
      <c r="D38" s="11">
        <f>SUMIFS(_stats[assists_on_date],_stats[player_id],_players[[#This Row],[player_id]])</f>
        <v>20</v>
      </c>
      <c r="E38" s="11">
        <f>SUMIFS(_stats[wins_on_date],_stats[player_id],_players[[#This Row],[player_id]])</f>
        <v>70</v>
      </c>
      <c r="F38" s="12">
        <f>SUMIFS(_stats[draws_on_date],_stats[player_id],_players[[#This Row],[player_id]])</f>
        <v>25</v>
      </c>
      <c r="G38" s="12">
        <f>SUMIFS(_stats[foul_on_date],_stats[player_id],_players[[#This Row],[player_id]])</f>
        <v>2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156</v>
      </c>
      <c r="F39" s="12">
        <f>SUMIFS(_stats[draws_on_date],_stats[player_id],_players[[#This Row],[player_id]])</f>
        <v>56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17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68</v>
      </c>
      <c r="F42" s="17">
        <f>SUMIFS(_stats[draws_on_date],_stats[player_id],_players[[#This Row],[player_id]])</f>
        <v>20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8</v>
      </c>
      <c r="D43" s="11">
        <f>SUMIFS(_stats[assists_on_date],_stats[player_id],_players[[#This Row],[player_id]])</f>
        <v>11</v>
      </c>
      <c r="E43" s="11">
        <f>SUMIFS(_stats[wins_on_date],_stats[player_id],_players[[#This Row],[player_id]])</f>
        <v>48</v>
      </c>
      <c r="F43" s="12">
        <f>SUMIFS(_stats[draws_on_date],_stats[player_id],_players[[#This Row],[player_id]])</f>
        <v>21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4</v>
      </c>
      <c r="E45" s="16">
        <f>SUMIFS(_stats[wins_on_date],_stats[player_id],_players[[#This Row],[player_id]])</f>
        <v>22</v>
      </c>
      <c r="F45" s="17">
        <f>SUMIFS(_stats[draws_on_date],_stats[player_id],_players[[#This Row],[player_id]])</f>
        <v>4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18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47</v>
      </c>
      <c r="F59" s="18">
        <f>SUMIFS(_stats[draws_on_date],_stats[player_id],_players[[#This Row],[player_id]])</f>
        <v>15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5</v>
      </c>
      <c r="D60" s="10">
        <f>SUMIFS(_stats[assists_on_date],_stats[player_id],_players[[#This Row],[player_id]])</f>
        <v>3</v>
      </c>
      <c r="E60" s="10">
        <f>SUMIFS(_stats[wins_on_date],_stats[player_id],_players[[#This Row],[player_id]])</f>
        <v>12</v>
      </c>
      <c r="F60" s="18">
        <f>SUMIFS(_stats[draws_on_date],_stats[player_id],_players[[#This Row],[player_id]])</f>
        <v>1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107</v>
      </c>
      <c r="F64" s="18">
        <f>SUMIFS(_stats[draws_on_date],_stats[player_id],_players[[#This Row],[player_id]])</f>
        <v>31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75</v>
      </c>
      <c r="F79" s="18">
        <f>SUMIFS(_stats[draws_on_date],_stats[player_id],_players[[#This Row],[player_id]])</f>
        <v>20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22</v>
      </c>
      <c r="F84" s="18">
        <f>SUMIFS(_stats[draws_on_date],_stats[player_id],_players[[#This Row],[player_id]])</f>
        <v>4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9</v>
      </c>
      <c r="E87" s="10">
        <f>SUMIFS(_stats[wins_on_date],_stats[player_id],_players[[#This Row],[player_id]])</f>
        <v>35</v>
      </c>
      <c r="F87" s="18">
        <f>SUMIFS(_stats[draws_on_date],_stats[player_id],_players[[#This Row],[player_id]])</f>
        <v>12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15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8</v>
      </c>
      <c r="F109" s="18">
        <f>SUMIFS(_stats[draws_on_date],_stats[player_id],_players[[#This Row],[player_id]])</f>
        <v>6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43</v>
      </c>
      <c r="F110" s="18">
        <f>SUMIFS(_stats[draws_on_date],_stats[player_id],_players[[#This Row],[player_id]])</f>
        <v>18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10</v>
      </c>
      <c r="D120" s="10">
        <f>SUMIFS(_stats[assists_on_date],_stats[player_id],_players[[#This Row],[player_id]])</f>
        <v>7</v>
      </c>
      <c r="E120" s="10">
        <f>SUMIFS(_stats[wins_on_date],_stats[player_id],_players[[#This Row],[player_id]])</f>
        <v>41</v>
      </c>
      <c r="F120" s="18">
        <f>SUMIFS(_stats[draws_on_date],_stats[player_id],_players[[#This Row],[player_id]])</f>
        <v>18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18</v>
      </c>
      <c r="E121" s="10">
        <f>SUMIFS(_stats[wins_on_date],_stats[player_id],_players[[#This Row],[player_id]])</f>
        <v>67</v>
      </c>
      <c r="F121" s="18">
        <f>SUMIFS(_stats[draws_on_date],_stats[player_id],_players[[#This Row],[player_id]])</f>
        <v>25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9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21</v>
      </c>
      <c r="F126" s="18">
        <f>SUMIFS(_stats[draws_on_date],_stats[player_id],_players[[#This Row],[player_id]])</f>
        <v>12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6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13</v>
      </c>
      <c r="F134" s="18">
        <f>SUMIFS(_stats[draws_on_date],_stats[player_id],_players[[#This Row],[player_id]])</f>
        <v>4</v>
      </c>
      <c r="G134" s="18">
        <f>SUMIFS(_stats[foul_on_date],_stats[player_id],_players[[#This Row],[player_id]])</f>
        <v>2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2</v>
      </c>
      <c r="E137" s="10">
        <f>SUMIFS(_stats[wins_on_date],_stats[player_id],_players[[#This Row],[player_id]])</f>
        <v>20</v>
      </c>
      <c r="F137" s="18">
        <f>SUMIFS(_stats[draws_on_date],_stats[player_id],_players[[#This Row],[player_id]])</f>
        <v>6</v>
      </c>
      <c r="G137" s="18">
        <f>SUMIFS(_stats[foul_on_date],_stats[player_id],_players[[#This Row],[player_id]])</f>
        <v>1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7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7</v>
      </c>
      <c r="F140" s="18">
        <f>SUMIFS(_stats[draws_on_date],_stats[player_id],_players[[#This Row],[player_id]])</f>
        <v>9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4</v>
      </c>
      <c r="D145" s="10">
        <f>SUMIFS(_stats[assists_on_date],_stats[player_id],_players[[#This Row],[player_id]])</f>
        <v>3</v>
      </c>
      <c r="E145" s="10">
        <f>SUMIFS(_stats[wins_on_date],_stats[player_id],_players[[#This Row],[player_id]])</f>
        <v>13</v>
      </c>
      <c r="F145" s="18">
        <f>SUMIFS(_stats[draws_on_date],_stats[player_id],_players[[#This Row],[player_id]])</f>
        <v>6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185</v>
      </c>
      <c r="B148" s="36" t="s">
        <v>185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9</v>
      </c>
      <c r="F148" s="18">
        <f>SUMIFS(_stats[draws_on_date],_stats[player_id],_players[[#This Row],[player_id]])</f>
        <v>8</v>
      </c>
      <c r="G148" s="18">
        <f>SUMIFS(_stats[foul_on_date],_stats[player_id],_players[[#This Row],[player_id]])</f>
        <v>1</v>
      </c>
    </row>
    <row r="149" spans="1:7" x14ac:dyDescent="0.25">
      <c r="A149" s="36" t="s">
        <v>186</v>
      </c>
      <c r="B149" s="36" t="s">
        <v>186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188</v>
      </c>
      <c r="B150" s="36" t="s">
        <v>188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189</v>
      </c>
      <c r="B151" s="36" t="s">
        <v>189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0</v>
      </c>
      <c r="F151" s="18">
        <f>SUMIFS(_stats[draws_on_date],_stats[player_id],_players[[#This Row],[player_id]])</f>
        <v>2</v>
      </c>
      <c r="G151" s="18">
        <f>SUMIFS(_stats[foul_on_date],_stats[player_id],_players[[#This Row],[player_id]])</f>
        <v>1</v>
      </c>
    </row>
    <row r="152" spans="1:7" x14ac:dyDescent="0.25">
      <c r="A152" s="36" t="s">
        <v>190</v>
      </c>
      <c r="B152" s="36" t="s">
        <v>190</v>
      </c>
      <c r="C152" s="10">
        <f>SUMIFS(_stats[goals_on_date],_stats[player_id],_players[[#This Row],[player_id]])</f>
        <v>4</v>
      </c>
      <c r="D152" s="10">
        <f>SUMIFS(_stats[assists_on_date],_stats[player_id],_players[[#This Row],[player_id]])</f>
        <v>2</v>
      </c>
      <c r="E152" s="10">
        <f>SUMIFS(_stats[wins_on_date],_stats[player_id],_players[[#This Row],[player_id]])</f>
        <v>17</v>
      </c>
      <c r="F152" s="18">
        <f>SUMIFS(_stats[draws_on_date],_stats[player_id],_players[[#This Row],[player_id]])</f>
        <v>2</v>
      </c>
      <c r="G152" s="18">
        <f>SUMIFS(_stats[foul_on_date],_stats[player_id],_players[[#This Row],[player_id]])</f>
        <v>0</v>
      </c>
    </row>
    <row r="153" spans="1:7" x14ac:dyDescent="0.25">
      <c r="A153" s="36" t="s">
        <v>191</v>
      </c>
      <c r="B153" s="36" t="s">
        <v>191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192</v>
      </c>
      <c r="B154" s="36" t="s">
        <v>192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193</v>
      </c>
      <c r="B155" s="36" t="s">
        <v>193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  <row r="156" spans="1:7" x14ac:dyDescent="0.25">
      <c r="A156" s="36" t="s">
        <v>194</v>
      </c>
      <c r="B156" s="36" t="s">
        <v>194</v>
      </c>
      <c r="C156" s="10">
        <f>SUMIFS(_stats[goals_on_date],_stats[player_id],_players[[#This Row],[player_id]])</f>
        <v>0</v>
      </c>
      <c r="D156" s="10">
        <f>SUMIFS(_stats[assists_on_date],_stats[player_id],_players[[#This Row],[player_id]])</f>
        <v>0</v>
      </c>
      <c r="E156" s="10">
        <f>SUMIFS(_stats[wins_on_date],_stats[player_id],_players[[#This Row],[player_id]])</f>
        <v>2</v>
      </c>
      <c r="F156" s="18">
        <f>SUMIFS(_stats[draws_on_date],_stats[player_id],_players[[#This Row],[player_id]])</f>
        <v>3</v>
      </c>
      <c r="G156" s="18">
        <f>SUMIFS(_stats[foul_on_date],_stats[player_id],_players[[#This Row],[player_id]])</f>
        <v>0</v>
      </c>
    </row>
    <row r="157" spans="1:7" x14ac:dyDescent="0.25">
      <c r="A157" s="36" t="s">
        <v>195</v>
      </c>
      <c r="B157" s="36" t="s">
        <v>195</v>
      </c>
      <c r="C157" s="10">
        <f>SUMIFS(_stats[goals_on_date],_stats[player_id],_players[[#This Row],[player_id]])</f>
        <v>0</v>
      </c>
      <c r="D157" s="10">
        <f>SUMIFS(_stats[assists_on_date],_stats[player_id],_players[[#This Row],[player_id]])</f>
        <v>2</v>
      </c>
      <c r="E157" s="10">
        <f>SUMIFS(_stats[wins_on_date],_stats[player_id],_players[[#This Row],[player_id]])</f>
        <v>2</v>
      </c>
      <c r="F157" s="18">
        <f>SUMIFS(_stats[draws_on_date],_stats[player_id],_players[[#This Row],[player_id]])</f>
        <v>3</v>
      </c>
      <c r="G157" s="18">
        <f>SUMIFS(_stats[foul_on_date],_stats[player_id],_players[[#This Row],[player_id]])</f>
        <v>0</v>
      </c>
    </row>
    <row r="158" spans="1:7" x14ac:dyDescent="0.25">
      <c r="A158" s="36" t="s">
        <v>196</v>
      </c>
      <c r="B158" s="36" t="s">
        <v>196</v>
      </c>
      <c r="C158" s="10">
        <f>SUMIFS(_stats[goals_on_date],_stats[player_id],_players[[#This Row],[player_id]])</f>
        <v>1</v>
      </c>
      <c r="D158" s="10">
        <f>SUMIFS(_stats[assists_on_date],_stats[player_id],_players[[#This Row],[player_id]])</f>
        <v>1</v>
      </c>
      <c r="E158" s="10">
        <f>SUMIFS(_stats[wins_on_date],_stats[player_id],_players[[#This Row],[player_id]])</f>
        <v>4</v>
      </c>
      <c r="F158" s="18">
        <f>SUMIFS(_stats[draws_on_date],_stats[player_id],_players[[#This Row],[player_id]])</f>
        <v>2</v>
      </c>
      <c r="G158" s="18">
        <f>SUMIFS(_stats[foul_on_date],_stats[player_id],_players[[#This Row],[player_id]])</f>
        <v>0</v>
      </c>
    </row>
    <row r="159" spans="1:7" x14ac:dyDescent="0.25">
      <c r="A159" s="36" t="s">
        <v>197</v>
      </c>
      <c r="B159" s="36" t="s">
        <v>197</v>
      </c>
      <c r="C159" s="10">
        <f>SUMIFS(_stats[goals_on_date],_stats[player_id],_players[[#This Row],[player_id]])</f>
        <v>0</v>
      </c>
      <c r="D159" s="10">
        <f>SUMIFS(_stats[assists_on_date],_stats[player_id],_players[[#This Row],[player_id]])</f>
        <v>0</v>
      </c>
      <c r="E159" s="10">
        <f>SUMIFS(_stats[wins_on_date],_stats[player_id],_players[[#This Row],[player_id]])</f>
        <v>10</v>
      </c>
      <c r="F159" s="18">
        <f>SUMIFS(_stats[draws_on_date],_stats[player_id],_players[[#This Row],[player_id]])</f>
        <v>1</v>
      </c>
      <c r="G159" s="18">
        <f>SUMIFS(_stats[foul_on_date],_stats[player_id],_players[[#This Row],[player_id]])</f>
        <v>0</v>
      </c>
    </row>
    <row r="160" spans="1:7" x14ac:dyDescent="0.25">
      <c r="A160" s="36" t="s">
        <v>198</v>
      </c>
      <c r="B160" s="36" t="s">
        <v>198</v>
      </c>
      <c r="C160" s="10">
        <f>SUMIFS(_stats[goals_on_date],_stats[player_id],_players[[#This Row],[player_id]])</f>
        <v>2</v>
      </c>
      <c r="D160" s="10">
        <f>SUMIFS(_stats[assists_on_date],_stats[player_id],_players[[#This Row],[player_id]])</f>
        <v>0</v>
      </c>
      <c r="E160" s="10">
        <f>SUMIFS(_stats[wins_on_date],_stats[player_id],_players[[#This Row],[player_id]])</f>
        <v>10</v>
      </c>
      <c r="F160" s="18">
        <f>SUMIFS(_stats[draws_on_date],_stats[player_id],_players[[#This Row],[player_id]])</f>
        <v>1</v>
      </c>
      <c r="G160" s="18">
        <f>SUMIFS(_stats[foul_on_date],_stats[player_id],_players[[#This Row],[player_id]])</f>
        <v>0</v>
      </c>
    </row>
    <row r="161" spans="1:7" x14ac:dyDescent="0.25">
      <c r="A161" s="36" t="s">
        <v>199</v>
      </c>
      <c r="B161" s="36" t="s">
        <v>199</v>
      </c>
      <c r="C161" s="10">
        <f>SUMIFS(_stats[goals_on_date],_stats[player_id],_players[[#This Row],[player_id]])</f>
        <v>4</v>
      </c>
      <c r="D161" s="10">
        <f>SUMIFS(_stats[assists_on_date],_stats[player_id],_players[[#This Row],[player_id]])</f>
        <v>3</v>
      </c>
      <c r="E161" s="10">
        <f>SUMIFS(_stats[wins_on_date],_stats[player_id],_players[[#This Row],[player_id]])</f>
        <v>10</v>
      </c>
      <c r="F161" s="18">
        <f>SUMIFS(_stats[draws_on_date],_stats[player_id],_players[[#This Row],[player_id]])</f>
        <v>1</v>
      </c>
      <c r="G161" s="18">
        <f>SUMIFS(_stats[foul_on_date],_stats[player_id],_players[[#This Row],[player_id]])</f>
        <v>0</v>
      </c>
    </row>
    <row r="162" spans="1:7" x14ac:dyDescent="0.25">
      <c r="A162" s="36" t="s">
        <v>200</v>
      </c>
      <c r="B162" s="36" t="s">
        <v>200</v>
      </c>
      <c r="C162" s="10">
        <f>SUMIFS(_stats[goals_on_date],_stats[player_id],_players[[#This Row],[player_id]])</f>
        <v>5</v>
      </c>
      <c r="D162" s="10">
        <f>SUMIFS(_stats[assists_on_date],_stats[player_id],_players[[#This Row],[player_id]])</f>
        <v>3</v>
      </c>
      <c r="E162" s="10">
        <f>SUMIFS(_stats[wins_on_date],_stats[player_id],_players[[#This Row],[player_id]])</f>
        <v>10</v>
      </c>
      <c r="F162" s="18">
        <f>SUMIFS(_stats[draws_on_date],_stats[player_id],_players[[#This Row],[player_id]])</f>
        <v>1</v>
      </c>
      <c r="G162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414"/>
  <sheetViews>
    <sheetView topLeftCell="A1366" zoomScale="85" zoomScaleNormal="85" workbookViewId="0">
      <selection activeCell="A1414" sqref="A1414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64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124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67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59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63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135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75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140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182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54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134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85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159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25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10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146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14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59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64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185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15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134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11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79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135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28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22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19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52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32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184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120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47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54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34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29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21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57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144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145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152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42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124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39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186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59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28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42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152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17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79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19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134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25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18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32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52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185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188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41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82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189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38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34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190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53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191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192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49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193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  <row r="1364" spans="1:15" x14ac:dyDescent="0.25">
      <c r="A1364" s="6">
        <v>46198</v>
      </c>
      <c r="B1364" s="7">
        <v>2</v>
      </c>
      <c r="C1364" s="7" t="s">
        <v>194</v>
      </c>
      <c r="D1364" s="10" t="str">
        <f>IFERROR(VLOOKUP(_stats[[#This Row],[player_id]],_players[[player_id]:[player_name]],2,0),"")</f>
        <v>Федя Бохан</v>
      </c>
      <c r="E1364" s="7">
        <v>0</v>
      </c>
      <c r="F1364" s="8">
        <v>0</v>
      </c>
      <c r="G1364" s="10">
        <f>SUMIFS(_teams[wins_on_date],_teams[date],_stats[[#This Row],[date]],_teams[team_number],_stats[[#This Row],[team_number]])</f>
        <v>2</v>
      </c>
      <c r="H1364" s="10">
        <f>SUMIFS(_teams[draws_on_date],_teams[date],_stats[[#This Row],[date]],_teams[team_number],_stats[[#This Row],[team_number]])</f>
        <v>3</v>
      </c>
      <c r="I1364" s="10">
        <v>1</v>
      </c>
      <c r="J1364" s="10">
        <v>0</v>
      </c>
      <c r="K1364" s="60">
        <v>7</v>
      </c>
      <c r="L1364" s="55" t="str">
        <f>VLOOKUP(_stats[[#This Row],[tournament]],tournaments_n_rules[],2,0)</f>
        <v>УПК</v>
      </c>
      <c r="M1364" s="55" t="str">
        <f>VLOOKUP(_stats[[#This Row],[tournament]],tournaments_n_rules[],3,0)</f>
        <v>Лето 2026</v>
      </c>
      <c r="N1364" s="56">
        <f>VLOOKUP(_stats[[#This Row],[tournament]],tournaments_n_rules[],4,0)</f>
        <v>46194</v>
      </c>
      <c r="O1364" s="56">
        <f>VLOOKUP(_stats[[#This Row],[tournament]],tournaments_n_rules[],5,0)</f>
        <v>46265</v>
      </c>
    </row>
    <row r="1365" spans="1:15" x14ac:dyDescent="0.25">
      <c r="A1365" s="6">
        <v>46198</v>
      </c>
      <c r="B1365" s="7">
        <v>1</v>
      </c>
      <c r="C1365" s="7" t="s">
        <v>196</v>
      </c>
      <c r="D1365" s="10" t="str">
        <f>IFERROR(VLOOKUP(_stats[[#This Row],[player_id]],_players[[player_id]:[player_name]],2,0),"")</f>
        <v>Никита Лунев</v>
      </c>
      <c r="E1365" s="7">
        <v>1</v>
      </c>
      <c r="F1365" s="8">
        <v>1</v>
      </c>
      <c r="G1365" s="10">
        <f>SUMIFS(_teams[wins_on_date],_teams[date],_stats[[#This Row],[date]],_teams[team_number],_stats[[#This Row],[team_number]])</f>
        <v>4</v>
      </c>
      <c r="H1365" s="10">
        <f>SUMIFS(_teams[draws_on_date],_teams[date],_stats[[#This Row],[date]],_teams[team_number],_stats[[#This Row],[team_number]])</f>
        <v>2</v>
      </c>
      <c r="I1365" s="10">
        <v>0</v>
      </c>
      <c r="J1365" s="10">
        <v>0</v>
      </c>
      <c r="K1365" s="60">
        <v>7</v>
      </c>
      <c r="L1365" s="55" t="str">
        <f>VLOOKUP(_stats[[#This Row],[tournament]],tournaments_n_rules[],2,0)</f>
        <v>УПК</v>
      </c>
      <c r="M1365" s="55" t="str">
        <f>VLOOKUP(_stats[[#This Row],[tournament]],tournaments_n_rules[],3,0)</f>
        <v>Лето 2026</v>
      </c>
      <c r="N1365" s="56">
        <f>VLOOKUP(_stats[[#This Row],[tournament]],tournaments_n_rules[],4,0)</f>
        <v>46194</v>
      </c>
      <c r="O1365" s="56">
        <f>VLOOKUP(_stats[[#This Row],[tournament]],tournaments_n_rules[],5,0)</f>
        <v>46265</v>
      </c>
    </row>
    <row r="1366" spans="1:15" x14ac:dyDescent="0.25">
      <c r="A1366" s="6">
        <v>46198</v>
      </c>
      <c r="B1366" s="7">
        <v>2</v>
      </c>
      <c r="C1366" s="7" t="s">
        <v>195</v>
      </c>
      <c r="D1366" s="10" t="str">
        <f>IFERROR(VLOOKUP(_stats[[#This Row],[player_id]],_players[[player_id]:[player_name]],2,0),"")</f>
        <v>Женя Ионов</v>
      </c>
      <c r="E1366" s="7">
        <v>0</v>
      </c>
      <c r="F1366" s="8">
        <v>2</v>
      </c>
      <c r="G1366" s="10">
        <f>SUMIFS(_teams[wins_on_date],_teams[date],_stats[[#This Row],[date]],_teams[team_number],_stats[[#This Row],[team_number]])</f>
        <v>2</v>
      </c>
      <c r="H1366" s="10">
        <f>SUMIFS(_teams[draws_on_date],_teams[date],_stats[[#This Row],[date]],_teams[team_number],_stats[[#This Row],[team_number]])</f>
        <v>3</v>
      </c>
      <c r="I1366" s="10">
        <v>0</v>
      </c>
      <c r="J1366" s="10">
        <v>0</v>
      </c>
      <c r="K1366" s="60">
        <v>7</v>
      </c>
      <c r="L1366" s="55" t="str">
        <f>VLOOKUP(_stats[[#This Row],[tournament]],tournaments_n_rules[],2,0)</f>
        <v>УПК</v>
      </c>
      <c r="M1366" s="55" t="str">
        <f>VLOOKUP(_stats[[#This Row],[tournament]],tournaments_n_rules[],3,0)</f>
        <v>Лето 2026</v>
      </c>
      <c r="N1366" s="56">
        <f>VLOOKUP(_stats[[#This Row],[tournament]],tournaments_n_rules[],4,0)</f>
        <v>46194</v>
      </c>
      <c r="O1366" s="56">
        <f>VLOOKUP(_stats[[#This Row],[tournament]],tournaments_n_rules[],5,0)</f>
        <v>46265</v>
      </c>
    </row>
    <row r="1367" spans="1:15" x14ac:dyDescent="0.25">
      <c r="A1367" s="6">
        <v>46198</v>
      </c>
      <c r="B1367" s="7">
        <v>1</v>
      </c>
      <c r="C1367" s="7" t="s">
        <v>44</v>
      </c>
      <c r="D1367" s="10" t="str">
        <f>IFERROR(VLOOKUP(_stats[[#This Row],[player_id]],_players[[player_id]:[player_name]],2,0),"")</f>
        <v>Кирилл Попов</v>
      </c>
      <c r="E1367" s="7">
        <v>2</v>
      </c>
      <c r="F1367" s="8">
        <v>1</v>
      </c>
      <c r="G1367" s="10">
        <f>SUMIFS(_teams[wins_on_date],_teams[date],_stats[[#This Row],[date]],_teams[team_number],_stats[[#This Row],[team_number]])</f>
        <v>4</v>
      </c>
      <c r="H1367" s="10">
        <f>SUMIFS(_teams[draws_on_date],_teams[date],_stats[[#This Row],[date]],_teams[team_number],_stats[[#This Row],[team_number]])</f>
        <v>2</v>
      </c>
      <c r="I1367" s="10">
        <v>0</v>
      </c>
      <c r="J1367" s="10">
        <v>0</v>
      </c>
      <c r="K1367" s="60">
        <v>7</v>
      </c>
      <c r="L1367" s="55" t="str">
        <f>VLOOKUP(_stats[[#This Row],[tournament]],tournaments_n_rules[],2,0)</f>
        <v>УПК</v>
      </c>
      <c r="M1367" s="55" t="str">
        <f>VLOOKUP(_stats[[#This Row],[tournament]],tournaments_n_rules[],3,0)</f>
        <v>Лето 2026</v>
      </c>
      <c r="N1367" s="56">
        <f>VLOOKUP(_stats[[#This Row],[tournament]],tournaments_n_rules[],4,0)</f>
        <v>46194</v>
      </c>
      <c r="O1367" s="56">
        <f>VLOOKUP(_stats[[#This Row],[tournament]],tournaments_n_rules[],5,0)</f>
        <v>46265</v>
      </c>
    </row>
    <row r="1368" spans="1:15" x14ac:dyDescent="0.25">
      <c r="A1368" s="6">
        <v>46198</v>
      </c>
      <c r="B1368" s="7">
        <v>3</v>
      </c>
      <c r="C1368" s="7" t="s">
        <v>21</v>
      </c>
      <c r="D1368" s="10" t="str">
        <f>IFERROR(VLOOKUP(_stats[[#This Row],[player_id]],_players[[player_id]:[player_name]],2,0),"")</f>
        <v>Влад</v>
      </c>
      <c r="E1368" s="7">
        <v>0</v>
      </c>
      <c r="F1368" s="8">
        <v>1</v>
      </c>
      <c r="G1368" s="10">
        <f>SUMIFS(_teams[wins_on_date],_teams[date],_stats[[#This Row],[date]],_teams[team_number],_stats[[#This Row],[team_number]])</f>
        <v>2</v>
      </c>
      <c r="H1368" s="10">
        <f>SUMIFS(_teams[draws_on_date],_teams[date],_stats[[#This Row],[date]],_teams[team_number],_stats[[#This Row],[team_number]])</f>
        <v>1</v>
      </c>
      <c r="I1368" s="10">
        <v>0</v>
      </c>
      <c r="J1368" s="10">
        <v>0</v>
      </c>
      <c r="K1368" s="60">
        <v>7</v>
      </c>
      <c r="L1368" s="55" t="str">
        <f>VLOOKUP(_stats[[#This Row],[tournament]],tournaments_n_rules[],2,0)</f>
        <v>УПК</v>
      </c>
      <c r="M1368" s="55" t="str">
        <f>VLOOKUP(_stats[[#This Row],[tournament]],tournaments_n_rules[],3,0)</f>
        <v>Лето 2026</v>
      </c>
      <c r="N1368" s="56">
        <f>VLOOKUP(_stats[[#This Row],[tournament]],tournaments_n_rules[],4,0)</f>
        <v>46194</v>
      </c>
      <c r="O1368" s="56">
        <f>VLOOKUP(_stats[[#This Row],[tournament]],tournaments_n_rules[],5,0)</f>
        <v>46265</v>
      </c>
    </row>
    <row r="1369" spans="1:15" x14ac:dyDescent="0.25">
      <c r="A1369" s="6">
        <v>46198</v>
      </c>
      <c r="B1369" s="7">
        <v>3</v>
      </c>
      <c r="C1369" s="7" t="s">
        <v>94</v>
      </c>
      <c r="D1369" s="10" t="str">
        <f>IFERROR(VLOOKUP(_stats[[#This Row],[player_id]],_players[[player_id]:[player_name]],2,0),"")</f>
        <v>Энтони Тепеев</v>
      </c>
      <c r="E1369" s="7">
        <v>0</v>
      </c>
      <c r="F1369" s="8">
        <v>1</v>
      </c>
      <c r="G1369" s="10">
        <f>SUMIFS(_teams[wins_on_date],_teams[date],_stats[[#This Row],[date]],_teams[team_number],_stats[[#This Row],[team_number]])</f>
        <v>2</v>
      </c>
      <c r="H1369" s="10">
        <f>SUMIFS(_teams[draws_on_date],_teams[date],_stats[[#This Row],[date]],_teams[team_number],_stats[[#This Row],[team_number]])</f>
        <v>1</v>
      </c>
      <c r="I1369" s="10">
        <v>0</v>
      </c>
      <c r="J1369" s="10">
        <v>0</v>
      </c>
      <c r="K1369" s="60">
        <v>7</v>
      </c>
      <c r="L1369" s="55" t="str">
        <f>VLOOKUP(_stats[[#This Row],[tournament]],tournaments_n_rules[],2,0)</f>
        <v>УПК</v>
      </c>
      <c r="M1369" s="55" t="str">
        <f>VLOOKUP(_stats[[#This Row],[tournament]],tournaments_n_rules[],3,0)</f>
        <v>Лето 2026</v>
      </c>
      <c r="N1369" s="56">
        <f>VLOOKUP(_stats[[#This Row],[tournament]],tournaments_n_rules[],4,0)</f>
        <v>46194</v>
      </c>
      <c r="O1369" s="56">
        <f>VLOOKUP(_stats[[#This Row],[tournament]],tournaments_n_rules[],5,0)</f>
        <v>46265</v>
      </c>
    </row>
    <row r="1370" spans="1:15" x14ac:dyDescent="0.25">
      <c r="A1370" s="6">
        <v>46198</v>
      </c>
      <c r="B1370" s="7">
        <v>1</v>
      </c>
      <c r="C1370" s="7" t="s">
        <v>12</v>
      </c>
      <c r="D1370" s="10" t="str">
        <f>IFERROR(VLOOKUP(_stats[[#This Row],[player_id]],_players[[player_id]:[player_name]],2,0),"")</f>
        <v>Толя Шлаев</v>
      </c>
      <c r="E1370" s="7">
        <v>0</v>
      </c>
      <c r="F1370" s="8">
        <v>0</v>
      </c>
      <c r="G1370" s="10">
        <f>SUMIFS(_teams[wins_on_date],_teams[date],_stats[[#This Row],[date]],_teams[team_number],_stats[[#This Row],[team_number]])</f>
        <v>4</v>
      </c>
      <c r="H1370" s="10">
        <f>SUMIFS(_teams[draws_on_date],_teams[date],_stats[[#This Row],[date]],_teams[team_number],_stats[[#This Row],[team_number]])</f>
        <v>2</v>
      </c>
      <c r="I1370" s="10">
        <v>0</v>
      </c>
      <c r="J1370" s="10">
        <v>0</v>
      </c>
      <c r="K1370" s="60">
        <v>7</v>
      </c>
      <c r="L1370" s="55" t="str">
        <f>VLOOKUP(_stats[[#This Row],[tournament]],tournaments_n_rules[],2,0)</f>
        <v>УПК</v>
      </c>
      <c r="M1370" s="55" t="str">
        <f>VLOOKUP(_stats[[#This Row],[tournament]],tournaments_n_rules[],3,0)</f>
        <v>Лето 2026</v>
      </c>
      <c r="N1370" s="56">
        <f>VLOOKUP(_stats[[#This Row],[tournament]],tournaments_n_rules[],4,0)</f>
        <v>46194</v>
      </c>
      <c r="O1370" s="56">
        <f>VLOOKUP(_stats[[#This Row],[tournament]],tournaments_n_rules[],5,0)</f>
        <v>46265</v>
      </c>
    </row>
    <row r="1371" spans="1:15" x14ac:dyDescent="0.25">
      <c r="A1371" s="6">
        <v>46198</v>
      </c>
      <c r="B1371" s="7">
        <v>2</v>
      </c>
      <c r="C1371" s="7" t="s">
        <v>155</v>
      </c>
      <c r="D1371" s="10" t="str">
        <f>IFERROR(VLOOKUP(_stats[[#This Row],[player_id]],_players[[player_id]:[player_name]],2,0),"")</f>
        <v>Никита Марс (АК+1)</v>
      </c>
      <c r="E1371" s="7">
        <v>1</v>
      </c>
      <c r="F1371" s="8">
        <v>0</v>
      </c>
      <c r="G1371" s="10">
        <f>SUMIFS(_teams[wins_on_date],_teams[date],_stats[[#This Row],[date]],_teams[team_number],_stats[[#This Row],[team_number]])</f>
        <v>2</v>
      </c>
      <c r="H1371" s="10">
        <f>SUMIFS(_teams[draws_on_date],_teams[date],_stats[[#This Row],[date]],_teams[team_number],_stats[[#This Row],[team_number]])</f>
        <v>3</v>
      </c>
      <c r="I1371" s="10">
        <v>0</v>
      </c>
      <c r="J1371" s="10">
        <v>0</v>
      </c>
      <c r="K1371" s="60">
        <v>7</v>
      </c>
      <c r="L1371" s="55" t="str">
        <f>VLOOKUP(_stats[[#This Row],[tournament]],tournaments_n_rules[],2,0)</f>
        <v>УПК</v>
      </c>
      <c r="M1371" s="55" t="str">
        <f>VLOOKUP(_stats[[#This Row],[tournament]],tournaments_n_rules[],3,0)</f>
        <v>Лето 2026</v>
      </c>
      <c r="N1371" s="56">
        <f>VLOOKUP(_stats[[#This Row],[tournament]],tournaments_n_rules[],4,0)</f>
        <v>46194</v>
      </c>
      <c r="O1371" s="56">
        <f>VLOOKUP(_stats[[#This Row],[tournament]],tournaments_n_rules[],5,0)</f>
        <v>46265</v>
      </c>
    </row>
    <row r="1372" spans="1:15" x14ac:dyDescent="0.25">
      <c r="A1372" s="6">
        <v>46198</v>
      </c>
      <c r="B1372" s="7">
        <v>2</v>
      </c>
      <c r="C1372" s="7" t="s">
        <v>123</v>
      </c>
      <c r="D1372" s="10" t="str">
        <f>IFERROR(VLOOKUP(_stats[[#This Row],[player_id]],_players[[player_id]:[player_name]],2,0),"")</f>
        <v>Макс (АК+1)</v>
      </c>
      <c r="E1372" s="7">
        <v>0</v>
      </c>
      <c r="F1372" s="8">
        <v>0</v>
      </c>
      <c r="G1372" s="10">
        <f>SUMIFS(_teams[wins_on_date],_teams[date],_stats[[#This Row],[date]],_teams[team_number],_stats[[#This Row],[team_number]])</f>
        <v>2</v>
      </c>
      <c r="H1372" s="10">
        <f>SUMIFS(_teams[draws_on_date],_teams[date],_stats[[#This Row],[date]],_teams[team_number],_stats[[#This Row],[team_number]])</f>
        <v>3</v>
      </c>
      <c r="I1372" s="10">
        <v>0</v>
      </c>
      <c r="J1372" s="10">
        <v>0</v>
      </c>
      <c r="K1372" s="60">
        <v>7</v>
      </c>
      <c r="L1372" s="55" t="str">
        <f>VLOOKUP(_stats[[#This Row],[tournament]],tournaments_n_rules[],2,0)</f>
        <v>УПК</v>
      </c>
      <c r="M1372" s="55" t="str">
        <f>VLOOKUP(_stats[[#This Row],[tournament]],tournaments_n_rules[],3,0)</f>
        <v>Лето 2026</v>
      </c>
      <c r="N1372" s="56">
        <f>VLOOKUP(_stats[[#This Row],[tournament]],tournaments_n_rules[],4,0)</f>
        <v>46194</v>
      </c>
      <c r="O1372" s="56">
        <f>VLOOKUP(_stats[[#This Row],[tournament]],tournaments_n_rules[],5,0)</f>
        <v>46265</v>
      </c>
    </row>
    <row r="1373" spans="1:15" x14ac:dyDescent="0.25">
      <c r="A1373" s="6">
        <v>46198</v>
      </c>
      <c r="B1373" s="7">
        <v>3</v>
      </c>
      <c r="C1373" s="7" t="s">
        <v>42</v>
      </c>
      <c r="D1373" s="10" t="str">
        <f>IFERROR(VLOOKUP(_stats[[#This Row],[player_id]],_players[[player_id]:[player_name]],2,0),"")</f>
        <v>Нурик</v>
      </c>
      <c r="E1373" s="7">
        <v>0</v>
      </c>
      <c r="F1373" s="8">
        <v>0</v>
      </c>
      <c r="G1373" s="10">
        <f>SUMIFS(_teams[wins_on_date],_teams[date],_stats[[#This Row],[date]],_teams[team_number],_stats[[#This Row],[team_number]])</f>
        <v>2</v>
      </c>
      <c r="H1373" s="10">
        <f>SUMIFS(_teams[draws_on_date],_teams[date],_stats[[#This Row],[date]],_teams[team_number],_stats[[#This Row],[team_number]])</f>
        <v>1</v>
      </c>
      <c r="I1373" s="10">
        <v>0</v>
      </c>
      <c r="J1373" s="10">
        <v>0</v>
      </c>
      <c r="K1373" s="60">
        <v>7</v>
      </c>
      <c r="L1373" s="55" t="str">
        <f>VLOOKUP(_stats[[#This Row],[tournament]],tournaments_n_rules[],2,0)</f>
        <v>УПК</v>
      </c>
      <c r="M1373" s="55" t="str">
        <f>VLOOKUP(_stats[[#This Row],[tournament]],tournaments_n_rules[],3,0)</f>
        <v>Лето 2026</v>
      </c>
      <c r="N1373" s="56">
        <f>VLOOKUP(_stats[[#This Row],[tournament]],tournaments_n_rules[],4,0)</f>
        <v>46194</v>
      </c>
      <c r="O1373" s="56">
        <f>VLOOKUP(_stats[[#This Row],[tournament]],tournaments_n_rules[],5,0)</f>
        <v>46265</v>
      </c>
    </row>
    <row r="1374" spans="1:15" x14ac:dyDescent="0.25">
      <c r="A1374" s="6">
        <v>46198</v>
      </c>
      <c r="B1374" s="7">
        <v>3</v>
      </c>
      <c r="C1374" s="7" t="s">
        <v>47</v>
      </c>
      <c r="D1374" s="10" t="str">
        <f>IFERROR(VLOOKUP(_stats[[#This Row],[player_id]],_players[[player_id]:[player_name]],2,0),"")</f>
        <v>Андрей (АК+1)</v>
      </c>
      <c r="E1374" s="7">
        <v>1</v>
      </c>
      <c r="F1374" s="8">
        <v>1</v>
      </c>
      <c r="G1374" s="10">
        <f>SUMIFS(_teams[wins_on_date],_teams[date],_stats[[#This Row],[date]],_teams[team_number],_stats[[#This Row],[team_number]])</f>
        <v>2</v>
      </c>
      <c r="H1374" s="10">
        <f>SUMIFS(_teams[draws_on_date],_teams[date],_stats[[#This Row],[date]],_teams[team_number],_stats[[#This Row],[team_number]])</f>
        <v>1</v>
      </c>
      <c r="I1374" s="10">
        <v>0</v>
      </c>
      <c r="J1374" s="10">
        <v>0</v>
      </c>
      <c r="K1374" s="60">
        <v>7</v>
      </c>
      <c r="L1374" s="55" t="str">
        <f>VLOOKUP(_stats[[#This Row],[tournament]],tournaments_n_rules[],2,0)</f>
        <v>УПК</v>
      </c>
      <c r="M1374" s="55" t="str">
        <f>VLOOKUP(_stats[[#This Row],[tournament]],tournaments_n_rules[],3,0)</f>
        <v>Лето 2026</v>
      </c>
      <c r="N1374" s="56">
        <f>VLOOKUP(_stats[[#This Row],[tournament]],tournaments_n_rules[],4,0)</f>
        <v>46194</v>
      </c>
      <c r="O1374" s="56">
        <f>VLOOKUP(_stats[[#This Row],[tournament]],tournaments_n_rules[],5,0)</f>
        <v>46265</v>
      </c>
    </row>
    <row r="1375" spans="1:15" x14ac:dyDescent="0.25">
      <c r="A1375" s="6">
        <v>46198</v>
      </c>
      <c r="B1375" s="7">
        <v>1</v>
      </c>
      <c r="C1375" s="7" t="s">
        <v>185</v>
      </c>
      <c r="D1375" s="10" t="str">
        <f>IFERROR(VLOOKUP(_stats[[#This Row],[player_id]],_players[[player_id]:[player_name]],2,0),"")</f>
        <v>Богдан</v>
      </c>
      <c r="E1375" s="7">
        <v>0</v>
      </c>
      <c r="F1375" s="8">
        <v>0</v>
      </c>
      <c r="G1375" s="10">
        <f>SUMIFS(_teams[wins_on_date],_teams[date],_stats[[#This Row],[date]],_teams[team_number],_stats[[#This Row],[team_number]])</f>
        <v>4</v>
      </c>
      <c r="H1375" s="10">
        <f>SUMIFS(_teams[draws_on_date],_teams[date],_stats[[#This Row],[date]],_teams[team_number],_stats[[#This Row],[team_number]])</f>
        <v>2</v>
      </c>
      <c r="I1375" s="10">
        <v>1</v>
      </c>
      <c r="J1375" s="10">
        <v>1</v>
      </c>
      <c r="K1375" s="60">
        <v>7</v>
      </c>
      <c r="L1375" s="55" t="str">
        <f>VLOOKUP(_stats[[#This Row],[tournament]],tournaments_n_rules[],2,0)</f>
        <v>УПК</v>
      </c>
      <c r="M1375" s="55" t="str">
        <f>VLOOKUP(_stats[[#This Row],[tournament]],tournaments_n_rules[],3,0)</f>
        <v>Лето 2026</v>
      </c>
      <c r="N1375" s="56">
        <f>VLOOKUP(_stats[[#This Row],[tournament]],tournaments_n_rules[],4,0)</f>
        <v>46194</v>
      </c>
      <c r="O1375" s="56">
        <f>VLOOKUP(_stats[[#This Row],[tournament]],tournaments_n_rules[],5,0)</f>
        <v>46265</v>
      </c>
    </row>
    <row r="1376" spans="1:15" x14ac:dyDescent="0.25">
      <c r="A1376" s="6">
        <v>46198</v>
      </c>
      <c r="B1376" s="7">
        <v>3</v>
      </c>
      <c r="C1376" s="7" t="s">
        <v>91</v>
      </c>
      <c r="D1376" s="10" t="str">
        <f>IFERROR(VLOOKUP(_stats[[#This Row],[player_id]],_players[[player_id]:[player_name]],2,0),"")</f>
        <v>Жора</v>
      </c>
      <c r="E1376" s="7">
        <v>0</v>
      </c>
      <c r="F1376" s="8">
        <v>0</v>
      </c>
      <c r="G1376" s="10">
        <f>SUMIFS(_teams[wins_on_date],_teams[date],_stats[[#This Row],[date]],_teams[team_number],_stats[[#This Row],[team_number]])</f>
        <v>2</v>
      </c>
      <c r="H1376" s="10">
        <f>SUMIFS(_teams[draws_on_date],_teams[date],_stats[[#This Row],[date]],_teams[team_number],_stats[[#This Row],[team_number]])</f>
        <v>1</v>
      </c>
      <c r="I1376" s="10">
        <v>1</v>
      </c>
      <c r="J1376" s="10">
        <v>0</v>
      </c>
      <c r="K1376" s="60">
        <v>7</v>
      </c>
      <c r="L1376" s="55" t="str">
        <f>VLOOKUP(_stats[[#This Row],[tournament]],tournaments_n_rules[],2,0)</f>
        <v>УПК</v>
      </c>
      <c r="M1376" s="55" t="str">
        <f>VLOOKUP(_stats[[#This Row],[tournament]],tournaments_n_rules[],3,0)</f>
        <v>Лето 2026</v>
      </c>
      <c r="N1376" s="56">
        <f>VLOOKUP(_stats[[#This Row],[tournament]],tournaments_n_rules[],4,0)</f>
        <v>46194</v>
      </c>
      <c r="O1376" s="56">
        <f>VLOOKUP(_stats[[#This Row],[tournament]],tournaments_n_rules[],5,0)</f>
        <v>46265</v>
      </c>
    </row>
    <row r="1377" spans="1:15" x14ac:dyDescent="0.25">
      <c r="A1377" s="6">
        <v>46198</v>
      </c>
      <c r="B1377" s="7">
        <v>1</v>
      </c>
      <c r="C1377" s="7" t="s">
        <v>25</v>
      </c>
      <c r="D1377" s="10" t="str">
        <f>IFERROR(VLOOKUP(_stats[[#This Row],[player_id]],_players[[player_id]:[player_name]],2,0),"")</f>
        <v>Олег Шишкин</v>
      </c>
      <c r="E1377" s="7">
        <v>0</v>
      </c>
      <c r="F1377" s="8">
        <v>0</v>
      </c>
      <c r="G1377" s="10">
        <f>SUMIFS(_teams[wins_on_date],_teams[date],_stats[[#This Row],[date]],_teams[team_number],_stats[[#This Row],[team_number]])</f>
        <v>4</v>
      </c>
      <c r="H1377" s="10">
        <f>SUMIFS(_teams[draws_on_date],_teams[date],_stats[[#This Row],[date]],_teams[team_number],_stats[[#This Row],[team_number]])</f>
        <v>2</v>
      </c>
      <c r="I1377" s="10">
        <v>0</v>
      </c>
      <c r="J1377" s="10">
        <v>0</v>
      </c>
      <c r="K1377" s="60">
        <v>7</v>
      </c>
      <c r="L1377" s="55" t="str">
        <f>VLOOKUP(_stats[[#This Row],[tournament]],tournaments_n_rules[],2,0)</f>
        <v>УПК</v>
      </c>
      <c r="M1377" s="55" t="str">
        <f>VLOOKUP(_stats[[#This Row],[tournament]],tournaments_n_rules[],3,0)</f>
        <v>Лето 2026</v>
      </c>
      <c r="N1377" s="56">
        <f>VLOOKUP(_stats[[#This Row],[tournament]],tournaments_n_rules[],4,0)</f>
        <v>46194</v>
      </c>
      <c r="O1377" s="56">
        <f>VLOOKUP(_stats[[#This Row],[tournament]],tournaments_n_rules[],5,0)</f>
        <v>46265</v>
      </c>
    </row>
    <row r="1378" spans="1:15" x14ac:dyDescent="0.25">
      <c r="A1378" s="6">
        <v>46198</v>
      </c>
      <c r="B1378" s="7">
        <v>1</v>
      </c>
      <c r="C1378" s="7" t="s">
        <v>45</v>
      </c>
      <c r="D1378" s="10" t="str">
        <f>IFERROR(VLOOKUP(_stats[[#This Row],[player_id]],_players[[player_id]:[player_name]],2,0),"")</f>
        <v>Паша</v>
      </c>
      <c r="E1378" s="7">
        <v>5</v>
      </c>
      <c r="F1378" s="8">
        <v>4</v>
      </c>
      <c r="G1378" s="10">
        <f>SUMIFS(_teams[wins_on_date],_teams[date],_stats[[#This Row],[date]],_teams[team_number],_stats[[#This Row],[team_number]])</f>
        <v>4</v>
      </c>
      <c r="H1378" s="10">
        <f>SUMIFS(_teams[draws_on_date],_teams[date],_stats[[#This Row],[date]],_teams[team_number],_stats[[#This Row],[team_number]])</f>
        <v>2</v>
      </c>
      <c r="I1378" s="10">
        <v>0</v>
      </c>
      <c r="J1378" s="10">
        <v>0</v>
      </c>
      <c r="K1378" s="60">
        <v>7</v>
      </c>
      <c r="L1378" s="55" t="str">
        <f>VLOOKUP(_stats[[#This Row],[tournament]],tournaments_n_rules[],2,0)</f>
        <v>УПК</v>
      </c>
      <c r="M1378" s="55" t="str">
        <f>VLOOKUP(_stats[[#This Row],[tournament]],tournaments_n_rules[],3,0)</f>
        <v>Лето 2026</v>
      </c>
      <c r="N1378" s="56">
        <f>VLOOKUP(_stats[[#This Row],[tournament]],tournaments_n_rules[],4,0)</f>
        <v>46194</v>
      </c>
      <c r="O1378" s="56">
        <f>VLOOKUP(_stats[[#This Row],[tournament]],tournaments_n_rules[],5,0)</f>
        <v>46265</v>
      </c>
    </row>
    <row r="1379" spans="1:15" x14ac:dyDescent="0.25">
      <c r="A1379" s="6">
        <v>46198</v>
      </c>
      <c r="B1379" s="7">
        <v>2</v>
      </c>
      <c r="C1379" s="7" t="s">
        <v>63</v>
      </c>
      <c r="D1379" s="10" t="str">
        <f>IFERROR(VLOOKUP(_stats[[#This Row],[player_id]],_players[[player_id]:[player_name]],2,0),"")</f>
        <v>Александр Костюнин</v>
      </c>
      <c r="E1379" s="7">
        <v>0</v>
      </c>
      <c r="F1379" s="8">
        <v>1</v>
      </c>
      <c r="G1379" s="10">
        <f>SUMIFS(_teams[wins_on_date],_teams[date],_stats[[#This Row],[date]],_teams[team_number],_stats[[#This Row],[team_number]])</f>
        <v>2</v>
      </c>
      <c r="H1379" s="10">
        <f>SUMIFS(_teams[draws_on_date],_teams[date],_stats[[#This Row],[date]],_teams[team_number],_stats[[#This Row],[team_number]])</f>
        <v>3</v>
      </c>
      <c r="I1379" s="10">
        <v>0</v>
      </c>
      <c r="J1379" s="10">
        <v>0</v>
      </c>
      <c r="K1379" s="60">
        <v>7</v>
      </c>
      <c r="L1379" s="55" t="str">
        <f>VLOOKUP(_stats[[#This Row],[tournament]],tournaments_n_rules[],2,0)</f>
        <v>УПК</v>
      </c>
      <c r="M1379" s="55" t="str">
        <f>VLOOKUP(_stats[[#This Row],[tournament]],tournaments_n_rules[],3,0)</f>
        <v>Лето 2026</v>
      </c>
      <c r="N1379" s="56">
        <f>VLOOKUP(_stats[[#This Row],[tournament]],tournaments_n_rules[],4,0)</f>
        <v>46194</v>
      </c>
      <c r="O1379" s="56">
        <f>VLOOKUP(_stats[[#This Row],[tournament]],tournaments_n_rules[],5,0)</f>
        <v>46265</v>
      </c>
    </row>
    <row r="1380" spans="1:15" x14ac:dyDescent="0.25">
      <c r="A1380" s="6">
        <v>46198</v>
      </c>
      <c r="B1380" s="7">
        <v>1</v>
      </c>
      <c r="C1380" s="7" t="s">
        <v>17</v>
      </c>
      <c r="D1380" s="10" t="str">
        <f>IFERROR(VLOOKUP(_stats[[#This Row],[player_id]],_players[[player_id]:[player_name]],2,0),"")</f>
        <v>Костя</v>
      </c>
      <c r="E1380" s="7">
        <v>2</v>
      </c>
      <c r="F1380" s="8">
        <v>2</v>
      </c>
      <c r="G1380" s="10">
        <f>SUMIFS(_teams[wins_on_date],_teams[date],_stats[[#This Row],[date]],_teams[team_number],_stats[[#This Row],[team_number]])</f>
        <v>4</v>
      </c>
      <c r="H1380" s="10">
        <f>SUMIFS(_teams[draws_on_date],_teams[date],_stats[[#This Row],[date]],_teams[team_number],_stats[[#This Row],[team_number]])</f>
        <v>2</v>
      </c>
      <c r="I1380" s="10">
        <v>0</v>
      </c>
      <c r="J1380" s="10">
        <v>0</v>
      </c>
      <c r="K1380" s="60">
        <v>7</v>
      </c>
      <c r="L1380" s="55" t="str">
        <f>VLOOKUP(_stats[[#This Row],[tournament]],tournaments_n_rules[],2,0)</f>
        <v>УПК</v>
      </c>
      <c r="M1380" s="55" t="str">
        <f>VLOOKUP(_stats[[#This Row],[tournament]],tournaments_n_rules[],3,0)</f>
        <v>Лето 2026</v>
      </c>
      <c r="N1380" s="56">
        <f>VLOOKUP(_stats[[#This Row],[tournament]],tournaments_n_rules[],4,0)</f>
        <v>46194</v>
      </c>
      <c r="O1380" s="56">
        <f>VLOOKUP(_stats[[#This Row],[tournament]],tournaments_n_rules[],5,0)</f>
        <v>46265</v>
      </c>
    </row>
    <row r="1381" spans="1:15" x14ac:dyDescent="0.25">
      <c r="A1381" s="6">
        <v>46198</v>
      </c>
      <c r="B1381" s="7">
        <v>2</v>
      </c>
      <c r="C1381" s="7" t="s">
        <v>19</v>
      </c>
      <c r="D1381" s="10" t="str">
        <f>IFERROR(VLOOKUP(_stats[[#This Row],[player_id]],_players[[player_id]:[player_name]],2,0),"")</f>
        <v>Сергей Крюков</v>
      </c>
      <c r="E1381" s="7">
        <v>2</v>
      </c>
      <c r="F1381" s="8">
        <v>0</v>
      </c>
      <c r="G1381" s="10">
        <f>SUMIFS(_teams[wins_on_date],_teams[date],_stats[[#This Row],[date]],_teams[team_number],_stats[[#This Row],[team_number]])</f>
        <v>2</v>
      </c>
      <c r="H1381" s="10">
        <f>SUMIFS(_teams[draws_on_date],_teams[date],_stats[[#This Row],[date]],_teams[team_number],_stats[[#This Row],[team_number]])</f>
        <v>3</v>
      </c>
      <c r="I1381" s="10">
        <v>0</v>
      </c>
      <c r="J1381" s="10">
        <v>0</v>
      </c>
      <c r="K1381" s="60">
        <v>7</v>
      </c>
      <c r="L1381" s="55" t="str">
        <f>VLOOKUP(_stats[[#This Row],[tournament]],tournaments_n_rules[],2,0)</f>
        <v>УПК</v>
      </c>
      <c r="M1381" s="55" t="str">
        <f>VLOOKUP(_stats[[#This Row],[tournament]],tournaments_n_rules[],3,0)</f>
        <v>Лето 2026</v>
      </c>
      <c r="N1381" s="56">
        <f>VLOOKUP(_stats[[#This Row],[tournament]],tournaments_n_rules[],4,0)</f>
        <v>46194</v>
      </c>
      <c r="O1381" s="56">
        <f>VLOOKUP(_stats[[#This Row],[tournament]],tournaments_n_rules[],5,0)</f>
        <v>46265</v>
      </c>
    </row>
    <row r="1382" spans="1:15" x14ac:dyDescent="0.25">
      <c r="A1382" s="6">
        <v>46198</v>
      </c>
      <c r="B1382" s="7">
        <v>3</v>
      </c>
      <c r="C1382" s="7" t="s">
        <v>140</v>
      </c>
      <c r="D1382" s="10" t="str">
        <f>IFERROR(VLOOKUP(_stats[[#This Row],[player_id]],_players[[player_id]:[player_name]],2,0),"")</f>
        <v>Коля (АК+1)</v>
      </c>
      <c r="E1382" s="7">
        <v>1</v>
      </c>
      <c r="F1382" s="8">
        <v>0</v>
      </c>
      <c r="G1382" s="10">
        <f>SUMIFS(_teams[wins_on_date],_teams[date],_stats[[#This Row],[date]],_teams[team_number],_stats[[#This Row],[team_number]])</f>
        <v>2</v>
      </c>
      <c r="H1382" s="10">
        <f>SUMIFS(_teams[draws_on_date],_teams[date],_stats[[#This Row],[date]],_teams[team_number],_stats[[#This Row],[team_number]])</f>
        <v>1</v>
      </c>
      <c r="I1382" s="10">
        <v>0</v>
      </c>
      <c r="J1382" s="10">
        <v>0</v>
      </c>
      <c r="K1382" s="60">
        <v>7</v>
      </c>
      <c r="L1382" s="55" t="str">
        <f>VLOOKUP(_stats[[#This Row],[tournament]],tournaments_n_rules[],2,0)</f>
        <v>УПК</v>
      </c>
      <c r="M1382" s="55" t="str">
        <f>VLOOKUP(_stats[[#This Row],[tournament]],tournaments_n_rules[],3,0)</f>
        <v>Лето 2026</v>
      </c>
      <c r="N1382" s="56">
        <f>VLOOKUP(_stats[[#This Row],[tournament]],tournaments_n_rules[],4,0)</f>
        <v>46194</v>
      </c>
      <c r="O1382" s="56">
        <f>VLOOKUP(_stats[[#This Row],[tournament]],tournaments_n_rules[],5,0)</f>
        <v>46265</v>
      </c>
    </row>
    <row r="1383" spans="1:15" x14ac:dyDescent="0.25">
      <c r="A1383" s="6">
        <v>46198</v>
      </c>
      <c r="B1383" s="7">
        <v>3</v>
      </c>
      <c r="C1383" s="7" t="s">
        <v>134</v>
      </c>
      <c r="D1383" s="10" t="str">
        <f>IFERROR(VLOOKUP(_stats[[#This Row],[player_id]],_players[[player_id]:[player_name]],2,0),"")</f>
        <v>Арги</v>
      </c>
      <c r="E1383" s="7">
        <v>2</v>
      </c>
      <c r="F1383" s="8">
        <v>0</v>
      </c>
      <c r="G1383" s="10">
        <f>SUMIFS(_teams[wins_on_date],_teams[date],_stats[[#This Row],[date]],_teams[team_number],_stats[[#This Row],[team_number]])</f>
        <v>2</v>
      </c>
      <c r="H1383" s="10">
        <f>SUMIFS(_teams[draws_on_date],_teams[date],_stats[[#This Row],[date]],_teams[team_number],_stats[[#This Row],[team_number]])</f>
        <v>1</v>
      </c>
      <c r="I1383" s="10">
        <v>0</v>
      </c>
      <c r="J1383" s="10">
        <v>0</v>
      </c>
      <c r="K1383" s="60">
        <v>7</v>
      </c>
      <c r="L1383" s="55" t="str">
        <f>VLOOKUP(_stats[[#This Row],[tournament]],tournaments_n_rules[],2,0)</f>
        <v>УПК</v>
      </c>
      <c r="M1383" s="55" t="str">
        <f>VLOOKUP(_stats[[#This Row],[tournament]],tournaments_n_rules[],3,0)</f>
        <v>Лето 2026</v>
      </c>
      <c r="N1383" s="56">
        <f>VLOOKUP(_stats[[#This Row],[tournament]],tournaments_n_rules[],4,0)</f>
        <v>46194</v>
      </c>
      <c r="O1383" s="56">
        <f>VLOOKUP(_stats[[#This Row],[tournament]],tournaments_n_rules[],5,0)</f>
        <v>46265</v>
      </c>
    </row>
    <row r="1384" spans="1:15" x14ac:dyDescent="0.25">
      <c r="A1384" s="6">
        <v>46198</v>
      </c>
      <c r="B1384" s="7">
        <v>2</v>
      </c>
      <c r="C1384" s="7" t="s">
        <v>75</v>
      </c>
      <c r="D1384" s="10" t="str">
        <f>IFERROR(VLOOKUP(_stats[[#This Row],[player_id]],_players[[player_id]:[player_name]],2,0),"")</f>
        <v>Никита (АК+1)</v>
      </c>
      <c r="E1384" s="7">
        <v>0</v>
      </c>
      <c r="F1384" s="8">
        <v>0</v>
      </c>
      <c r="G1384" s="10">
        <f>SUMIFS(_teams[wins_on_date],_teams[date],_stats[[#This Row],[date]],_teams[team_number],_stats[[#This Row],[team_number]])</f>
        <v>2</v>
      </c>
      <c r="H1384" s="10">
        <f>SUMIFS(_teams[draws_on_date],_teams[date],_stats[[#This Row],[date]],_teams[team_number],_stats[[#This Row],[team_number]])</f>
        <v>3</v>
      </c>
      <c r="I1384" s="10">
        <v>0</v>
      </c>
      <c r="J1384" s="10">
        <v>0</v>
      </c>
      <c r="K1384" s="60">
        <v>7</v>
      </c>
      <c r="L1384" s="55" t="str">
        <f>VLOOKUP(_stats[[#This Row],[tournament]],tournaments_n_rules[],2,0)</f>
        <v>УПК</v>
      </c>
      <c r="M1384" s="55" t="str">
        <f>VLOOKUP(_stats[[#This Row],[tournament]],tournaments_n_rules[],3,0)</f>
        <v>Лето 2026</v>
      </c>
      <c r="N1384" s="56">
        <f>VLOOKUP(_stats[[#This Row],[tournament]],tournaments_n_rules[],4,0)</f>
        <v>46194</v>
      </c>
      <c r="O1384" s="56">
        <f>VLOOKUP(_stats[[#This Row],[tournament]],tournaments_n_rules[],5,0)</f>
        <v>46265</v>
      </c>
    </row>
    <row r="1385" spans="1:15" x14ac:dyDescent="0.25">
      <c r="A1385" s="6">
        <v>46201</v>
      </c>
      <c r="B1385" s="7">
        <v>2</v>
      </c>
      <c r="C1385" s="7" t="s">
        <v>10</v>
      </c>
      <c r="D1385" s="10" t="str">
        <f>IFERROR(VLOOKUP(_stats[[#This Row],[player_id]],_players[[player_id]:[player_name]],2,0),"")</f>
        <v>Тёма</v>
      </c>
      <c r="E1385" s="7">
        <v>0</v>
      </c>
      <c r="F1385" s="8">
        <v>0</v>
      </c>
      <c r="G1385" s="10">
        <f>SUMIFS(_teams[wins_on_date],_teams[date],_stats[[#This Row],[date]],_teams[team_number],_stats[[#This Row],[team_number]])</f>
        <v>2</v>
      </c>
      <c r="H1385" s="10">
        <f>SUMIFS(_teams[draws_on_date],_teams[date],_stats[[#This Row],[date]],_teams[team_number],_stats[[#This Row],[team_number]])</f>
        <v>0</v>
      </c>
      <c r="I1385" s="10">
        <v>1</v>
      </c>
      <c r="J1385" s="10">
        <v>0</v>
      </c>
      <c r="K1385" s="10">
        <v>7</v>
      </c>
      <c r="L1385" s="55" t="str">
        <f>VLOOKUP(_stats[[#This Row],[tournament]],tournaments_n_rules[],2,0)</f>
        <v>УПК</v>
      </c>
      <c r="M1385" s="55" t="str">
        <f>VLOOKUP(_stats[[#This Row],[tournament]],tournaments_n_rules[],3,0)</f>
        <v>Лето 2026</v>
      </c>
      <c r="N1385" s="56">
        <f>VLOOKUP(_stats[[#This Row],[tournament]],tournaments_n_rules[],4,0)</f>
        <v>46194</v>
      </c>
      <c r="O1385" s="56">
        <f>VLOOKUP(_stats[[#This Row],[tournament]],tournaments_n_rules[],5,0)</f>
        <v>46265</v>
      </c>
    </row>
    <row r="1386" spans="1:15" x14ac:dyDescent="0.25">
      <c r="A1386" s="6">
        <v>46201</v>
      </c>
      <c r="B1386" s="7">
        <v>4</v>
      </c>
      <c r="C1386" s="7" t="s">
        <v>31</v>
      </c>
      <c r="D1386" s="10" t="str">
        <f>IFERROR(VLOOKUP(_stats[[#This Row],[player_id]],_players[[player_id]:[player_name]],2,0),"")</f>
        <v>Артем Ширяев</v>
      </c>
      <c r="E1386" s="7">
        <v>0</v>
      </c>
      <c r="F1386" s="8">
        <v>0</v>
      </c>
      <c r="G1386" s="10">
        <f>SUMIFS(_teams[wins_on_date],_teams[date],_stats[[#This Row],[date]],_teams[team_number],_stats[[#This Row],[team_number]])</f>
        <v>1</v>
      </c>
      <c r="H1386" s="10">
        <f>SUMIFS(_teams[draws_on_date],_teams[date],_stats[[#This Row],[date]],_teams[team_number],_stats[[#This Row],[team_number]])</f>
        <v>0</v>
      </c>
      <c r="I1386" s="10">
        <v>0</v>
      </c>
      <c r="J1386" s="10">
        <v>0</v>
      </c>
      <c r="K1386" s="10">
        <v>7</v>
      </c>
      <c r="L1386" s="55" t="str">
        <f>VLOOKUP(_stats[[#This Row],[tournament]],tournaments_n_rules[],2,0)</f>
        <v>УПК</v>
      </c>
      <c r="M1386" s="55" t="str">
        <f>VLOOKUP(_stats[[#This Row],[tournament]],tournaments_n_rules[],3,0)</f>
        <v>Лето 2026</v>
      </c>
      <c r="N1386" s="56">
        <f>VLOOKUP(_stats[[#This Row],[tournament]],tournaments_n_rules[],4,0)</f>
        <v>46194</v>
      </c>
      <c r="O1386" s="56">
        <f>VLOOKUP(_stats[[#This Row],[tournament]],tournaments_n_rules[],5,0)</f>
        <v>46265</v>
      </c>
    </row>
    <row r="1387" spans="1:15" x14ac:dyDescent="0.25">
      <c r="A1387" s="6">
        <v>46201</v>
      </c>
      <c r="B1387" s="7">
        <v>3</v>
      </c>
      <c r="C1387" s="7" t="s">
        <v>135</v>
      </c>
      <c r="D1387" s="10" t="str">
        <f>IFERROR(VLOOKUP(_stats[[#This Row],[player_id]],_players[[player_id]:[player_name]],2,0),"")</f>
        <v>Макс Логинов</v>
      </c>
      <c r="E1387" s="7">
        <v>0</v>
      </c>
      <c r="F1387" s="8">
        <v>2</v>
      </c>
      <c r="G1387" s="10">
        <f>SUMIFS(_teams[wins_on_date],_teams[date],_stats[[#This Row],[date]],_teams[team_number],_stats[[#This Row],[team_number]])</f>
        <v>10</v>
      </c>
      <c r="H1387" s="10">
        <f>SUMIFS(_teams[draws_on_date],_teams[date],_stats[[#This Row],[date]],_teams[team_number],_stats[[#This Row],[team_number]])</f>
        <v>1</v>
      </c>
      <c r="I1387" s="10">
        <v>0</v>
      </c>
      <c r="J1387" s="10">
        <v>0</v>
      </c>
      <c r="K1387" s="10">
        <v>7</v>
      </c>
      <c r="L1387" s="55" t="str">
        <f>VLOOKUP(_stats[[#This Row],[tournament]],tournaments_n_rules[],2,0)</f>
        <v>УПК</v>
      </c>
      <c r="M1387" s="55" t="str">
        <f>VLOOKUP(_stats[[#This Row],[tournament]],tournaments_n_rules[],3,0)</f>
        <v>Лето 2026</v>
      </c>
      <c r="N1387" s="56">
        <f>VLOOKUP(_stats[[#This Row],[tournament]],tournaments_n_rules[],4,0)</f>
        <v>46194</v>
      </c>
      <c r="O1387" s="56">
        <f>VLOOKUP(_stats[[#This Row],[tournament]],tournaments_n_rules[],5,0)</f>
        <v>46265</v>
      </c>
    </row>
    <row r="1388" spans="1:15" x14ac:dyDescent="0.25">
      <c r="A1388" s="6">
        <v>46201</v>
      </c>
      <c r="B1388" s="7">
        <v>1</v>
      </c>
      <c r="C1388" s="7" t="s">
        <v>64</v>
      </c>
      <c r="D1388" s="10" t="str">
        <f>IFERROR(VLOOKUP(_stats[[#This Row],[player_id]],_players[[player_id]:[player_name]],2,0),"")</f>
        <v>Дима Сахаров</v>
      </c>
      <c r="E1388" s="7">
        <v>1</v>
      </c>
      <c r="F1388" s="8">
        <v>0</v>
      </c>
      <c r="G1388" s="10">
        <f>SUMIFS(_teams[wins_on_date],_teams[date],_stats[[#This Row],[date]],_teams[team_number],_stats[[#This Row],[team_number]])</f>
        <v>2</v>
      </c>
      <c r="H1388" s="10">
        <f>SUMIFS(_teams[draws_on_date],_teams[date],_stats[[#This Row],[date]],_teams[team_number],_stats[[#This Row],[team_number]])</f>
        <v>1</v>
      </c>
      <c r="I1388" s="10">
        <v>0</v>
      </c>
      <c r="J1388" s="10">
        <v>0</v>
      </c>
      <c r="K1388" s="10">
        <v>7</v>
      </c>
      <c r="L1388" s="55" t="str">
        <f>VLOOKUP(_stats[[#This Row],[tournament]],tournaments_n_rules[],2,0)</f>
        <v>УПК</v>
      </c>
      <c r="M1388" s="55" t="str">
        <f>VLOOKUP(_stats[[#This Row],[tournament]],tournaments_n_rules[],3,0)</f>
        <v>Лето 2026</v>
      </c>
      <c r="N1388" s="56">
        <f>VLOOKUP(_stats[[#This Row],[tournament]],tournaments_n_rules[],4,0)</f>
        <v>46194</v>
      </c>
      <c r="O1388" s="56">
        <f>VLOOKUP(_stats[[#This Row],[tournament]],tournaments_n_rules[],5,0)</f>
        <v>46265</v>
      </c>
    </row>
    <row r="1389" spans="1:15" x14ac:dyDescent="0.25">
      <c r="A1389" s="6">
        <v>46201</v>
      </c>
      <c r="B1389" s="7">
        <v>1</v>
      </c>
      <c r="C1389" s="7" t="s">
        <v>25</v>
      </c>
      <c r="D1389" s="10" t="str">
        <f>IFERROR(VLOOKUP(_stats[[#This Row],[player_id]],_players[[player_id]:[player_name]],2,0),"")</f>
        <v>Олег Шишкин</v>
      </c>
      <c r="E1389" s="7">
        <v>0</v>
      </c>
      <c r="F1389" s="8">
        <v>1</v>
      </c>
      <c r="G1389" s="10">
        <f>SUMIFS(_teams[wins_on_date],_teams[date],_stats[[#This Row],[date]],_teams[team_number],_stats[[#This Row],[team_number]])</f>
        <v>2</v>
      </c>
      <c r="H1389" s="10">
        <f>SUMIFS(_teams[draws_on_date],_teams[date],_stats[[#This Row],[date]],_teams[team_number],_stats[[#This Row],[team_number]])</f>
        <v>1</v>
      </c>
      <c r="I1389" s="10">
        <v>0</v>
      </c>
      <c r="J1389" s="10">
        <v>0</v>
      </c>
      <c r="K1389" s="10">
        <v>7</v>
      </c>
      <c r="L1389" s="55" t="str">
        <f>VLOOKUP(_stats[[#This Row],[tournament]],tournaments_n_rules[],2,0)</f>
        <v>УПК</v>
      </c>
      <c r="M1389" s="55" t="str">
        <f>VLOOKUP(_stats[[#This Row],[tournament]],tournaments_n_rules[],3,0)</f>
        <v>Лето 2026</v>
      </c>
      <c r="N1389" s="56">
        <f>VLOOKUP(_stats[[#This Row],[tournament]],tournaments_n_rules[],4,0)</f>
        <v>46194</v>
      </c>
      <c r="O1389" s="56">
        <f>VLOOKUP(_stats[[#This Row],[tournament]],tournaments_n_rules[],5,0)</f>
        <v>46265</v>
      </c>
    </row>
    <row r="1390" spans="1:15" x14ac:dyDescent="0.25">
      <c r="A1390" s="6">
        <v>46201</v>
      </c>
      <c r="B1390" s="7">
        <v>3</v>
      </c>
      <c r="C1390" s="7" t="s">
        <v>18</v>
      </c>
      <c r="D1390" s="10" t="str">
        <f>IFERROR(VLOOKUP(_stats[[#This Row],[player_id]],_players[[player_id]:[player_name]],2,0),"")</f>
        <v>Расул</v>
      </c>
      <c r="E1390" s="7">
        <v>0</v>
      </c>
      <c r="F1390" s="8">
        <v>1</v>
      </c>
      <c r="G1390" s="10">
        <f>SUMIFS(_teams[wins_on_date],_teams[date],_stats[[#This Row],[date]],_teams[team_number],_stats[[#This Row],[team_number]])</f>
        <v>10</v>
      </c>
      <c r="H1390" s="10">
        <f>SUMIFS(_teams[draws_on_date],_teams[date],_stats[[#This Row],[date]],_teams[team_number],_stats[[#This Row],[team_number]])</f>
        <v>1</v>
      </c>
      <c r="I1390" s="10">
        <v>0</v>
      </c>
      <c r="J1390" s="10">
        <v>0</v>
      </c>
      <c r="K1390" s="10">
        <v>7</v>
      </c>
      <c r="L1390" s="55" t="str">
        <f>VLOOKUP(_stats[[#This Row],[tournament]],tournaments_n_rules[],2,0)</f>
        <v>УПК</v>
      </c>
      <c r="M1390" s="55" t="str">
        <f>VLOOKUP(_stats[[#This Row],[tournament]],tournaments_n_rules[],3,0)</f>
        <v>Лето 2026</v>
      </c>
      <c r="N1390" s="56">
        <f>VLOOKUP(_stats[[#This Row],[tournament]],tournaments_n_rules[],4,0)</f>
        <v>46194</v>
      </c>
      <c r="O1390" s="56">
        <f>VLOOKUP(_stats[[#This Row],[tournament]],tournaments_n_rules[],5,0)</f>
        <v>46265</v>
      </c>
    </row>
    <row r="1391" spans="1:15" x14ac:dyDescent="0.25">
      <c r="A1391" s="6">
        <v>46201</v>
      </c>
      <c r="B1391" s="7">
        <v>1</v>
      </c>
      <c r="C1391" s="7" t="s">
        <v>59</v>
      </c>
      <c r="D1391" s="10" t="str">
        <f>IFERROR(VLOOKUP(_stats[[#This Row],[player_id]],_players[[player_id]:[player_name]],2,0),"")</f>
        <v>Юра Пименов</v>
      </c>
      <c r="E1391" s="7">
        <v>2</v>
      </c>
      <c r="F1391" s="8">
        <v>1</v>
      </c>
      <c r="G1391" s="10">
        <f>SUMIFS(_teams[wins_on_date],_teams[date],_stats[[#This Row],[date]],_teams[team_number],_stats[[#This Row],[team_number]])</f>
        <v>2</v>
      </c>
      <c r="H1391" s="10">
        <f>SUMIFS(_teams[draws_on_date],_teams[date],_stats[[#This Row],[date]],_teams[team_number],_stats[[#This Row],[team_number]])</f>
        <v>1</v>
      </c>
      <c r="I1391" s="10">
        <v>0</v>
      </c>
      <c r="J1391" s="10">
        <v>0</v>
      </c>
      <c r="K1391" s="10">
        <v>7</v>
      </c>
      <c r="L1391" s="55" t="str">
        <f>VLOOKUP(_stats[[#This Row],[tournament]],tournaments_n_rules[],2,0)</f>
        <v>УПК</v>
      </c>
      <c r="M1391" s="55" t="str">
        <f>VLOOKUP(_stats[[#This Row],[tournament]],tournaments_n_rules[],3,0)</f>
        <v>Лето 2026</v>
      </c>
      <c r="N1391" s="56">
        <f>VLOOKUP(_stats[[#This Row],[tournament]],tournaments_n_rules[],4,0)</f>
        <v>46194</v>
      </c>
      <c r="O1391" s="56">
        <f>VLOOKUP(_stats[[#This Row],[tournament]],tournaments_n_rules[],5,0)</f>
        <v>46265</v>
      </c>
    </row>
    <row r="1392" spans="1:15" x14ac:dyDescent="0.25">
      <c r="A1392" s="6">
        <v>46201</v>
      </c>
      <c r="B1392" s="7">
        <v>1</v>
      </c>
      <c r="C1392" s="7" t="s">
        <v>134</v>
      </c>
      <c r="D1392" s="10" t="str">
        <f>IFERROR(VLOOKUP(_stats[[#This Row],[player_id]],_players[[player_id]:[player_name]],2,0),"")</f>
        <v>Арги</v>
      </c>
      <c r="E1392" s="7">
        <v>0</v>
      </c>
      <c r="F1392" s="8">
        <v>0</v>
      </c>
      <c r="G1392" s="10">
        <f>SUMIFS(_teams[wins_on_date],_teams[date],_stats[[#This Row],[date]],_teams[team_number],_stats[[#This Row],[team_number]])</f>
        <v>2</v>
      </c>
      <c r="H1392" s="10">
        <f>SUMIFS(_teams[draws_on_date],_teams[date],_stats[[#This Row],[date]],_teams[team_number],_stats[[#This Row],[team_number]])</f>
        <v>1</v>
      </c>
      <c r="I1392" s="10">
        <v>0</v>
      </c>
      <c r="J1392" s="10">
        <v>0</v>
      </c>
      <c r="K1392" s="10">
        <v>7</v>
      </c>
      <c r="L1392" s="55" t="str">
        <f>VLOOKUP(_stats[[#This Row],[tournament]],tournaments_n_rules[],2,0)</f>
        <v>УПК</v>
      </c>
      <c r="M1392" s="55" t="str">
        <f>VLOOKUP(_stats[[#This Row],[tournament]],tournaments_n_rules[],3,0)</f>
        <v>Лето 2026</v>
      </c>
      <c r="N1392" s="56">
        <f>VLOOKUP(_stats[[#This Row],[tournament]],tournaments_n_rules[],4,0)</f>
        <v>46194</v>
      </c>
      <c r="O1392" s="56">
        <f>VLOOKUP(_stats[[#This Row],[tournament]],tournaments_n_rules[],5,0)</f>
        <v>46265</v>
      </c>
    </row>
    <row r="1393" spans="1:15" x14ac:dyDescent="0.25">
      <c r="A1393" s="6">
        <v>46201</v>
      </c>
      <c r="B1393" s="7">
        <v>4</v>
      </c>
      <c r="C1393" s="7" t="s">
        <v>42</v>
      </c>
      <c r="D1393" s="10" t="str">
        <f>IFERROR(VLOOKUP(_stats[[#This Row],[player_id]],_players[[player_id]:[player_name]],2,0),"")</f>
        <v>Нурик</v>
      </c>
      <c r="E1393" s="7">
        <v>1</v>
      </c>
      <c r="F1393" s="8">
        <v>0</v>
      </c>
      <c r="G1393" s="10">
        <f>SUMIFS(_teams[wins_on_date],_teams[date],_stats[[#This Row],[date]],_teams[team_number],_stats[[#This Row],[team_number]])</f>
        <v>1</v>
      </c>
      <c r="H1393" s="10">
        <f>SUMIFS(_teams[draws_on_date],_teams[date],_stats[[#This Row],[date]],_teams[team_number],_stats[[#This Row],[team_number]])</f>
        <v>0</v>
      </c>
      <c r="I1393" s="10">
        <v>0</v>
      </c>
      <c r="J1393" s="10">
        <v>1</v>
      </c>
      <c r="K1393" s="10">
        <v>7</v>
      </c>
      <c r="L1393" s="55" t="str">
        <f>VLOOKUP(_stats[[#This Row],[tournament]],tournaments_n_rules[],2,0)</f>
        <v>УПК</v>
      </c>
      <c r="M1393" s="55" t="str">
        <f>VLOOKUP(_stats[[#This Row],[tournament]],tournaments_n_rules[],3,0)</f>
        <v>Лето 2026</v>
      </c>
      <c r="N1393" s="56">
        <f>VLOOKUP(_stats[[#This Row],[tournament]],tournaments_n_rules[],4,0)</f>
        <v>46194</v>
      </c>
      <c r="O1393" s="56">
        <f>VLOOKUP(_stats[[#This Row],[tournament]],tournaments_n_rules[],5,0)</f>
        <v>46265</v>
      </c>
    </row>
    <row r="1394" spans="1:15" x14ac:dyDescent="0.25">
      <c r="A1394" s="6">
        <v>46201</v>
      </c>
      <c r="B1394" s="7">
        <v>2</v>
      </c>
      <c r="C1394" s="7" t="s">
        <v>27</v>
      </c>
      <c r="D1394" s="10" t="str">
        <f>IFERROR(VLOOKUP(_stats[[#This Row],[player_id]],_players[[player_id]:[player_name]],2,0),"")</f>
        <v>Миша</v>
      </c>
      <c r="E1394" s="7">
        <v>2</v>
      </c>
      <c r="F1394" s="8">
        <v>0</v>
      </c>
      <c r="G1394" s="10">
        <f>SUMIFS(_teams[wins_on_date],_teams[date],_stats[[#This Row],[date]],_teams[team_number],_stats[[#This Row],[team_number]])</f>
        <v>2</v>
      </c>
      <c r="H1394" s="10">
        <f>SUMIFS(_teams[draws_on_date],_teams[date],_stats[[#This Row],[date]],_teams[team_number],_stats[[#This Row],[team_number]])</f>
        <v>0</v>
      </c>
      <c r="I1394" s="10">
        <v>0</v>
      </c>
      <c r="J1394" s="10">
        <v>0</v>
      </c>
      <c r="K1394" s="10">
        <v>7</v>
      </c>
      <c r="L1394" s="55" t="str">
        <f>VLOOKUP(_stats[[#This Row],[tournament]],tournaments_n_rules[],2,0)</f>
        <v>УПК</v>
      </c>
      <c r="M1394" s="55" t="str">
        <f>VLOOKUP(_stats[[#This Row],[tournament]],tournaments_n_rules[],3,0)</f>
        <v>Лето 2026</v>
      </c>
      <c r="N1394" s="56">
        <f>VLOOKUP(_stats[[#This Row],[tournament]],tournaments_n_rules[],4,0)</f>
        <v>46194</v>
      </c>
      <c r="O1394" s="56">
        <f>VLOOKUP(_stats[[#This Row],[tournament]],tournaments_n_rules[],5,0)</f>
        <v>46265</v>
      </c>
    </row>
    <row r="1395" spans="1:15" x14ac:dyDescent="0.25">
      <c r="A1395" s="6">
        <v>46201</v>
      </c>
      <c r="B1395" s="7">
        <v>2</v>
      </c>
      <c r="C1395" s="7" t="s">
        <v>28</v>
      </c>
      <c r="D1395" s="10" t="str">
        <f>IFERROR(VLOOKUP(_stats[[#This Row],[player_id]],_players[[player_id]:[player_name]],2,0),"")</f>
        <v>Никита</v>
      </c>
      <c r="E1395" s="7">
        <v>2</v>
      </c>
      <c r="F1395" s="8">
        <v>1</v>
      </c>
      <c r="G1395" s="10">
        <f>SUMIFS(_teams[wins_on_date],_teams[date],_stats[[#This Row],[date]],_teams[team_number],_stats[[#This Row],[team_number]])</f>
        <v>2</v>
      </c>
      <c r="H1395" s="10">
        <f>SUMIFS(_teams[draws_on_date],_teams[date],_stats[[#This Row],[date]],_teams[team_number],_stats[[#This Row],[team_number]])</f>
        <v>0</v>
      </c>
      <c r="I1395" s="10">
        <v>0</v>
      </c>
      <c r="J1395" s="10">
        <v>1</v>
      </c>
      <c r="K1395" s="10">
        <v>7</v>
      </c>
      <c r="L1395" s="55" t="str">
        <f>VLOOKUP(_stats[[#This Row],[tournament]],tournaments_n_rules[],2,0)</f>
        <v>УПК</v>
      </c>
      <c r="M1395" s="55" t="str">
        <f>VLOOKUP(_stats[[#This Row],[tournament]],tournaments_n_rules[],3,0)</f>
        <v>Лето 2026</v>
      </c>
      <c r="N1395" s="56">
        <f>VLOOKUP(_stats[[#This Row],[tournament]],tournaments_n_rules[],4,0)</f>
        <v>46194</v>
      </c>
      <c r="O1395" s="56">
        <f>VLOOKUP(_stats[[#This Row],[tournament]],tournaments_n_rules[],5,0)</f>
        <v>46265</v>
      </c>
    </row>
    <row r="1396" spans="1:15" x14ac:dyDescent="0.25">
      <c r="A1396" s="6">
        <v>46201</v>
      </c>
      <c r="B1396" s="7">
        <v>1</v>
      </c>
      <c r="C1396" s="7" t="s">
        <v>17</v>
      </c>
      <c r="D1396" s="10" t="str">
        <f>IFERROR(VLOOKUP(_stats[[#This Row],[player_id]],_players[[player_id]:[player_name]],2,0),"")</f>
        <v>Костя</v>
      </c>
      <c r="E1396" s="7">
        <v>1</v>
      </c>
      <c r="F1396" s="8">
        <v>0</v>
      </c>
      <c r="G1396" s="10">
        <f>SUMIFS(_teams[wins_on_date],_teams[date],_stats[[#This Row],[date]],_teams[team_number],_stats[[#This Row],[team_number]])</f>
        <v>2</v>
      </c>
      <c r="H1396" s="10">
        <f>SUMIFS(_teams[draws_on_date],_teams[date],_stats[[#This Row],[date]],_teams[team_number],_stats[[#This Row],[team_number]])</f>
        <v>1</v>
      </c>
      <c r="I1396" s="10">
        <v>0</v>
      </c>
      <c r="J1396" s="10">
        <v>0</v>
      </c>
      <c r="K1396" s="10">
        <v>7</v>
      </c>
      <c r="L1396" s="55" t="str">
        <f>VLOOKUP(_stats[[#This Row],[tournament]],tournaments_n_rules[],2,0)</f>
        <v>УПК</v>
      </c>
      <c r="M1396" s="55" t="str">
        <f>VLOOKUP(_stats[[#This Row],[tournament]],tournaments_n_rules[],3,0)</f>
        <v>Лето 2026</v>
      </c>
      <c r="N1396" s="56">
        <f>VLOOKUP(_stats[[#This Row],[tournament]],tournaments_n_rules[],4,0)</f>
        <v>46194</v>
      </c>
      <c r="O1396" s="56">
        <f>VLOOKUP(_stats[[#This Row],[tournament]],tournaments_n_rules[],5,0)</f>
        <v>46265</v>
      </c>
    </row>
    <row r="1397" spans="1:15" x14ac:dyDescent="0.25">
      <c r="A1397" s="6">
        <v>46201</v>
      </c>
      <c r="B1397" s="7">
        <v>1</v>
      </c>
      <c r="C1397" s="7" t="s">
        <v>185</v>
      </c>
      <c r="D1397" s="10" t="str">
        <f>IFERROR(VLOOKUP(_stats[[#This Row],[player_id]],_players[[player_id]:[player_name]],2,0),"")</f>
        <v>Богдан</v>
      </c>
      <c r="E1397" s="7">
        <v>0</v>
      </c>
      <c r="F1397" s="8">
        <v>0</v>
      </c>
      <c r="G1397" s="10">
        <f>SUMIFS(_teams[wins_on_date],_teams[date],_stats[[#This Row],[date]],_teams[team_number],_stats[[#This Row],[team_number]])</f>
        <v>2</v>
      </c>
      <c r="H1397" s="10">
        <f>SUMIFS(_teams[draws_on_date],_teams[date],_stats[[#This Row],[date]],_teams[team_number],_stats[[#This Row],[team_number]])</f>
        <v>1</v>
      </c>
      <c r="I1397" s="10">
        <v>0</v>
      </c>
      <c r="J1397" s="10">
        <v>0</v>
      </c>
      <c r="K1397" s="10">
        <v>7</v>
      </c>
      <c r="L1397" s="55" t="str">
        <f>VLOOKUP(_stats[[#This Row],[tournament]],tournaments_n_rules[],2,0)</f>
        <v>УПК</v>
      </c>
      <c r="M1397" s="55" t="str">
        <f>VLOOKUP(_stats[[#This Row],[tournament]],tournaments_n_rules[],3,0)</f>
        <v>Лето 2026</v>
      </c>
      <c r="N1397" s="56">
        <f>VLOOKUP(_stats[[#This Row],[tournament]],tournaments_n_rules[],4,0)</f>
        <v>46194</v>
      </c>
      <c r="O1397" s="56">
        <f>VLOOKUP(_stats[[#This Row],[tournament]],tournaments_n_rules[],5,0)</f>
        <v>46265</v>
      </c>
    </row>
    <row r="1398" spans="1:15" x14ac:dyDescent="0.25">
      <c r="A1398" s="6">
        <v>46201</v>
      </c>
      <c r="B1398" s="7">
        <v>4</v>
      </c>
      <c r="C1398" s="7" t="s">
        <v>19</v>
      </c>
      <c r="D1398" s="10" t="str">
        <f>IFERROR(VLOOKUP(_stats[[#This Row],[player_id]],_players[[player_id]:[player_name]],2,0),"")</f>
        <v>Сергей Крюков</v>
      </c>
      <c r="E1398" s="7">
        <v>1</v>
      </c>
      <c r="F1398" s="8">
        <v>0</v>
      </c>
      <c r="G1398" s="10">
        <f>SUMIFS(_teams[wins_on_date],_teams[date],_stats[[#This Row],[date]],_teams[team_number],_stats[[#This Row],[team_number]])</f>
        <v>1</v>
      </c>
      <c r="H1398" s="10">
        <f>SUMIFS(_teams[draws_on_date],_teams[date],_stats[[#This Row],[date]],_teams[team_number],_stats[[#This Row],[team_number]])</f>
        <v>0</v>
      </c>
      <c r="I1398" s="10">
        <v>1</v>
      </c>
      <c r="J1398" s="10">
        <v>0</v>
      </c>
      <c r="K1398" s="10">
        <v>7</v>
      </c>
      <c r="L1398" s="55" t="str">
        <f>VLOOKUP(_stats[[#This Row],[tournament]],tournaments_n_rules[],2,0)</f>
        <v>УПК</v>
      </c>
      <c r="M1398" s="55" t="str">
        <f>VLOOKUP(_stats[[#This Row],[tournament]],tournaments_n_rules[],3,0)</f>
        <v>Лето 2026</v>
      </c>
      <c r="N1398" s="56">
        <f>VLOOKUP(_stats[[#This Row],[tournament]],tournaments_n_rules[],4,0)</f>
        <v>46194</v>
      </c>
      <c r="O1398" s="56">
        <f>VLOOKUP(_stats[[#This Row],[tournament]],tournaments_n_rules[],5,0)</f>
        <v>46265</v>
      </c>
    </row>
    <row r="1399" spans="1:15" x14ac:dyDescent="0.25">
      <c r="A1399" s="6">
        <v>46201</v>
      </c>
      <c r="B1399" s="7">
        <v>1</v>
      </c>
      <c r="C1399" s="7" t="s">
        <v>52</v>
      </c>
      <c r="D1399" s="10" t="str">
        <f>IFERROR(VLOOKUP(_stats[[#This Row],[player_id]],_players[[player_id]:[player_name]],2,0),"")</f>
        <v>Игорь Фомичев</v>
      </c>
      <c r="E1399" s="7">
        <v>0</v>
      </c>
      <c r="F1399" s="8">
        <v>1</v>
      </c>
      <c r="G1399" s="10">
        <f>SUMIFS(_teams[wins_on_date],_teams[date],_stats[[#This Row],[date]],_teams[team_number],_stats[[#This Row],[team_number]])</f>
        <v>2</v>
      </c>
      <c r="H1399" s="10">
        <f>SUMIFS(_teams[draws_on_date],_teams[date],_stats[[#This Row],[date]],_teams[team_number],_stats[[#This Row],[team_number]])</f>
        <v>1</v>
      </c>
      <c r="I1399" s="10">
        <v>0</v>
      </c>
      <c r="J1399" s="10">
        <v>0</v>
      </c>
      <c r="K1399" s="10">
        <v>7</v>
      </c>
      <c r="L1399" s="55" t="str">
        <f>VLOOKUP(_stats[[#This Row],[tournament]],tournaments_n_rules[],2,0)</f>
        <v>УПК</v>
      </c>
      <c r="M1399" s="55" t="str">
        <f>VLOOKUP(_stats[[#This Row],[tournament]],tournaments_n_rules[],3,0)</f>
        <v>Лето 2026</v>
      </c>
      <c r="N1399" s="56">
        <f>VLOOKUP(_stats[[#This Row],[tournament]],tournaments_n_rules[],4,0)</f>
        <v>46194</v>
      </c>
      <c r="O1399" s="56">
        <f>VLOOKUP(_stats[[#This Row],[tournament]],tournaments_n_rules[],5,0)</f>
        <v>46265</v>
      </c>
    </row>
    <row r="1400" spans="1:15" x14ac:dyDescent="0.25">
      <c r="A1400" s="6">
        <v>46201</v>
      </c>
      <c r="B1400" s="7">
        <v>2</v>
      </c>
      <c r="C1400" s="7" t="s">
        <v>152</v>
      </c>
      <c r="D1400" s="10" t="str">
        <f>IFERROR(VLOOKUP(_stats[[#This Row],[player_id]],_players[[player_id]:[player_name]],2,0),"")</f>
        <v>Сурэн</v>
      </c>
      <c r="E1400" s="7">
        <v>0</v>
      </c>
      <c r="F1400" s="8">
        <v>0</v>
      </c>
      <c r="G1400" s="10">
        <f>SUMIFS(_teams[wins_on_date],_teams[date],_stats[[#This Row],[date]],_teams[team_number],_stats[[#This Row],[team_number]])</f>
        <v>2</v>
      </c>
      <c r="H1400" s="10">
        <f>SUMIFS(_teams[draws_on_date],_teams[date],_stats[[#This Row],[date]],_teams[team_number],_stats[[#This Row],[team_number]])</f>
        <v>0</v>
      </c>
      <c r="I1400" s="10">
        <v>0</v>
      </c>
      <c r="J1400" s="10">
        <v>0</v>
      </c>
      <c r="K1400" s="10">
        <v>7</v>
      </c>
      <c r="L1400" s="55" t="str">
        <f>VLOOKUP(_stats[[#This Row],[tournament]],tournaments_n_rules[],2,0)</f>
        <v>УПК</v>
      </c>
      <c r="M1400" s="55" t="str">
        <f>VLOOKUP(_stats[[#This Row],[tournament]],tournaments_n_rules[],3,0)</f>
        <v>Лето 2026</v>
      </c>
      <c r="N1400" s="56">
        <f>VLOOKUP(_stats[[#This Row],[tournament]],tournaments_n_rules[],4,0)</f>
        <v>46194</v>
      </c>
      <c r="O1400" s="56">
        <f>VLOOKUP(_stats[[#This Row],[tournament]],tournaments_n_rules[],5,0)</f>
        <v>46265</v>
      </c>
    </row>
    <row r="1401" spans="1:15" x14ac:dyDescent="0.25">
      <c r="A1401" s="6">
        <v>46201</v>
      </c>
      <c r="B1401" s="7">
        <v>2</v>
      </c>
      <c r="C1401" s="7" t="s">
        <v>41</v>
      </c>
      <c r="D1401" s="10" t="str">
        <f>IFERROR(VLOOKUP(_stats[[#This Row],[player_id]],_players[[player_id]:[player_name]],2,0),"")</f>
        <v>Атай</v>
      </c>
      <c r="E1401" s="7">
        <v>0</v>
      </c>
      <c r="F1401" s="8">
        <v>0</v>
      </c>
      <c r="G1401" s="10">
        <f>SUMIFS(_teams[wins_on_date],_teams[date],_stats[[#This Row],[date]],_teams[team_number],_stats[[#This Row],[team_number]])</f>
        <v>2</v>
      </c>
      <c r="H1401" s="10">
        <f>SUMIFS(_teams[draws_on_date],_teams[date],_stats[[#This Row],[date]],_teams[team_number],_stats[[#This Row],[team_number]])</f>
        <v>0</v>
      </c>
      <c r="I1401" s="10">
        <v>0</v>
      </c>
      <c r="J1401" s="10">
        <v>1</v>
      </c>
      <c r="K1401" s="10">
        <v>7</v>
      </c>
      <c r="L1401" s="55" t="str">
        <f>VLOOKUP(_stats[[#This Row],[tournament]],tournaments_n_rules[],2,0)</f>
        <v>УПК</v>
      </c>
      <c r="M1401" s="55" t="str">
        <f>VLOOKUP(_stats[[#This Row],[tournament]],tournaments_n_rules[],3,0)</f>
        <v>Лето 2026</v>
      </c>
      <c r="N1401" s="56">
        <f>VLOOKUP(_stats[[#This Row],[tournament]],tournaments_n_rules[],4,0)</f>
        <v>46194</v>
      </c>
      <c r="O1401" s="56">
        <f>VLOOKUP(_stats[[#This Row],[tournament]],tournaments_n_rules[],5,0)</f>
        <v>46265</v>
      </c>
    </row>
    <row r="1402" spans="1:15" x14ac:dyDescent="0.25">
      <c r="A1402" s="6">
        <v>46201</v>
      </c>
      <c r="B1402" s="7">
        <v>1</v>
      </c>
      <c r="C1402" s="7" t="s">
        <v>149</v>
      </c>
      <c r="D1402" s="10" t="str">
        <f>IFERROR(VLOOKUP(_stats[[#This Row],[player_id]],_players[[player_id]:[player_name]],2,0),"")</f>
        <v>Мухамед (Руб+1)</v>
      </c>
      <c r="E1402" s="7">
        <v>0</v>
      </c>
      <c r="F1402" s="8">
        <v>0</v>
      </c>
      <c r="G1402" s="10">
        <f>SUMIFS(_teams[wins_on_date],_teams[date],_stats[[#This Row],[date]],_teams[team_number],_stats[[#This Row],[team_number]])</f>
        <v>2</v>
      </c>
      <c r="H1402" s="10">
        <f>SUMIFS(_teams[draws_on_date],_teams[date],_stats[[#This Row],[date]],_teams[team_number],_stats[[#This Row],[team_number]])</f>
        <v>1</v>
      </c>
      <c r="I1402" s="10">
        <v>0</v>
      </c>
      <c r="J1402" s="10">
        <v>1</v>
      </c>
      <c r="K1402" s="10">
        <v>7</v>
      </c>
      <c r="L1402" s="55" t="str">
        <f>VLOOKUP(_stats[[#This Row],[tournament]],tournaments_n_rules[],2,0)</f>
        <v>УПК</v>
      </c>
      <c r="M1402" s="55" t="str">
        <f>VLOOKUP(_stats[[#This Row],[tournament]],tournaments_n_rules[],3,0)</f>
        <v>Лето 2026</v>
      </c>
      <c r="N1402" s="56">
        <f>VLOOKUP(_stats[[#This Row],[tournament]],tournaments_n_rules[],4,0)</f>
        <v>46194</v>
      </c>
      <c r="O1402" s="56">
        <f>VLOOKUP(_stats[[#This Row],[tournament]],tournaments_n_rules[],5,0)</f>
        <v>46265</v>
      </c>
    </row>
    <row r="1403" spans="1:15" x14ac:dyDescent="0.25">
      <c r="A1403" s="6">
        <v>46201</v>
      </c>
      <c r="B1403" s="7">
        <v>2</v>
      </c>
      <c r="C1403" s="7" t="s">
        <v>82</v>
      </c>
      <c r="D1403" s="10" t="str">
        <f>IFERROR(VLOOKUP(_stats[[#This Row],[player_id]],_players[[player_id]:[player_name]],2,0),"")</f>
        <v>Марат (Атай+1)</v>
      </c>
      <c r="E1403" s="7">
        <v>0</v>
      </c>
      <c r="F1403" s="8">
        <v>0</v>
      </c>
      <c r="G1403" s="10">
        <f>SUMIFS(_teams[wins_on_date],_teams[date],_stats[[#This Row],[date]],_teams[team_number],_stats[[#This Row],[team_number]])</f>
        <v>2</v>
      </c>
      <c r="H1403" s="10">
        <f>SUMIFS(_teams[draws_on_date],_teams[date],_stats[[#This Row],[date]],_teams[team_number],_stats[[#This Row],[team_number]])</f>
        <v>0</v>
      </c>
      <c r="I1403" s="10">
        <v>0</v>
      </c>
      <c r="J1403" s="10">
        <v>0</v>
      </c>
      <c r="K1403" s="10">
        <v>7</v>
      </c>
      <c r="L1403" s="55" t="str">
        <f>VLOOKUP(_stats[[#This Row],[tournament]],tournaments_n_rules[],2,0)</f>
        <v>УПК</v>
      </c>
      <c r="M1403" s="55" t="str">
        <f>VLOOKUP(_stats[[#This Row],[tournament]],tournaments_n_rules[],3,0)</f>
        <v>Лето 2026</v>
      </c>
      <c r="N1403" s="56">
        <f>VLOOKUP(_stats[[#This Row],[tournament]],tournaments_n_rules[],4,0)</f>
        <v>46194</v>
      </c>
      <c r="O1403" s="56">
        <f>VLOOKUP(_stats[[#This Row],[tournament]],tournaments_n_rules[],5,0)</f>
        <v>46265</v>
      </c>
    </row>
    <row r="1404" spans="1:15" x14ac:dyDescent="0.25">
      <c r="A1404" s="6">
        <v>46201</v>
      </c>
      <c r="B1404" s="7">
        <v>3</v>
      </c>
      <c r="C1404" s="7" t="s">
        <v>197</v>
      </c>
      <c r="D1404" s="10" t="str">
        <f>IFERROR(VLOOKUP(_stats[[#This Row],[player_id]],_players[[player_id]:[player_name]],2,0),"")</f>
        <v>Дима (Логинов+1)</v>
      </c>
      <c r="E1404" s="7">
        <v>0</v>
      </c>
      <c r="F1404" s="8">
        <v>0</v>
      </c>
      <c r="G1404" s="10">
        <f>SUMIFS(_teams[wins_on_date],_teams[date],_stats[[#This Row],[date]],_teams[team_number],_stats[[#This Row],[team_number]])</f>
        <v>10</v>
      </c>
      <c r="H1404" s="10">
        <f>SUMIFS(_teams[draws_on_date],_teams[date],_stats[[#This Row],[date]],_teams[team_number],_stats[[#This Row],[team_number]])</f>
        <v>1</v>
      </c>
      <c r="I1404" s="10">
        <v>0</v>
      </c>
      <c r="J1404" s="10">
        <v>0</v>
      </c>
      <c r="K1404" s="10">
        <v>7</v>
      </c>
      <c r="L1404" s="55" t="str">
        <f>VLOOKUP(_stats[[#This Row],[tournament]],tournaments_n_rules[],2,0)</f>
        <v>УПК</v>
      </c>
      <c r="M1404" s="55" t="str">
        <f>VLOOKUP(_stats[[#This Row],[tournament]],tournaments_n_rules[],3,0)</f>
        <v>Лето 2026</v>
      </c>
      <c r="N1404" s="56">
        <f>VLOOKUP(_stats[[#This Row],[tournament]],tournaments_n_rules[],4,0)</f>
        <v>46194</v>
      </c>
      <c r="O1404" s="56">
        <f>VLOOKUP(_stats[[#This Row],[tournament]],tournaments_n_rules[],5,0)</f>
        <v>46265</v>
      </c>
    </row>
    <row r="1405" spans="1:15" x14ac:dyDescent="0.25">
      <c r="A1405" s="6">
        <v>46201</v>
      </c>
      <c r="B1405" s="7">
        <v>3</v>
      </c>
      <c r="C1405" s="7" t="s">
        <v>198</v>
      </c>
      <c r="D1405" s="10" t="str">
        <f>IFERROR(VLOOKUP(_stats[[#This Row],[player_id]],_players[[player_id]:[player_name]],2,0),"")</f>
        <v>Арсен (Логинов+1)</v>
      </c>
      <c r="E1405" s="7">
        <v>2</v>
      </c>
      <c r="F1405" s="8">
        <v>0</v>
      </c>
      <c r="G1405" s="10">
        <f>SUMIFS(_teams[wins_on_date],_teams[date],_stats[[#This Row],[date]],_teams[team_number],_stats[[#This Row],[team_number]])</f>
        <v>10</v>
      </c>
      <c r="H1405" s="10">
        <f>SUMIFS(_teams[draws_on_date],_teams[date],_stats[[#This Row],[date]],_teams[team_number],_stats[[#This Row],[team_number]])</f>
        <v>1</v>
      </c>
      <c r="I1405" s="10">
        <v>0</v>
      </c>
      <c r="J1405" s="10">
        <v>0</v>
      </c>
      <c r="K1405" s="10">
        <v>7</v>
      </c>
      <c r="L1405" s="55" t="str">
        <f>VLOOKUP(_stats[[#This Row],[tournament]],tournaments_n_rules[],2,0)</f>
        <v>УПК</v>
      </c>
      <c r="M1405" s="55" t="str">
        <f>VLOOKUP(_stats[[#This Row],[tournament]],tournaments_n_rules[],3,0)</f>
        <v>Лето 2026</v>
      </c>
      <c r="N1405" s="56">
        <f>VLOOKUP(_stats[[#This Row],[tournament]],tournaments_n_rules[],4,0)</f>
        <v>46194</v>
      </c>
      <c r="O1405" s="56">
        <f>VLOOKUP(_stats[[#This Row],[tournament]],tournaments_n_rules[],5,0)</f>
        <v>46265</v>
      </c>
    </row>
    <row r="1406" spans="1:15" x14ac:dyDescent="0.25">
      <c r="A1406" s="6">
        <v>46201</v>
      </c>
      <c r="B1406" s="7">
        <v>3</v>
      </c>
      <c r="C1406" s="7" t="s">
        <v>199</v>
      </c>
      <c r="D1406" s="10" t="str">
        <f>IFERROR(VLOOKUP(_stats[[#This Row],[player_id]],_players[[player_id]:[player_name]],2,0),"")</f>
        <v>Артур (Логинов+1)</v>
      </c>
      <c r="E1406" s="7">
        <v>4</v>
      </c>
      <c r="F1406" s="8">
        <v>3</v>
      </c>
      <c r="G1406" s="10">
        <f>SUMIFS(_teams[wins_on_date],_teams[date],_stats[[#This Row],[date]],_teams[team_number],_stats[[#This Row],[team_number]])</f>
        <v>10</v>
      </c>
      <c r="H1406" s="10">
        <f>SUMIFS(_teams[draws_on_date],_teams[date],_stats[[#This Row],[date]],_teams[team_number],_stats[[#This Row],[team_number]])</f>
        <v>1</v>
      </c>
      <c r="I1406" s="10">
        <v>0</v>
      </c>
      <c r="J1406" s="10">
        <v>0</v>
      </c>
      <c r="K1406" s="10">
        <v>7</v>
      </c>
      <c r="L1406" s="55" t="str">
        <f>VLOOKUP(_stats[[#This Row],[tournament]],tournaments_n_rules[],2,0)</f>
        <v>УПК</v>
      </c>
      <c r="M1406" s="55" t="str">
        <f>VLOOKUP(_stats[[#This Row],[tournament]],tournaments_n_rules[],3,0)</f>
        <v>Лето 2026</v>
      </c>
      <c r="N1406" s="56">
        <f>VLOOKUP(_stats[[#This Row],[tournament]],tournaments_n_rules[],4,0)</f>
        <v>46194</v>
      </c>
      <c r="O1406" s="56">
        <f>VLOOKUP(_stats[[#This Row],[tournament]],tournaments_n_rules[],5,0)</f>
        <v>46265</v>
      </c>
    </row>
    <row r="1407" spans="1:15" x14ac:dyDescent="0.25">
      <c r="A1407" s="6">
        <v>46201</v>
      </c>
      <c r="B1407" s="7">
        <v>3</v>
      </c>
      <c r="C1407" s="7" t="s">
        <v>200</v>
      </c>
      <c r="D1407" s="10" t="str">
        <f>IFERROR(VLOOKUP(_stats[[#This Row],[player_id]],_players[[player_id]:[player_name]],2,0),"")</f>
        <v>Остап (Логинов+1)</v>
      </c>
      <c r="E1407" s="7">
        <v>5</v>
      </c>
      <c r="F1407" s="8">
        <v>3</v>
      </c>
      <c r="G1407" s="10">
        <f>SUMIFS(_teams[wins_on_date],_teams[date],_stats[[#This Row],[date]],_teams[team_number],_stats[[#This Row],[team_number]])</f>
        <v>10</v>
      </c>
      <c r="H1407" s="10">
        <f>SUMIFS(_teams[draws_on_date],_teams[date],_stats[[#This Row],[date]],_teams[team_number],_stats[[#This Row],[team_number]])</f>
        <v>1</v>
      </c>
      <c r="I1407" s="10">
        <v>0</v>
      </c>
      <c r="J1407" s="10">
        <v>0</v>
      </c>
      <c r="K1407" s="10">
        <v>7</v>
      </c>
      <c r="L1407" s="55" t="str">
        <f>VLOOKUP(_stats[[#This Row],[tournament]],tournaments_n_rules[],2,0)</f>
        <v>УПК</v>
      </c>
      <c r="M1407" s="55" t="str">
        <f>VLOOKUP(_stats[[#This Row],[tournament]],tournaments_n_rules[],3,0)</f>
        <v>Лето 2026</v>
      </c>
      <c r="N1407" s="56">
        <f>VLOOKUP(_stats[[#This Row],[tournament]],tournaments_n_rules[],4,0)</f>
        <v>46194</v>
      </c>
      <c r="O1407" s="56">
        <f>VLOOKUP(_stats[[#This Row],[tournament]],tournaments_n_rules[],5,0)</f>
        <v>46265</v>
      </c>
    </row>
    <row r="1408" spans="1:15" x14ac:dyDescent="0.25">
      <c r="A1408" s="6">
        <v>46201</v>
      </c>
      <c r="B1408" s="7">
        <v>3</v>
      </c>
      <c r="C1408" s="7" t="s">
        <v>34</v>
      </c>
      <c r="D1408" s="10" t="str">
        <f>IFERROR(VLOOKUP(_stats[[#This Row],[player_id]],_players[[player_id]:[player_name]],2,0),"")</f>
        <v>Дядя Руслан</v>
      </c>
      <c r="E1408" s="7">
        <v>0</v>
      </c>
      <c r="F1408" s="8">
        <v>0</v>
      </c>
      <c r="G1408" s="10">
        <f>SUMIFS(_teams[wins_on_date],_teams[date],_stats[[#This Row],[date]],_teams[team_number],_stats[[#This Row],[team_number]])</f>
        <v>10</v>
      </c>
      <c r="H1408" s="10">
        <f>SUMIFS(_teams[draws_on_date],_teams[date],_stats[[#This Row],[date]],_teams[team_number],_stats[[#This Row],[team_number]])</f>
        <v>1</v>
      </c>
      <c r="I1408" s="10">
        <v>0</v>
      </c>
      <c r="J1408" s="10">
        <v>0</v>
      </c>
      <c r="K1408" s="10">
        <v>7</v>
      </c>
      <c r="L1408" s="55" t="str">
        <f>VLOOKUP(_stats[[#This Row],[tournament]],tournaments_n_rules[],2,0)</f>
        <v>УПК</v>
      </c>
      <c r="M1408" s="55" t="str">
        <f>VLOOKUP(_stats[[#This Row],[tournament]],tournaments_n_rules[],3,0)</f>
        <v>Лето 2026</v>
      </c>
      <c r="N1408" s="56">
        <f>VLOOKUP(_stats[[#This Row],[tournament]],tournaments_n_rules[],4,0)</f>
        <v>46194</v>
      </c>
      <c r="O1408" s="56">
        <f>VLOOKUP(_stats[[#This Row],[tournament]],tournaments_n_rules[],5,0)</f>
        <v>46265</v>
      </c>
    </row>
    <row r="1409" spans="1:15" x14ac:dyDescent="0.25">
      <c r="A1409" s="6">
        <v>46201</v>
      </c>
      <c r="B1409" s="7">
        <v>2</v>
      </c>
      <c r="C1409" s="7" t="s">
        <v>11</v>
      </c>
      <c r="D1409" s="10" t="str">
        <f>IFERROR(VLOOKUP(_stats[[#This Row],[player_id]],_players[[player_id]:[player_name]],2,0),"")</f>
        <v>Максим Строцкий</v>
      </c>
      <c r="E1409" s="7">
        <v>1</v>
      </c>
      <c r="F1409" s="8">
        <v>2</v>
      </c>
      <c r="G1409" s="10">
        <f>SUMIFS(_teams[wins_on_date],_teams[date],_stats[[#This Row],[date]],_teams[team_number],_stats[[#This Row],[team_number]])</f>
        <v>2</v>
      </c>
      <c r="H1409" s="10">
        <f>SUMIFS(_teams[draws_on_date],_teams[date],_stats[[#This Row],[date]],_teams[team_number],_stats[[#This Row],[team_number]])</f>
        <v>0</v>
      </c>
      <c r="I1409" s="10">
        <v>0</v>
      </c>
      <c r="J1409" s="10">
        <v>0</v>
      </c>
      <c r="K1409" s="10">
        <v>7</v>
      </c>
      <c r="L1409" s="55" t="str">
        <f>VLOOKUP(_stats[[#This Row],[tournament]],tournaments_n_rules[],2,0)</f>
        <v>УПК</v>
      </c>
      <c r="M1409" s="55" t="str">
        <f>VLOOKUP(_stats[[#This Row],[tournament]],tournaments_n_rules[],3,0)</f>
        <v>Лето 2026</v>
      </c>
      <c r="N1409" s="56">
        <f>VLOOKUP(_stats[[#This Row],[tournament]],tournaments_n_rules[],4,0)</f>
        <v>46194</v>
      </c>
      <c r="O1409" s="56">
        <f>VLOOKUP(_stats[[#This Row],[tournament]],tournaments_n_rules[],5,0)</f>
        <v>46265</v>
      </c>
    </row>
    <row r="1410" spans="1:15" x14ac:dyDescent="0.25">
      <c r="A1410" s="6">
        <v>46201</v>
      </c>
      <c r="B1410" s="7">
        <v>3</v>
      </c>
      <c r="C1410" s="7" t="s">
        <v>190</v>
      </c>
      <c r="D1410" s="10" t="str">
        <f>IFERROR(VLOOKUP(_stats[[#This Row],[player_id]],_players[[player_id]:[player_name]],2,0),"")</f>
        <v>Никита (Сурэн+1)</v>
      </c>
      <c r="E1410" s="7">
        <v>4</v>
      </c>
      <c r="F1410" s="8">
        <v>2</v>
      </c>
      <c r="G1410" s="10">
        <f>SUMIFS(_teams[wins_on_date],_teams[date],_stats[[#This Row],[date]],_teams[team_number],_stats[[#This Row],[team_number]])</f>
        <v>10</v>
      </c>
      <c r="H1410" s="10">
        <f>SUMIFS(_teams[draws_on_date],_teams[date],_stats[[#This Row],[date]],_teams[team_number],_stats[[#This Row],[team_number]])</f>
        <v>1</v>
      </c>
      <c r="I1410" s="10">
        <v>0</v>
      </c>
      <c r="J1410" s="10">
        <v>0</v>
      </c>
      <c r="K1410" s="10">
        <v>7</v>
      </c>
      <c r="L1410" s="55" t="str">
        <f>VLOOKUP(_stats[[#This Row],[tournament]],tournaments_n_rules[],2,0)</f>
        <v>УПК</v>
      </c>
      <c r="M1410" s="55" t="str">
        <f>VLOOKUP(_stats[[#This Row],[tournament]],tournaments_n_rules[],3,0)</f>
        <v>Лето 2026</v>
      </c>
      <c r="N1410" s="56">
        <f>VLOOKUP(_stats[[#This Row],[tournament]],tournaments_n_rules[],4,0)</f>
        <v>46194</v>
      </c>
      <c r="O1410" s="56">
        <f>VLOOKUP(_stats[[#This Row],[tournament]],tournaments_n_rules[],5,0)</f>
        <v>46265</v>
      </c>
    </row>
    <row r="1411" spans="1:15" x14ac:dyDescent="0.25">
      <c r="A1411" s="6">
        <v>46201</v>
      </c>
      <c r="B1411" s="7">
        <v>2</v>
      </c>
      <c r="C1411" s="7" t="s">
        <v>29</v>
      </c>
      <c r="D1411" s="10" t="str">
        <f>IFERROR(VLOOKUP(_stats[[#This Row],[player_id]],_players[[player_id]:[player_name]],2,0),"")</f>
        <v>Александр Травкин</v>
      </c>
      <c r="E1411" s="7">
        <v>1</v>
      </c>
      <c r="F1411" s="8">
        <v>0</v>
      </c>
      <c r="G1411" s="10">
        <f>SUMIFS(_teams[wins_on_date],_teams[date],_stats[[#This Row],[date]],_teams[team_number],_stats[[#This Row],[team_number]])</f>
        <v>2</v>
      </c>
      <c r="H1411" s="10">
        <f>SUMIFS(_teams[draws_on_date],_teams[date],_stats[[#This Row],[date]],_teams[team_number],_stats[[#This Row],[team_number]])</f>
        <v>0</v>
      </c>
      <c r="I1411" s="10">
        <v>0</v>
      </c>
      <c r="J1411" s="10">
        <v>0</v>
      </c>
      <c r="K1411" s="10">
        <v>7</v>
      </c>
      <c r="L1411" s="55" t="str">
        <f>VLOOKUP(_stats[[#This Row],[tournament]],tournaments_n_rules[],2,0)</f>
        <v>УПК</v>
      </c>
      <c r="M1411" s="55" t="str">
        <f>VLOOKUP(_stats[[#This Row],[tournament]],tournaments_n_rules[],3,0)</f>
        <v>Лето 2026</v>
      </c>
      <c r="N1411" s="56">
        <f>VLOOKUP(_stats[[#This Row],[tournament]],tournaments_n_rules[],4,0)</f>
        <v>46194</v>
      </c>
      <c r="O1411" s="56">
        <f>VLOOKUP(_stats[[#This Row],[tournament]],tournaments_n_rules[],5,0)</f>
        <v>46265</v>
      </c>
    </row>
    <row r="1412" spans="1:15" x14ac:dyDescent="0.25">
      <c r="A1412" s="6">
        <v>46201</v>
      </c>
      <c r="B1412" s="7">
        <v>4</v>
      </c>
      <c r="C1412" s="7" t="s">
        <v>26</v>
      </c>
      <c r="D1412" s="10" t="str">
        <f>IFERROR(VLOOKUP(_stats[[#This Row],[player_id]],_players[[player_id]:[player_name]],2,0),"")</f>
        <v>Рубик</v>
      </c>
      <c r="E1412" s="7">
        <v>0</v>
      </c>
      <c r="F1412" s="8">
        <v>0</v>
      </c>
      <c r="G1412" s="10">
        <f>SUMIFS(_teams[wins_on_date],_teams[date],_stats[[#This Row],[date]],_teams[team_number],_stats[[#This Row],[team_number]])</f>
        <v>1</v>
      </c>
      <c r="H1412" s="10">
        <f>SUMIFS(_teams[draws_on_date],_teams[date],_stats[[#This Row],[date]],_teams[team_number],_stats[[#This Row],[team_number]])</f>
        <v>0</v>
      </c>
      <c r="I1412" s="10">
        <v>0</v>
      </c>
      <c r="J1412" s="10">
        <v>0</v>
      </c>
      <c r="K1412" s="10">
        <v>7</v>
      </c>
      <c r="L1412" s="55" t="str">
        <f>VLOOKUP(_stats[[#This Row],[tournament]],tournaments_n_rules[],2,0)</f>
        <v>УПК</v>
      </c>
      <c r="M1412" s="55" t="str">
        <f>VLOOKUP(_stats[[#This Row],[tournament]],tournaments_n_rules[],3,0)</f>
        <v>Лето 2026</v>
      </c>
      <c r="N1412" s="56">
        <f>VLOOKUP(_stats[[#This Row],[tournament]],tournaments_n_rules[],4,0)</f>
        <v>46194</v>
      </c>
      <c r="O1412" s="56">
        <f>VLOOKUP(_stats[[#This Row],[tournament]],tournaments_n_rules[],5,0)</f>
        <v>46265</v>
      </c>
    </row>
    <row r="1413" spans="1:15" x14ac:dyDescent="0.25">
      <c r="A1413" s="6">
        <v>46201</v>
      </c>
      <c r="B1413" s="7">
        <v>4</v>
      </c>
      <c r="C1413" s="7" t="s">
        <v>145</v>
      </c>
      <c r="D1413" s="10" t="str">
        <f>IFERROR(VLOOKUP(_stats[[#This Row],[player_id]],_players[[player_id]:[player_name]],2,0),"")</f>
        <v>Заур (Руб+1)</v>
      </c>
      <c r="E1413" s="7">
        <v>0</v>
      </c>
      <c r="F1413" s="8">
        <v>0</v>
      </c>
      <c r="G1413" s="10">
        <f>SUMIFS(_teams[wins_on_date],_teams[date],_stats[[#This Row],[date]],_teams[team_number],_stats[[#This Row],[team_number]])</f>
        <v>1</v>
      </c>
      <c r="H1413" s="10">
        <f>SUMIFS(_teams[draws_on_date],_teams[date],_stats[[#This Row],[date]],_teams[team_number],_stats[[#This Row],[team_number]])</f>
        <v>0</v>
      </c>
      <c r="I1413" s="10">
        <v>0</v>
      </c>
      <c r="J1413" s="10">
        <v>0</v>
      </c>
      <c r="K1413" s="10">
        <v>7</v>
      </c>
      <c r="L1413" s="55" t="str">
        <f>VLOOKUP(_stats[[#This Row],[tournament]],tournaments_n_rules[],2,0)</f>
        <v>УПК</v>
      </c>
      <c r="M1413" s="55" t="str">
        <f>VLOOKUP(_stats[[#This Row],[tournament]],tournaments_n_rules[],3,0)</f>
        <v>Лето 2026</v>
      </c>
      <c r="N1413" s="56">
        <f>VLOOKUP(_stats[[#This Row],[tournament]],tournaments_n_rules[],4,0)</f>
        <v>46194</v>
      </c>
      <c r="O1413" s="56">
        <f>VLOOKUP(_stats[[#This Row],[tournament]],tournaments_n_rules[],5,0)</f>
        <v>46265</v>
      </c>
    </row>
    <row r="1414" spans="1:15" x14ac:dyDescent="0.25">
      <c r="A1414" s="6">
        <v>46201</v>
      </c>
      <c r="B1414" s="7">
        <v>4</v>
      </c>
      <c r="C1414" s="7" t="s">
        <v>96</v>
      </c>
      <c r="D1414" s="10" t="str">
        <f>IFERROR(VLOOKUP(_stats[[#This Row],[player_id]],_players[[player_id]:[player_name]],2,0),"")</f>
        <v>Руслан Байшев</v>
      </c>
      <c r="E1414" s="7">
        <v>0</v>
      </c>
      <c r="F1414" s="8">
        <v>0</v>
      </c>
      <c r="G1414" s="10">
        <f>SUMIFS(_teams[wins_on_date],_teams[date],_stats[[#This Row],[date]],_teams[team_number],_stats[[#This Row],[team_number]])</f>
        <v>1</v>
      </c>
      <c r="H1414" s="10">
        <f>SUMIFS(_teams[draws_on_date],_teams[date],_stats[[#This Row],[date]],_teams[team_number],_stats[[#This Row],[team_number]])</f>
        <v>0</v>
      </c>
      <c r="I1414" s="10">
        <v>0</v>
      </c>
      <c r="J1414" s="10">
        <v>0</v>
      </c>
      <c r="K1414" s="10">
        <v>7</v>
      </c>
      <c r="L1414" s="55" t="str">
        <f>VLOOKUP(_stats[[#This Row],[tournament]],tournaments_n_rules[],2,0)</f>
        <v>УПК</v>
      </c>
      <c r="M1414" s="55" t="str">
        <f>VLOOKUP(_stats[[#This Row],[tournament]],tournaments_n_rules[],3,0)</f>
        <v>Лето 2026</v>
      </c>
      <c r="N1414" s="56">
        <f>VLOOKUP(_stats[[#This Row],[tournament]],tournaments_n_rules[],4,0)</f>
        <v>46194</v>
      </c>
      <c r="O1414" s="56">
        <f>VLOOKUP(_stats[[#This Row],[tournament]],tournaments_n_rules[],5,0)</f>
        <v>46265</v>
      </c>
    </row>
  </sheetData>
  <phoneticPr fontId="7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97"/>
  <sheetViews>
    <sheetView topLeftCell="A174" workbookViewId="0">
      <selection activeCell="E197" sqref="E197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  <row r="191" spans="1:9" x14ac:dyDescent="0.25">
      <c r="A191" s="13">
        <v>46198</v>
      </c>
      <c r="B191" s="7">
        <v>1</v>
      </c>
      <c r="C191" s="8">
        <v>4</v>
      </c>
      <c r="D191" s="8">
        <v>2</v>
      </c>
      <c r="E191" s="7">
        <v>7</v>
      </c>
      <c r="F191" s="55" t="str">
        <f>VLOOKUP(_teams[[#This Row],[tournament]],tournaments_n_rules[],2,0)</f>
        <v>УПК</v>
      </c>
      <c r="G191" s="55" t="str">
        <f>VLOOKUP(_teams[[#This Row],[tournament]],tournaments_n_rules[],3,0)</f>
        <v>Лето 2026</v>
      </c>
      <c r="H191" s="56">
        <f>VLOOKUP(_teams[[#This Row],[tournament]],tournaments_n_rules[],4,0)</f>
        <v>46194</v>
      </c>
      <c r="I191" s="56">
        <f>VLOOKUP(_teams[[#This Row],[tournament]],tournaments_n_rules[],5,0)</f>
        <v>46265</v>
      </c>
    </row>
    <row r="192" spans="1:9" x14ac:dyDescent="0.25">
      <c r="A192" s="13">
        <v>46198</v>
      </c>
      <c r="B192" s="7">
        <v>2</v>
      </c>
      <c r="C192" s="8">
        <v>2</v>
      </c>
      <c r="D192" s="8">
        <v>3</v>
      </c>
      <c r="E192" s="7">
        <v>7</v>
      </c>
      <c r="F192" s="55" t="str">
        <f>VLOOKUP(_teams[[#This Row],[tournament]],tournaments_n_rules[],2,0)</f>
        <v>УПК</v>
      </c>
      <c r="G192" s="55" t="str">
        <f>VLOOKUP(_teams[[#This Row],[tournament]],tournaments_n_rules[],3,0)</f>
        <v>Лето 2026</v>
      </c>
      <c r="H192" s="56">
        <f>VLOOKUP(_teams[[#This Row],[tournament]],tournaments_n_rules[],4,0)</f>
        <v>46194</v>
      </c>
      <c r="I192" s="56">
        <f>VLOOKUP(_teams[[#This Row],[tournament]],tournaments_n_rules[],5,0)</f>
        <v>46265</v>
      </c>
    </row>
    <row r="193" spans="1:9" x14ac:dyDescent="0.25">
      <c r="A193" s="13">
        <v>46198</v>
      </c>
      <c r="B193" s="7">
        <v>3</v>
      </c>
      <c r="C193" s="8">
        <v>2</v>
      </c>
      <c r="D193" s="8">
        <v>1</v>
      </c>
      <c r="E193" s="7">
        <v>7</v>
      </c>
      <c r="F193" s="55" t="str">
        <f>VLOOKUP(_teams[[#This Row],[tournament]],tournaments_n_rules[],2,0)</f>
        <v>УПК</v>
      </c>
      <c r="G193" s="55" t="str">
        <f>VLOOKUP(_teams[[#This Row],[tournament]],tournaments_n_rules[],3,0)</f>
        <v>Лето 2026</v>
      </c>
      <c r="H193" s="56">
        <f>VLOOKUP(_teams[[#This Row],[tournament]],tournaments_n_rules[],4,0)</f>
        <v>46194</v>
      </c>
      <c r="I193" s="56">
        <f>VLOOKUP(_teams[[#This Row],[tournament]],tournaments_n_rules[],5,0)</f>
        <v>46265</v>
      </c>
    </row>
    <row r="194" spans="1:9" x14ac:dyDescent="0.25">
      <c r="A194" s="13">
        <v>46201</v>
      </c>
      <c r="B194" s="7">
        <v>1</v>
      </c>
      <c r="C194" s="8">
        <v>2</v>
      </c>
      <c r="D194" s="8">
        <v>1</v>
      </c>
      <c r="E194" s="7">
        <v>7</v>
      </c>
      <c r="F194" s="55" t="str">
        <f>VLOOKUP(_teams[[#This Row],[tournament]],tournaments_n_rules[],2,0)</f>
        <v>УПК</v>
      </c>
      <c r="G194" s="55" t="str">
        <f>VLOOKUP(_teams[[#This Row],[tournament]],tournaments_n_rules[],3,0)</f>
        <v>Лето 2026</v>
      </c>
      <c r="H194" s="56">
        <f>VLOOKUP(_teams[[#This Row],[tournament]],tournaments_n_rules[],4,0)</f>
        <v>46194</v>
      </c>
      <c r="I194" s="56">
        <f>VLOOKUP(_teams[[#This Row],[tournament]],tournaments_n_rules[],5,0)</f>
        <v>46265</v>
      </c>
    </row>
    <row r="195" spans="1:9" x14ac:dyDescent="0.25">
      <c r="A195" s="13">
        <v>46201</v>
      </c>
      <c r="B195" s="7">
        <v>2</v>
      </c>
      <c r="C195" s="8">
        <v>2</v>
      </c>
      <c r="D195" s="8">
        <v>0</v>
      </c>
      <c r="E195" s="7">
        <v>7</v>
      </c>
      <c r="F195" s="55" t="str">
        <f>VLOOKUP(_teams[[#This Row],[tournament]],tournaments_n_rules[],2,0)</f>
        <v>УПК</v>
      </c>
      <c r="G195" s="55" t="str">
        <f>VLOOKUP(_teams[[#This Row],[tournament]],tournaments_n_rules[],3,0)</f>
        <v>Лето 2026</v>
      </c>
      <c r="H195" s="56">
        <f>VLOOKUP(_teams[[#This Row],[tournament]],tournaments_n_rules[],4,0)</f>
        <v>46194</v>
      </c>
      <c r="I195" s="56">
        <f>VLOOKUP(_teams[[#This Row],[tournament]],tournaments_n_rules[],5,0)</f>
        <v>46265</v>
      </c>
    </row>
    <row r="196" spans="1:9" x14ac:dyDescent="0.25">
      <c r="A196" s="13">
        <v>46201</v>
      </c>
      <c r="B196" s="7">
        <v>3</v>
      </c>
      <c r="C196" s="8">
        <v>10</v>
      </c>
      <c r="D196" s="8">
        <v>1</v>
      </c>
      <c r="E196" s="7">
        <v>7</v>
      </c>
      <c r="F196" s="55" t="str">
        <f>VLOOKUP(_teams[[#This Row],[tournament]],tournaments_n_rules[],2,0)</f>
        <v>УПК</v>
      </c>
      <c r="G196" s="55" t="str">
        <f>VLOOKUP(_teams[[#This Row],[tournament]],tournaments_n_rules[],3,0)</f>
        <v>Лето 2026</v>
      </c>
      <c r="H196" s="56">
        <f>VLOOKUP(_teams[[#This Row],[tournament]],tournaments_n_rules[],4,0)</f>
        <v>46194</v>
      </c>
      <c r="I196" s="56">
        <f>VLOOKUP(_teams[[#This Row],[tournament]],tournaments_n_rules[],5,0)</f>
        <v>46265</v>
      </c>
    </row>
    <row r="197" spans="1:9" x14ac:dyDescent="0.25">
      <c r="A197" s="13">
        <v>46201</v>
      </c>
      <c r="B197" s="7">
        <v>4</v>
      </c>
      <c r="C197" s="8">
        <v>1</v>
      </c>
      <c r="D197" s="8">
        <v>0</v>
      </c>
      <c r="E197" s="7">
        <v>7</v>
      </c>
      <c r="F197" s="55" t="str">
        <f>VLOOKUP(_teams[[#This Row],[tournament]],tournaments_n_rules[],2,0)</f>
        <v>УПК</v>
      </c>
      <c r="G197" s="55" t="str">
        <f>VLOOKUP(_teams[[#This Row],[tournament]],tournaments_n_rules[],3,0)</f>
        <v>Лето 2026</v>
      </c>
      <c r="H197" s="56">
        <f>VLOOKUP(_teams[[#This Row],[tournament]],tournaments_n_rules[],4,0)</f>
        <v>46194</v>
      </c>
      <c r="I197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197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8"/>
  <sheetViews>
    <sheetView workbookViewId="0">
      <selection activeCell="C13" sqref="C13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103</v>
      </c>
      <c r="C8" s="45" t="s">
        <v>187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foxhatenoobs</cp:lastModifiedBy>
  <dcterms:created xsi:type="dcterms:W3CDTF">2015-06-05T18:19:34Z</dcterms:created>
  <dcterms:modified xsi:type="dcterms:W3CDTF">2026-06-28T10:53:38Z</dcterms:modified>
</cp:coreProperties>
</file>