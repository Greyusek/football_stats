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6387B9B1-1C0F-484A-A912-FEB46DB1A2D8}" xr6:coauthVersionLast="47" xr6:coauthVersionMax="47" xr10:uidLastSave="{00000000-0000-0000-0000-000000000000}"/>
  <bookViews>
    <workbookView xWindow="10320" yWindow="0" windowWidth="15285" windowHeight="14775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04" i="2" l="1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E147" i="1" s="1"/>
  <c r="H1257" i="2"/>
  <c r="F147" i="1" s="1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E145" i="1" s="1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45" i="1" l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<sst xmlns="http://schemas.openxmlformats.org/spreadsheetml/2006/main" count="1649" uniqueCount="185">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</sst>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49" fontId="5" fillId="0" borderId="6" xfId="0" applyNumberFormat="1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4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7" totalsRowShown="0" headerRowDxfId="59" headerRowBorderDxfId="58" tableBorderDxfId="57" totalsRowBorderDxfId="56">
  <autoFilter ref="A1:G147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304" totalsRowShown="0" headerRowDxfId="48" dataDxfId="46" headerRowBorderDxfId="47" tableBorderDxfId="45" totalsRowBorderDxfId="44">
  <autoFilter ref="A1:O1304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83" totalsRowShown="0" headerRowDxfId="28" dataDxfId="26" headerRowBorderDxfId="27" tableBorderDxfId="25" totalsRowBorderDxfId="24">
  <autoFilter ref="A1:I183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7"/>
  <sheetViews>
    <sheetView topLeftCell="A117" workbookViewId="0">
      <selection activeCell="H142" sqref="H142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97</v>
      </c>
      <c r="D2" s="19">
        <f>SUMIFS(_stats[assists_on_date],_stats[player_id],_players[[#This Row],[player_id]])</f>
        <v>36</v>
      </c>
      <c r="E2" s="19">
        <f>SUMIFS(_stats[wins_on_date],_stats[player_id],_players[[#This Row],[player_id]])</f>
        <v>121</v>
      </c>
      <c r="F2" s="20">
        <f>SUMIFS(_stats[draws_on_date],_stats[player_id],_players[[#This Row],[player_id]])</f>
        <v>18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43</v>
      </c>
      <c r="E3" s="11">
        <f>SUMIFS(_stats[wins_on_date],_stats[player_id],_players[[#This Row],[player_id]])</f>
        <v>175</v>
      </c>
      <c r="F3" s="12">
        <f>SUMIFS(_stats[draws_on_date],_stats[player_id],_players[[#This Row],[player_id]])</f>
        <v>38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172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31</v>
      </c>
      <c r="E5" s="21">
        <f>SUMIFS(_stats[wins_on_date],_stats[player_id],_players[[#This Row],[player_id]])</f>
        <v>110</v>
      </c>
      <c r="F5" s="22">
        <f>SUMIFS(_stats[draws_on_date],_stats[player_id],_players[[#This Row],[player_id]])</f>
        <v>15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27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188</v>
      </c>
      <c r="F6" s="17">
        <f>SUMIFS(_stats[draws_on_date],_stats[player_id],_players[[#This Row],[player_id]])</f>
        <v>42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151</v>
      </c>
      <c r="F8" s="12">
        <f>SUMIFS(_stats[draws_on_date],_stats[player_id],_players[[#This Row],[player_id]])</f>
        <v>40</v>
      </c>
      <c r="G8" s="12">
        <f>SUMIFS(_stats[foul_on_date],_stats[player_id],_players[[#This Row],[player_id]])</f>
        <v>1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71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72</v>
      </c>
      <c r="D12" s="16">
        <f>SUMIFS(_stats[assists_on_date],_stats[player_id],_players[[#This Row],[player_id]])</f>
        <v>80</v>
      </c>
      <c r="E12" s="16">
        <f>SUMIFS(_stats[wins_on_date],_stats[player_id],_players[[#This Row],[player_id]])</f>
        <v>142</v>
      </c>
      <c r="F12" s="17">
        <f>SUMIFS(_stats[draws_on_date],_stats[player_id],_players[[#This Row],[player_id]])</f>
        <v>43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155</v>
      </c>
      <c r="F14" s="12">
        <f>SUMIFS(_stats[draws_on_date],_stats[player_id],_players[[#This Row],[player_id]])</f>
        <v>39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21</v>
      </c>
      <c r="D15" s="11">
        <f>SUMIFS(_stats[assists_on_date],_stats[player_id],_players[[#This Row],[player_id]])</f>
        <v>39</v>
      </c>
      <c r="E15" s="11">
        <f>SUMIFS(_stats[wins_on_date],_stats[player_id],_players[[#This Row],[player_id]])</f>
        <v>77</v>
      </c>
      <c r="F15" s="12">
        <f>SUMIFS(_stats[draws_on_date],_stats[player_id],_players[[#This Row],[player_id]])</f>
        <v>10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61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35</v>
      </c>
      <c r="E18" s="11">
        <f>SUMIFS(_stats[wins_on_date],_stats[player_id],_players[[#This Row],[player_id]])</f>
        <v>104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20</v>
      </c>
      <c r="D20" s="11">
        <f>SUMIFS(_stats[assists_on_date],_stats[player_id],_players[[#This Row],[player_id]])</f>
        <v>19</v>
      </c>
      <c r="E20" s="11">
        <f>SUMIFS(_stats[wins_on_date],_stats[player_id],_players[[#This Row],[player_id]])</f>
        <v>113</v>
      </c>
      <c r="F20" s="12">
        <f>SUMIFS(_stats[draws_on_date],_stats[player_id],_players[[#This Row],[player_id]])</f>
        <v>23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123</v>
      </c>
      <c r="F21" s="12">
        <f>SUMIFS(_stats[draws_on_date],_stats[player_id],_players[[#This Row],[player_id]])</f>
        <v>31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124</v>
      </c>
      <c r="F22" s="17">
        <f>SUMIFS(_stats[draws_on_date],_stats[player_id],_players[[#This Row],[player_id]])</f>
        <v>26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25</v>
      </c>
      <c r="E25" s="11">
        <f>SUMIFS(_stats[wins_on_date],_stats[player_id],_players[[#This Row],[player_id]])</f>
        <v>117</v>
      </c>
      <c r="F25" s="12">
        <f>SUMIFS(_stats[draws_on_date],_stats[player_id],_players[[#This Row],[player_id]])</f>
        <v>36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49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79</v>
      </c>
      <c r="F35" s="17">
        <f>SUMIFS(_stats[draws_on_date],_stats[player_id],_players[[#This Row],[player_id]])</f>
        <v>24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62</v>
      </c>
      <c r="F37" s="12">
        <f>SUMIFS(_stats[draws_on_date],_stats[player_id],_players[[#This Row],[player_id]])</f>
        <v>18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18</v>
      </c>
      <c r="E38" s="11">
        <f>SUMIFS(_stats[wins_on_date],_stats[player_id],_players[[#This Row],[player_id]])</f>
        <v>64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1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156</v>
      </c>
      <c r="F39" s="12">
        <f>SUMIFS(_stats[draws_on_date],_stats[player_id],_players[[#This Row],[player_id]])</f>
        <v>52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76</v>
      </c>
      <c r="F41" s="12">
        <f>SUMIFS(_stats[draws_on_date],_stats[player_id],_players[[#This Row],[player_id]])</f>
        <v>25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63</v>
      </c>
      <c r="F42" s="17">
        <f>SUMIFS(_stats[draws_on_date],_stats[player_id],_players[[#This Row],[player_id]])</f>
        <v>16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10</v>
      </c>
      <c r="E43" s="11">
        <f>SUMIFS(_stats[wins_on_date],_stats[player_id],_players[[#This Row],[player_id]])</f>
        <v>46</v>
      </c>
      <c r="F43" s="12">
        <f>SUMIFS(_stats[draws_on_date],_stats[player_id],_players[[#This Row],[player_id]])</f>
        <v>16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8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45</v>
      </c>
      <c r="F59" s="18">
        <f>SUMIFS(_stats[draws_on_date],_stats[player_id],_players[[#This Row],[player_id]])</f>
        <v>12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102</v>
      </c>
      <c r="F64" s="18">
        <f>SUMIFS(_stats[draws_on_date],_stats[player_id],_players[[#This Row],[player_id]])</f>
        <v>28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42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41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14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5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39</v>
      </c>
      <c r="F110" s="18">
        <f>SUMIFS(_stats[draws_on_date],_stats[player_id],_players[[#This Row],[player_id]])</f>
        <v>15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8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27</v>
      </c>
      <c r="F120" s="18">
        <f>SUMIFS(_stats[draws_on_date],_stats[player_id],_players[[#This Row],[player_id]])</f>
        <v>12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14</v>
      </c>
      <c r="D121" s="10">
        <f>SUMIFS(_stats[assists_on_date],_stats[player_id],_players[[#This Row],[player_id]])</f>
        <v>16</v>
      </c>
      <c r="E121" s="10">
        <f>SUMIFS(_stats[wins_on_date],_stats[player_id],_players[[#This Row],[player_id]])</f>
        <v>57</v>
      </c>
      <c r="F121" s="18">
        <f>SUMIFS(_stats[draws_on_date],_stats[player_id],_players[[#This Row],[player_id]])</f>
        <v>20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19</v>
      </c>
      <c r="F126" s="18">
        <f>SUMIFS(_stats[draws_on_date],_stats[player_id],_players[[#This Row],[player_id]])</f>
        <v>11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4</v>
      </c>
      <c r="F131" s="18">
        <f>SUMIFS(_stats[draws_on_date],_stats[player_id],_players[[#This Row],[player_id]])</f>
        <v>3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3</v>
      </c>
      <c r="G134" s="18">
        <f>SUMIFS(_stats[foul_on_date],_stats[player_id],_players[[#This Row],[player_id]])</f>
        <v>1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6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5</v>
      </c>
      <c r="F140" s="18">
        <f>SUMIFS(_stats[draws_on_date],_stats[player_id],_players[[#This Row],[player_id]])</f>
        <v>6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1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3</v>
      </c>
      <c r="F147" s="18">
        <f>SUMIFS(_stats[draws_on_date],_stats[player_id],_players[[#This Row],[player_id]])</f>
        <v>0</v>
      </c>
      <c r="G147" s="18">
        <f>SUMIFS(_stats[foul_on_date],_stats[player_id],_players[[#This Row],[player_id]])</f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304"/>
  <sheetViews>
    <sheetView tabSelected="1" topLeftCell="C1267" zoomScale="85" zoomScaleNormal="85" workbookViewId="0">
      <selection activeCell="G1304" sqref="G130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</sheetData>
  <phoneticPr fontId="6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83"/>
  <sheetViews>
    <sheetView topLeftCell="A155" workbookViewId="0">
      <selection activeCell="E182" sqref="E182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83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2026-05-28T20:02:15Z</dcterms:modified>
</cp:coreProperties>
</file>