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v\football_stats\"/>
    </mc:Choice>
  </mc:AlternateContent>
  <xr:revisionPtr revIDLastSave="0" documentId="13_ncr:1_{1C4ABA4A-3991-4D38-8F52-63F8007A031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84" i="2" l="1"/>
  <c r="G1384" i="2"/>
  <c r="H1384" i="2"/>
  <c r="L1384" i="2"/>
  <c r="M1384" i="2"/>
  <c r="N1384" i="2"/>
  <c r="O1384" i="2"/>
  <c r="D1383" i="2"/>
  <c r="G1383" i="2"/>
  <c r="H1383" i="2"/>
  <c r="L1383" i="2"/>
  <c r="M1383" i="2"/>
  <c r="N1383" i="2"/>
  <c r="O1383" i="2"/>
  <c r="D1382" i="2"/>
  <c r="G1382" i="2"/>
  <c r="H1382" i="2"/>
  <c r="L1382" i="2"/>
  <c r="M1382" i="2"/>
  <c r="N1382" i="2"/>
  <c r="O1382" i="2"/>
  <c r="D1381" i="2"/>
  <c r="G1381" i="2"/>
  <c r="H1381" i="2"/>
  <c r="L1381" i="2"/>
  <c r="M1381" i="2"/>
  <c r="N1381" i="2"/>
  <c r="O1381" i="2"/>
  <c r="D1380" i="2"/>
  <c r="G1380" i="2"/>
  <c r="H1380" i="2"/>
  <c r="L1380" i="2"/>
  <c r="M1380" i="2"/>
  <c r="N1380" i="2"/>
  <c r="O1380" i="2"/>
  <c r="D1379" i="2"/>
  <c r="G1379" i="2"/>
  <c r="H1379" i="2"/>
  <c r="L1379" i="2"/>
  <c r="M1379" i="2"/>
  <c r="N1379" i="2"/>
  <c r="O1379" i="2"/>
  <c r="D1378" i="2"/>
  <c r="G1378" i="2"/>
  <c r="H1378" i="2"/>
  <c r="L1378" i="2"/>
  <c r="M1378" i="2"/>
  <c r="N1378" i="2"/>
  <c r="O1378" i="2"/>
  <c r="D1377" i="2"/>
  <c r="G1377" i="2"/>
  <c r="H1377" i="2"/>
  <c r="L1377" i="2"/>
  <c r="M1377" i="2"/>
  <c r="N1377" i="2"/>
  <c r="O1377" i="2"/>
  <c r="D1376" i="2"/>
  <c r="G1376" i="2"/>
  <c r="H1376" i="2"/>
  <c r="L1376" i="2"/>
  <c r="M1376" i="2"/>
  <c r="N1376" i="2"/>
  <c r="O1376" i="2"/>
  <c r="D1375" i="2"/>
  <c r="G1375" i="2"/>
  <c r="H1375" i="2"/>
  <c r="L1375" i="2"/>
  <c r="M1375" i="2"/>
  <c r="N1375" i="2"/>
  <c r="O1375" i="2"/>
  <c r="D1374" i="2"/>
  <c r="G1374" i="2"/>
  <c r="H1374" i="2"/>
  <c r="L1374" i="2"/>
  <c r="M1374" i="2"/>
  <c r="N1374" i="2"/>
  <c r="O1374" i="2"/>
  <c r="D1373" i="2"/>
  <c r="G1373" i="2"/>
  <c r="H1373" i="2"/>
  <c r="L1373" i="2"/>
  <c r="M1373" i="2"/>
  <c r="N1373" i="2"/>
  <c r="O1373" i="2"/>
  <c r="D1372" i="2"/>
  <c r="G1372" i="2"/>
  <c r="H1372" i="2"/>
  <c r="L1372" i="2"/>
  <c r="M1372" i="2"/>
  <c r="N1372" i="2"/>
  <c r="O1372" i="2"/>
  <c r="D1371" i="2"/>
  <c r="G1371" i="2"/>
  <c r="H1371" i="2"/>
  <c r="L1371" i="2"/>
  <c r="M1371" i="2"/>
  <c r="N1371" i="2"/>
  <c r="O1371" i="2"/>
  <c r="D1370" i="2"/>
  <c r="G1370" i="2"/>
  <c r="H1370" i="2"/>
  <c r="L1370" i="2"/>
  <c r="M1370" i="2"/>
  <c r="N1370" i="2"/>
  <c r="O1370" i="2"/>
  <c r="D1369" i="2"/>
  <c r="G1369" i="2"/>
  <c r="H1369" i="2"/>
  <c r="L1369" i="2"/>
  <c r="M1369" i="2"/>
  <c r="N1369" i="2"/>
  <c r="O1369" i="2"/>
  <c r="D1368" i="2"/>
  <c r="G1368" i="2"/>
  <c r="H1368" i="2"/>
  <c r="L1368" i="2"/>
  <c r="M1368" i="2"/>
  <c r="N1368" i="2"/>
  <c r="O1368" i="2"/>
  <c r="D1367" i="2"/>
  <c r="G1367" i="2"/>
  <c r="H1367" i="2"/>
  <c r="L1367" i="2"/>
  <c r="M1367" i="2"/>
  <c r="N1367" i="2"/>
  <c r="O1367" i="2"/>
  <c r="D1366" i="2"/>
  <c r="G1366" i="2"/>
  <c r="H1366" i="2"/>
  <c r="L1366" i="2"/>
  <c r="M1366" i="2"/>
  <c r="N1366" i="2"/>
  <c r="O1366" i="2"/>
  <c r="D1365" i="2"/>
  <c r="G1365" i="2"/>
  <c r="H1365" i="2"/>
  <c r="L1365" i="2"/>
  <c r="M1365" i="2"/>
  <c r="N1365" i="2"/>
  <c r="O1365" i="2"/>
  <c r="D1364" i="2"/>
  <c r="G1364" i="2"/>
  <c r="H1364" i="2"/>
  <c r="L1364" i="2"/>
  <c r="M1364" i="2"/>
  <c r="N1364" i="2"/>
  <c r="O1364" i="2"/>
  <c r="C158" i="1"/>
  <c r="D158" i="1"/>
  <c r="E158" i="1"/>
  <c r="F158" i="1"/>
  <c r="G158" i="1"/>
  <c r="C157" i="1"/>
  <c r="D157" i="1"/>
  <c r="E157" i="1"/>
  <c r="F157" i="1"/>
  <c r="G157" i="1"/>
  <c r="C156" i="1"/>
  <c r="D156" i="1"/>
  <c r="E156" i="1"/>
  <c r="F156" i="1"/>
  <c r="G156" i="1"/>
  <c r="F193" i="3"/>
  <c r="G193" i="3"/>
  <c r="H193" i="3"/>
  <c r="I193" i="3"/>
  <c r="F192" i="3"/>
  <c r="G192" i="3"/>
  <c r="H192" i="3"/>
  <c r="I192" i="3"/>
  <c r="F191" i="3"/>
  <c r="G191" i="3"/>
  <c r="H191" i="3"/>
  <c r="I191" i="3"/>
  <c r="C155" i="1"/>
  <c r="D155" i="1"/>
  <c r="G155" i="1"/>
  <c r="C154" i="1"/>
  <c r="D154" i="1"/>
  <c r="G154" i="1"/>
  <c r="C153" i="1"/>
  <c r="D153" i="1"/>
  <c r="G153" i="1"/>
  <c r="D1363" i="2"/>
  <c r="G1363" i="2"/>
  <c r="E155" i="1" s="1"/>
  <c r="H1363" i="2"/>
  <c r="F155" i="1" s="1"/>
  <c r="L1363" i="2"/>
  <c r="M1363" i="2"/>
  <c r="N1363" i="2"/>
  <c r="O1363" i="2"/>
  <c r="D1362" i="2"/>
  <c r="G1362" i="2"/>
  <c r="H1362" i="2"/>
  <c r="L1362" i="2"/>
  <c r="M1362" i="2"/>
  <c r="N1362" i="2"/>
  <c r="O1362" i="2"/>
  <c r="D1361" i="2"/>
  <c r="G1361" i="2"/>
  <c r="E154" i="1" s="1"/>
  <c r="H1361" i="2"/>
  <c r="F154" i="1" s="1"/>
  <c r="L1361" i="2"/>
  <c r="M1361" i="2"/>
  <c r="N1361" i="2"/>
  <c r="O1361" i="2"/>
  <c r="D1358" i="2"/>
  <c r="C152" i="1"/>
  <c r="D152" i="1"/>
  <c r="G152" i="1"/>
  <c r="C151" i="1"/>
  <c r="D151" i="1"/>
  <c r="G151" i="1"/>
  <c r="C150" i="1"/>
  <c r="D150" i="1"/>
  <c r="G150" i="1"/>
  <c r="D1360" i="2"/>
  <c r="G1360" i="2"/>
  <c r="E153" i="1" s="1"/>
  <c r="H1360" i="2"/>
  <c r="F153" i="1" s="1"/>
  <c r="L1360" i="2"/>
  <c r="M1360" i="2"/>
  <c r="N1360" i="2"/>
  <c r="O1360" i="2"/>
  <c r="D1359" i="2"/>
  <c r="G1359" i="2"/>
  <c r="H1359" i="2"/>
  <c r="L1359" i="2"/>
  <c r="M1359" i="2"/>
  <c r="N1359" i="2"/>
  <c r="O1359" i="2"/>
  <c r="G1358" i="2"/>
  <c r="E152" i="1" s="1"/>
  <c r="H1358" i="2"/>
  <c r="F152" i="1" s="1"/>
  <c r="L1358" i="2"/>
  <c r="M1358" i="2"/>
  <c r="N1358" i="2"/>
  <c r="O1358" i="2"/>
  <c r="D1357" i="2"/>
  <c r="G1357" i="2"/>
  <c r="H1357" i="2"/>
  <c r="L1357" i="2"/>
  <c r="M1357" i="2"/>
  <c r="N1357" i="2"/>
  <c r="O1357" i="2"/>
  <c r="D1356" i="2"/>
  <c r="G1356" i="2"/>
  <c r="H1356" i="2"/>
  <c r="L1356" i="2"/>
  <c r="M1356" i="2"/>
  <c r="N1356" i="2"/>
  <c r="O1356" i="2"/>
  <c r="D1355" i="2"/>
  <c r="G1355" i="2"/>
  <c r="E151" i="1" s="1"/>
  <c r="H1355" i="2"/>
  <c r="F151" i="1" s="1"/>
  <c r="L1355" i="2"/>
  <c r="M1355" i="2"/>
  <c r="N1355" i="2"/>
  <c r="O1355" i="2"/>
  <c r="D1354" i="2"/>
  <c r="G1354" i="2"/>
  <c r="H1354" i="2"/>
  <c r="L1354" i="2"/>
  <c r="M1354" i="2"/>
  <c r="N1354" i="2"/>
  <c r="O1354" i="2"/>
  <c r="D1353" i="2"/>
  <c r="G1353" i="2"/>
  <c r="H1353" i="2"/>
  <c r="L1353" i="2"/>
  <c r="M1353" i="2"/>
  <c r="N1353" i="2"/>
  <c r="O1353" i="2"/>
  <c r="D1352" i="2"/>
  <c r="G1352" i="2"/>
  <c r="E150" i="1" s="1"/>
  <c r="H1352" i="2"/>
  <c r="F150" i="1" s="1"/>
  <c r="L1352" i="2"/>
  <c r="M1352" i="2"/>
  <c r="N1352" i="2"/>
  <c r="O1352" i="2"/>
  <c r="D1351" i="2"/>
  <c r="G1351" i="2"/>
  <c r="H1351" i="2"/>
  <c r="L1351" i="2"/>
  <c r="M1351" i="2"/>
  <c r="N1351" i="2"/>
  <c r="O1351" i="2"/>
  <c r="D1350" i="2"/>
  <c r="G1350" i="2"/>
  <c r="H1350" i="2"/>
  <c r="L1350" i="2"/>
  <c r="M1350" i="2"/>
  <c r="N1350" i="2"/>
  <c r="O1350" i="2"/>
  <c r="D1349" i="2"/>
  <c r="G1349" i="2"/>
  <c r="H1349" i="2"/>
  <c r="L1349" i="2"/>
  <c r="M1349" i="2"/>
  <c r="N1349" i="2"/>
  <c r="O1349" i="2"/>
  <c r="D1348" i="2"/>
  <c r="G1348" i="2"/>
  <c r="H1348" i="2"/>
  <c r="L1348" i="2"/>
  <c r="M1348" i="2"/>
  <c r="N1348" i="2"/>
  <c r="O1348" i="2"/>
  <c r="D1347" i="2"/>
  <c r="G1347" i="2"/>
  <c r="H1347" i="2"/>
  <c r="L1347" i="2"/>
  <c r="M1347" i="2"/>
  <c r="N1347" i="2"/>
  <c r="O1347" i="2"/>
  <c r="D1346" i="2"/>
  <c r="G1346" i="2"/>
  <c r="H1346" i="2"/>
  <c r="L1346" i="2"/>
  <c r="M1346" i="2"/>
  <c r="N1346" i="2"/>
  <c r="O1346" i="2"/>
  <c r="D1345" i="2"/>
  <c r="G1345" i="2"/>
  <c r="H1345" i="2"/>
  <c r="L1345" i="2"/>
  <c r="M1345" i="2"/>
  <c r="N1345" i="2"/>
  <c r="O1345" i="2"/>
  <c r="D1344" i="2"/>
  <c r="G1344" i="2"/>
  <c r="H1344" i="2"/>
  <c r="L1344" i="2"/>
  <c r="M1344" i="2"/>
  <c r="N1344" i="2"/>
  <c r="O1344" i="2"/>
  <c r="D1343" i="2"/>
  <c r="G1343" i="2"/>
  <c r="H1343" i="2"/>
  <c r="L1343" i="2"/>
  <c r="M1343" i="2"/>
  <c r="N1343" i="2"/>
  <c r="O1343" i="2"/>
  <c r="D1342" i="2"/>
  <c r="G1342" i="2"/>
  <c r="H1342" i="2"/>
  <c r="L1342" i="2"/>
  <c r="M1342" i="2"/>
  <c r="N1342" i="2"/>
  <c r="O1342" i="2"/>
  <c r="D1341" i="2"/>
  <c r="G1341" i="2"/>
  <c r="H1341" i="2"/>
  <c r="L1341" i="2"/>
  <c r="M1341" i="2"/>
  <c r="N1341" i="2"/>
  <c r="O1341" i="2"/>
  <c r="D1340" i="2"/>
  <c r="G1340" i="2"/>
  <c r="H1340" i="2"/>
  <c r="L1340" i="2"/>
  <c r="M1340" i="2"/>
  <c r="N1340" i="2"/>
  <c r="O1340" i="2"/>
  <c r="D1339" i="2"/>
  <c r="G1339" i="2"/>
  <c r="H1339" i="2"/>
  <c r="L1339" i="2"/>
  <c r="M1339" i="2"/>
  <c r="N1339" i="2"/>
  <c r="O1339" i="2"/>
  <c r="F190" i="3"/>
  <c r="G190" i="3"/>
  <c r="H190" i="3"/>
  <c r="I190" i="3"/>
  <c r="F189" i="3"/>
  <c r="G189" i="3"/>
  <c r="H189" i="3"/>
  <c r="I189" i="3"/>
  <c r="F188" i="3"/>
  <c r="G188" i="3"/>
  <c r="H188" i="3"/>
  <c r="I188" i="3"/>
  <c r="A8" i="4"/>
  <c r="G1311" i="2"/>
  <c r="C149" i="1"/>
  <c r="D149" i="1"/>
  <c r="G149" i="1"/>
  <c r="C148" i="1"/>
  <c r="D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E149" i="1" s="1"/>
  <c r="H1338" i="2"/>
  <c r="F149" i="1" s="1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H1257" i="2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E135" i="1" s="1"/>
  <c r="H1098" i="2"/>
  <c r="F135" i="1" s="1"/>
  <c r="C135" i="1"/>
  <c r="D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F130" i="1" s="1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47" i="1" l="1"/>
  <c r="E147" i="1"/>
  <c r="E130" i="1"/>
  <c r="E148" i="1"/>
  <c r="F148" i="1"/>
  <c r="F144" i="1"/>
  <c r="E124" i="1"/>
  <c r="F131" i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<sst xmlns="http://schemas.openxmlformats.org/spreadsheetml/2006/main" count="1753" uniqueCount="197">
  <si>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</si>
  <si>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</si>
  <si>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</si>
  <si>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</si>
  <si>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</si>
  <si>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</si>
  <si>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</si>
  <si>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</si>
  <si>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</si>
  <si>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</si>
  <si>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</si>
  <si>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</si>
  <si>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</si>
  <si>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</si>
  <si>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</si>
  <si>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</si>
  <si>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</si>
  <si>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</si>
  <si>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</si>
  <si>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</si>
  <si>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</si>
  <si>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</si>
  <si>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</si>
  <si>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</si>
  <si>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</si>
  <si>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</si>
  <si>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</si>
  <si>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</si>
  <si>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</si>
  <si>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</si>
  <si>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</si>
  <si>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</si>
  <si>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</si>
  <si>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</si>
  <si>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</si>
  <si>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</si>
  <si>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</si>
  <si>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</si>
  <si>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</si>
  <si>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</si>
  <si>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</si>
  <si>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</si>
  <si>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</si>
  <si>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</si>
  <si>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</si>
  <si>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</si>
  <si>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</si>
  <si>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</si>
  <si>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</si>
  <si>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</si>
  <si>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</si>
  <si>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</si>
  <si>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</si>
  <si>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</si>
  <si>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</si>
  <si>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</si>
  <si>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</si>
  <si>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</si>
  <si>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</si>
  <si>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</si>
  <si>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</si>
  <si>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</si>
  <si>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</si>
  <si>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</si>
  <si>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</si>
  <si>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</si>
  <si>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</si>
  <si>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</si>
  <si>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</si>
  <si>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</si>
  <si>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</si>
  <si>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</si>
  <si>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</si>
  <si>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</si>
  <si>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</si>
  <si>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</si>
  <si>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</si>
  <si>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</si>
  <si>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</si>
  <si>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</si>
  <si>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</si>
  <si>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</si>
  <si>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</si>
  <si>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</si>
  <si>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</si>
  <si>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</si>
  <si>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</si>
  <si>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</si>
  <si>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</si>
  <si>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</si>
  <si>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</si>
  <si>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</si>
  <si>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</si>
  <si>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</si>
  <si>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</si>
  <si>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</si>
  <si>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</si>
  <si>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</si>
  <si>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</si>
  <si>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</si>
  <si>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</si>
  <si>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</si>
  <si>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</si>
  <si>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</si>
  <si>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</si>
  <si>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</si>
  <si>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</si>
  <si>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</si>
  <si>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</si>
  <si>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</si>
  <si>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</si>
  <si>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</si>
  <si>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</si>
  <si>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</si>
  <si>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</si>
  <si>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</si>
  <si>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</si>
  <si>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</si>
  <si>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</si>
  <si>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</si>
  <si>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</si>
  <si>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</si>
  <si>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</si>
  <si>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</si>
  <si>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</si>
  <si>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</si>
  <si>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</si>
  <si>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</si>
  <si>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</si>
  <si>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</si>
  <si>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</si>
  <si>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</si>
  <si>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</si>
  <si>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</si>
  <si>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</si>
  <si>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</si>
  <si>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</si>
  <si>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</si>
  <si>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</si>
  <si>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</si>
  <si>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</si>
  <si>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</si>
  <si>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</si>
  <si>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</si>
  <si>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</si>
  <si>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</si>
  <si>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</si>
  <si>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</si>
  <si>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</si>
  <si>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</si>
  <si>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</si>
  <si>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</si>
  <si>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</si>
  <si>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</si>
  <si>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</si>
  <si>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</si>
  <si>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</si>
  <si>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</si>
  <si>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</si>
  <si>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</si>
  <si>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</si>
  <si>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</si>
  <si>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</si>
  <si>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</si>
  <si>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</si>
  <si>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</si>
  <si>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</si>
  <si>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</si>
  <si>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</si>
  <si>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</si>
  <si>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</si>
  <si>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</si>
  <si>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</si>
  <si>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</si>
  <si>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</si>
  <si>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</si>
  <si>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</si>
  <si>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</si>
  <si>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</si>
  <si>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</si>
  <si>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</si>
  <si>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</si>
  <si>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</si>
  <si>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</si>
  <si>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</si>
  <si>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</si>
  <si>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</si>
  <si>
    <t>Лето 2026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</si>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</sst>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58" totalsRowShown="0" headerRowDxfId="10" headerRowBorderDxfId="8" tableBorderDxfId="9" totalsRowBorderDxfId="7">
  <autoFilter ref="A1:G158" xr:uid="{CC58E8C5-7B8B-42F7-9BFF-85AAC284233D}"/>
  <tableColumns count="7">
    <tableColumn id="1" xr3:uid="{72D5507B-3E56-45F9-949A-1B810B89614D}" name="player_id" dataDxfId="6"/>
    <tableColumn id="2" xr3:uid="{9B600E03-F10C-49A9-BD9C-050BEA58FF6E}" name="player_name" dataDxfId="5"/>
    <tableColumn id="3" xr3:uid="{8F857898-2667-4829-90AD-3A28B8E44AF3}" name="goals" dataDxfId="4">
      <calculatedColumnFormula>SUMIFS(_stats[goals_on_date],_stats[player_id],_players[[#This Row],[player_id]])</calculatedColumnFormula>
    </tableColumn>
    <tableColumn id="4" xr3:uid="{81B9F6B2-D5CC-4D13-9EE3-73B39091AD58}" name="assists" dataDxfId="3">
      <calculatedColumnFormula>SUMIFS(_stats[assists_on_date],_stats[player_id],_players[[#This Row],[player_id]])</calculatedColumnFormula>
    </tableColumn>
    <tableColumn id="5" xr3:uid="{1C26950D-761D-4C94-B228-1824773DE1A0}" name="wins" dataDxfId="2">
      <calculatedColumnFormula>SUMIFS(_stats[wins_on_date],_stats[player_id],_players[[#This Row],[player_id]])</calculatedColumnFormula>
    </tableColumn>
    <tableColumn id="7" xr3:uid="{7B92C955-C277-4BCF-B8AB-BC8A08DD3F98}" name="draws" dataDxfId="1">
      <calculatedColumnFormula>SUMIFS(_stats[draws_on_date],_stats[player_id],_players[[#This Row],[player_id]])</calculatedColumnFormula>
    </tableColumn>
    <tableColumn id="8" xr3:uid="{83A39928-DADF-478C-8EEB-8BB7EDD9B3F6}" name="foul" dataDxfId="0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384" totalsRowShown="0" headerRowDxfId="59" dataDxfId="57" headerRowBorderDxfId="58" tableBorderDxfId="56" totalsRowBorderDxfId="55">
  <autoFilter ref="A1:O1384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54"/>
    <tableColumn id="2" xr3:uid="{686C940A-87F8-43A1-ADFF-9CF607E801B5}" name="team_number" dataDxfId="53"/>
    <tableColumn id="3" xr3:uid="{1C13D6CA-8B0C-4849-B32C-A77EF9C52B42}" name="player_id" dataDxfId="52"/>
    <tableColumn id="4" xr3:uid="{C2384479-71AA-40DA-A7B2-E30ECBA1AF99}" name="player_name" dataDxfId="51">
      <calculatedColumnFormula>IFERROR(VLOOKUP(_stats[[#This Row],[player_id]],_players[[player_id]:[player_name]],2,0),"")</calculatedColumnFormula>
    </tableColumn>
    <tableColumn id="5" xr3:uid="{09AE1D8B-DCB8-4F87-ABB5-372822B0D6BF}" name="goals_on_date" dataDxfId="50"/>
    <tableColumn id="6" xr3:uid="{7FD24496-81EB-47BB-8B89-26AB97C686CA}" name="assists_on_date" dataDxfId="49"/>
    <tableColumn id="7" xr3:uid="{39F202A0-49EF-45EE-9054-882F18FBDF31}" name="wins_on_date" dataDxfId="48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47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46"/>
    <tableColumn id="11" xr3:uid="{F63E3F90-CE47-4270-AB10-578EF27B95D4}" name="foul_on_date" dataDxfId="45"/>
    <tableColumn id="10" xr3:uid="{60255463-9C5A-4356-83C8-4B8F5C0D84CC}" name="tournament" dataDxfId="44"/>
    <tableColumn id="15" xr3:uid="{7F376ADC-280C-4F2A-9A32-E1868B930ACF}" name="check_tournament_name" dataDxfId="43">
      <calculatedColumnFormula>VLOOKUP(_stats[[#This Row],[tournament]],tournaments_n_rules[],2,0)</calculatedColumnFormula>
    </tableColumn>
    <tableColumn id="16" xr3:uid="{FD462710-B233-41D3-A7F4-D0A7C67E8BD7}" name="check_tournament_season" dataDxfId="42">
      <calculatedColumnFormula>VLOOKUP(_stats[[#This Row],[tournament]],tournaments_n_rules[],3,0)</calculatedColumnFormula>
    </tableColumn>
    <tableColumn id="17" xr3:uid="{FC392FCF-0703-4BAE-A849-B5A17D89FC21}" name="check_tournament_start" dataDxfId="41">
      <calculatedColumnFormula>VLOOKUP(_stats[[#This Row],[tournament]],tournaments_n_rules[],4,0)</calculatedColumnFormula>
    </tableColumn>
    <tableColumn id="18" xr3:uid="{27C989FF-B801-496B-AC34-686429C3CF2E}" name="check_tournament_stop" dataDxfId="40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93" totalsRowShown="0" headerRowDxfId="39" dataDxfId="37" headerRowBorderDxfId="38" tableBorderDxfId="36" totalsRowBorderDxfId="35">
  <autoFilter ref="A1:I193" xr:uid="{B6423DC2-EC3F-4914-9E08-BC4E7C6626C9}"/>
  <tableColumns count="9">
    <tableColumn id="1" xr3:uid="{92BE0DCE-EF0C-43B2-937D-640EBFF087A6}" name="date" dataDxfId="34"/>
    <tableColumn id="2" xr3:uid="{B497FB59-180E-4B72-9ECD-E25C88173489}" name="team_number" dataDxfId="33"/>
    <tableColumn id="3" xr3:uid="{02A8A062-9D85-4980-948F-E89B2B2D08DF}" name="wins_on_date" dataDxfId="32"/>
    <tableColumn id="4" xr3:uid="{E0D3B2C4-0D10-4724-9583-EAA87E6A8BF5}" name="draws_on_date" dataDxfId="31"/>
    <tableColumn id="5" xr3:uid="{767C7E87-2BC0-427C-9555-EA488841AAAB}" name="tournament" dataDxfId="30"/>
    <tableColumn id="6" xr3:uid="{66D67E98-3764-4ECA-9F20-5B5D73B509B6}" name="check_tournament_name" dataDxfId="29">
      <calculatedColumnFormula>VLOOKUP(_teams[[#This Row],[tournament]],tournaments_n_rules[],2,0)</calculatedColumnFormula>
    </tableColumn>
    <tableColumn id="7" xr3:uid="{CA9C9E4C-39CD-4FED-BE6B-DC0186C66D05}" name="check_tournament_season" dataDxfId="28">
      <calculatedColumnFormula>VLOOKUP(_teams[[#This Row],[tournament]],tournaments_n_rules[],3,0)</calculatedColumnFormula>
    </tableColumn>
    <tableColumn id="8" xr3:uid="{C7ABE14A-A328-40B7-B865-90403A3A0555}" name="check_tournament_start" dataDxfId="27">
      <calculatedColumnFormula>VLOOKUP(_teams[[#This Row],[tournament]],tournaments_n_rules[],4,0)</calculatedColumnFormula>
    </tableColumn>
    <tableColumn id="9" xr3:uid="{7927A572-D944-4B6E-A2B5-383C0CB0B713}" name="check_tournament_stop" dataDxfId="26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8" totalsRowShown="0" headerRowDxfId="25" headerRowBorderDxfId="24" tableBorderDxfId="23" totalsRowBorderDxfId="22">
  <autoFilter ref="A1:K8" xr:uid="{BF253B66-23E6-43E6-B434-6BE21AA4DEBC}"/>
  <tableColumns count="11">
    <tableColumn id="1" xr3:uid="{6B933049-D090-4881-8423-76EBCF6F9C40}" name="tournament_id" dataDxfId="21">
      <calculatedColumnFormula>ROW()-1</calculatedColumnFormula>
    </tableColumn>
    <tableColumn id="2" xr3:uid="{37DDB493-473B-438A-BF16-ED5571D93B2D}" name="tournament_name" dataDxfId="20"/>
    <tableColumn id="11" xr3:uid="{93E7381D-185A-4B0F-836F-832791C984B4}" name="season" dataDxfId="19"/>
    <tableColumn id="3" xr3:uid="{FAAF31D4-70DC-4EA5-875C-04AC9E3A568F}" name="start" dataDxfId="18"/>
    <tableColumn id="4" xr3:uid="{FF338632-27CE-4F49-93E5-BE847FEFCCF1}" name="end" dataDxfId="17"/>
    <tableColumn id="5" xr3:uid="{B187E53B-A67C-4710-AC44-00CC5126A08C}" name="goals_coefficient" dataDxfId="16"/>
    <tableColumn id="6" xr3:uid="{A685A3A6-3568-4BFF-BC83-901416CF1337}" name="assists_coefficient" dataDxfId="15"/>
    <tableColumn id="7" xr3:uid="{AE1B915D-DCF6-4C2F-A613-11C35813F72E}" name="wins_coefficient" dataDxfId="14"/>
    <tableColumn id="8" xr3:uid="{48B0E9A3-3641-4038-A405-0616D787B749}" name="draws_coefficient" dataDxfId="13"/>
    <tableColumn id="9" xr3:uid="{4F4FCB37-77EB-4A98-90B5-C2DEF39A70C5}" name="saves_coefficient" dataDxfId="12"/>
    <tableColumn id="10" xr3:uid="{055A30D6-329F-4585-8DE1-892A0C6A60F7}" name="foul_coefficient" dataDxfId="1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58"/>
  <sheetViews>
    <sheetView topLeftCell="A16" workbookViewId="0">
      <selection activeCell="A38" sqref="A38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66</v>
      </c>
      <c r="D3" s="11">
        <f>SUMIFS(_stats[assists_on_date],_stats[player_id],_players[[#This Row],[player_id]])</f>
        <v>45</v>
      </c>
      <c r="E3" s="11">
        <f>SUMIFS(_stats[wins_on_date],_stats[player_id],_players[[#This Row],[player_id]])</f>
        <v>183</v>
      </c>
      <c r="F3" s="12">
        <f>SUMIFS(_stats[draws_on_date],_stats[player_id],_players[[#This Row],[player_id]])</f>
        <v>41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32</v>
      </c>
      <c r="E5" s="21">
        <f>SUMIFS(_stats[wins_on_date],_stats[player_id],_players[[#This Row],[player_id]])</f>
        <v>112</v>
      </c>
      <c r="F5" s="22">
        <f>SUMIFS(_stats[draws_on_date],_stats[player_id],_players[[#This Row],[player_id]])</f>
        <v>20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30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198</v>
      </c>
      <c r="F6" s="17">
        <f>SUMIFS(_stats[draws_on_date],_stats[player_id],_players[[#This Row],[player_id]])</f>
        <v>49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62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106</v>
      </c>
      <c r="F7" s="12">
        <f>SUMIFS(_stats[draws_on_date],_stats[player_id],_players[[#This Row],[player_id]])</f>
        <v>27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40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157</v>
      </c>
      <c r="F8" s="12">
        <f>SUMIFS(_stats[draws_on_date],_stats[player_id],_players[[#This Row],[player_id]])</f>
        <v>46</v>
      </c>
      <c r="G8" s="12">
        <f>SUMIFS(_stats[foul_on_date],_stats[player_id],_players[[#This Row],[player_id]])</f>
        <v>1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72</v>
      </c>
      <c r="F10" s="17">
        <f>SUMIFS(_stats[draws_on_date],_stats[player_id],_players[[#This Row],[player_id]])</f>
        <v>17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77</v>
      </c>
      <c r="D12" s="16">
        <f>SUMIFS(_stats[assists_on_date],_stats[player_id],_players[[#This Row],[player_id]])</f>
        <v>81</v>
      </c>
      <c r="E12" s="16">
        <f>SUMIFS(_stats[wins_on_date],_stats[player_id],_players[[#This Row],[player_id]])</f>
        <v>152</v>
      </c>
      <c r="F12" s="17">
        <f>SUMIFS(_stats[draws_on_date],_stats[player_id],_players[[#This Row],[player_id]])</f>
        <v>47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26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48</v>
      </c>
      <c r="F13" s="12">
        <f>SUMIFS(_stats[draws_on_date],_stats[player_id],_players[[#This Row],[player_id]])</f>
        <v>11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169</v>
      </c>
      <c r="F14" s="12">
        <f>SUMIFS(_stats[draws_on_date],_stats[player_id],_players[[#This Row],[player_id]])</f>
        <v>45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21</v>
      </c>
      <c r="D15" s="11">
        <f>SUMIFS(_stats[assists_on_date],_stats[player_id],_players[[#This Row],[player_id]])</f>
        <v>40</v>
      </c>
      <c r="E15" s="11">
        <f>SUMIFS(_stats[wins_on_date],_stats[player_id],_players[[#This Row],[player_id]])</f>
        <v>79</v>
      </c>
      <c r="F15" s="12">
        <f>SUMIFS(_stats[draws_on_date],_stats[player_id],_players[[#This Row],[player_id]])</f>
        <v>13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18</v>
      </c>
      <c r="D16" s="11">
        <f>SUMIFS(_stats[assists_on_date],_stats[player_id],_players[[#This Row],[player_id]])</f>
        <v>31</v>
      </c>
      <c r="E16" s="11">
        <f>SUMIFS(_stats[wins_on_date],_stats[player_id],_players[[#This Row],[player_id]])</f>
        <v>65</v>
      </c>
      <c r="F16" s="12">
        <f>SUMIFS(_stats[draws_on_date],_stats[player_id],_players[[#This Row],[player_id]])</f>
        <v>7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17</v>
      </c>
      <c r="E17" s="11">
        <f>SUMIFS(_stats[wins_on_date],_stats[player_id],_players[[#This Row],[player_id]])</f>
        <v>61</v>
      </c>
      <c r="F17" s="12">
        <f>SUMIFS(_stats[draws_on_date],_stats[player_id],_players[[#This Row],[player_id]])</f>
        <v>14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21</v>
      </c>
      <c r="D20" s="11">
        <f>SUMIFS(_stats[assists_on_date],_stats[player_id],_players[[#This Row],[player_id]])</f>
        <v>20</v>
      </c>
      <c r="E20" s="11">
        <f>SUMIFS(_stats[wins_on_date],_stats[player_id],_players[[#This Row],[player_id]])</f>
        <v>117</v>
      </c>
      <c r="F20" s="12">
        <f>SUMIFS(_stats[draws_on_date],_stats[player_id],_players[[#This Row],[player_id]])</f>
        <v>24</v>
      </c>
      <c r="G20" s="12">
        <f>SUMIFS(_stats[foul_on_date],_stats[player_id],_players[[#This Row],[player_id]])</f>
        <v>1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40</v>
      </c>
      <c r="D21" s="11">
        <f>SUMIFS(_stats[assists_on_date],_stats[player_id],_players[[#This Row],[player_id]])</f>
        <v>49</v>
      </c>
      <c r="E21" s="11">
        <f>SUMIFS(_stats[wins_on_date],_stats[player_id],_players[[#This Row],[player_id]])</f>
        <v>133</v>
      </c>
      <c r="F21" s="12">
        <f>SUMIFS(_stats[draws_on_date],_stats[player_id],_players[[#This Row],[player_id]])</f>
        <v>35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128</v>
      </c>
      <c r="F22" s="17">
        <f>SUMIFS(_stats[draws_on_date],_stats[player_id],_players[[#This Row],[player_id]])</f>
        <v>28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27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121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25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49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69</v>
      </c>
      <c r="F37" s="12">
        <f>SUMIFS(_stats[draws_on_date],_stats[player_id],_players[[#This Row],[player_id]])</f>
        <v>22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19</v>
      </c>
      <c r="E38" s="11">
        <f>SUMIFS(_stats[wins_on_date],_stats[player_id],_players[[#This Row],[player_id]])</f>
        <v>68</v>
      </c>
      <c r="F38" s="12">
        <f>SUMIFS(_stats[draws_on_date],_stats[player_id],_players[[#This Row],[player_id]])</f>
        <v>25</v>
      </c>
      <c r="G38" s="12">
        <f>SUMIFS(_stats[foul_on_date],_stats[player_id],_players[[#This Row],[player_id]])</f>
        <v>1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156</v>
      </c>
      <c r="F39" s="12">
        <f>SUMIFS(_stats[draws_on_date],_stats[player_id],_players[[#This Row],[player_id]])</f>
        <v>56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16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66</v>
      </c>
      <c r="F42" s="17">
        <f>SUMIFS(_stats[draws_on_date],_stats[player_id],_players[[#This Row],[player_id]])</f>
        <v>19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8</v>
      </c>
      <c r="D43" s="11">
        <f>SUMIFS(_stats[assists_on_date],_stats[player_id],_players[[#This Row],[player_id]])</f>
        <v>11</v>
      </c>
      <c r="E43" s="11">
        <f>SUMIFS(_stats[wins_on_date],_stats[player_id],_players[[#This Row],[player_id]])</f>
        <v>48</v>
      </c>
      <c r="F43" s="12">
        <f>SUMIFS(_stats[draws_on_date],_stats[player_id],_players[[#This Row],[player_id]])</f>
        <v>21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4</v>
      </c>
      <c r="E45" s="16">
        <f>SUMIFS(_stats[wins_on_date],_stats[player_id],_players[[#This Row],[player_id]])</f>
        <v>22</v>
      </c>
      <c r="F45" s="17">
        <f>SUMIFS(_stats[draws_on_date],_stats[player_id],_players[[#This Row],[player_id]])</f>
        <v>4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18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47</v>
      </c>
      <c r="F59" s="18">
        <f>SUMIFS(_stats[draws_on_date],_stats[player_id],_players[[#This Row],[player_id]])</f>
        <v>15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5</v>
      </c>
      <c r="D60" s="10">
        <f>SUMIFS(_stats[assists_on_date],_stats[player_id],_players[[#This Row],[player_id]])</f>
        <v>3</v>
      </c>
      <c r="E60" s="10">
        <f>SUMIFS(_stats[wins_on_date],_stats[player_id],_players[[#This Row],[player_id]])</f>
        <v>10</v>
      </c>
      <c r="F60" s="18">
        <f>SUMIFS(_stats[draws_on_date],_stats[player_id],_players[[#This Row],[player_id]])</f>
        <v>1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107</v>
      </c>
      <c r="F64" s="18">
        <f>SUMIFS(_stats[draws_on_date],_stats[player_id],_players[[#This Row],[player_id]])</f>
        <v>31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75</v>
      </c>
      <c r="F79" s="18">
        <f>SUMIFS(_stats[draws_on_date],_stats[player_id],_players[[#This Row],[player_id]])</f>
        <v>20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9</v>
      </c>
      <c r="E87" s="10">
        <f>SUMIFS(_stats[wins_on_date],_stats[player_id],_players[[#This Row],[player_id]])</f>
        <v>35</v>
      </c>
      <c r="F87" s="18">
        <f>SUMIFS(_stats[draws_on_date],_stats[player_id],_players[[#This Row],[player_id]])</f>
        <v>12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14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43</v>
      </c>
      <c r="F110" s="18">
        <f>SUMIFS(_stats[draws_on_date],_stats[player_id],_players[[#This Row],[player_id]])</f>
        <v>18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10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39</v>
      </c>
      <c r="F120" s="18">
        <f>SUMIFS(_stats[draws_on_date],_stats[player_id],_players[[#This Row],[player_id]])</f>
        <v>17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16</v>
      </c>
      <c r="E121" s="10">
        <f>SUMIFS(_stats[wins_on_date],_stats[player_id],_players[[#This Row],[player_id]])</f>
        <v>57</v>
      </c>
      <c r="F121" s="18">
        <f>SUMIFS(_stats[draws_on_date],_stats[player_id],_players[[#This Row],[player_id]])</f>
        <v>24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9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21</v>
      </c>
      <c r="F126" s="18">
        <f>SUMIFS(_stats[draws_on_date],_stats[player_id],_players[[#This Row],[player_id]])</f>
        <v>12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5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3</v>
      </c>
      <c r="G134" s="18">
        <f>SUMIFS(_stats[foul_on_date],_stats[player_id],_players[[#This Row],[player_id]])</f>
        <v>1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2</v>
      </c>
      <c r="E137" s="10">
        <f>SUMIFS(_stats[wins_on_date],_stats[player_id],_players[[#This Row],[player_id]])</f>
        <v>18</v>
      </c>
      <c r="F137" s="18">
        <f>SUMIFS(_stats[draws_on_date],_stats[player_id],_players[[#This Row],[player_id]])</f>
        <v>6</v>
      </c>
      <c r="G137" s="18">
        <f>SUMIFS(_stats[foul_on_date],_stats[player_id],_players[[#This Row],[player_id]])</f>
        <v>1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7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7</v>
      </c>
      <c r="F140" s="18">
        <f>SUMIFS(_stats[draws_on_date],_stats[player_id],_players[[#This Row],[player_id]])</f>
        <v>9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4</v>
      </c>
      <c r="D145" s="10">
        <f>SUMIFS(_stats[assists_on_date],_stats[player_id],_players[[#This Row],[player_id]])</f>
        <v>3</v>
      </c>
      <c r="E145" s="10">
        <f>SUMIFS(_stats[wins_on_date],_stats[player_id],_players[[#This Row],[player_id]])</f>
        <v>13</v>
      </c>
      <c r="F145" s="18">
        <f>SUMIFS(_stats[draws_on_date],_stats[player_id],_players[[#This Row],[player_id]])</f>
        <v>6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7</v>
      </c>
      <c r="F148" s="18">
        <f>SUMIFS(_stats[draws_on_date],_stats[player_id],_players[[#This Row],[player_id]])</f>
        <v>7</v>
      </c>
      <c r="G148" s="18">
        <f>SUMIFS(_stats[foul_on_date],_stats[player_id],_players[[#This Row],[player_id]])</f>
        <v>1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188</v>
      </c>
      <c r="B150" s="36" t="s">
        <v>188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189</v>
      </c>
      <c r="B151" s="36" t="s">
        <v>189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0</v>
      </c>
      <c r="F151" s="18">
        <f>SUMIFS(_stats[draws_on_date],_stats[player_id],_players[[#This Row],[player_id]])</f>
        <v>2</v>
      </c>
      <c r="G151" s="18">
        <f>SUMIFS(_stats[foul_on_date],_stats[player_id],_players[[#This Row],[player_id]])</f>
        <v>1</v>
      </c>
    </row>
    <row r="152" spans="1:7" x14ac:dyDescent="0.25">
      <c r="A152" s="36" t="s">
        <v>190</v>
      </c>
      <c r="B152" s="36" t="s">
        <v>190</v>
      </c>
      <c r="C152" s="10">
        <f>SUMIFS(_stats[goals_on_date],_stats[player_id],_players[[#This Row],[player_id]])</f>
        <v>0</v>
      </c>
      <c r="D152" s="10">
        <f>SUMIFS(_stats[assists_on_date],_stats[player_id],_players[[#This Row],[player_id]])</f>
        <v>0</v>
      </c>
      <c r="E152" s="10">
        <f>SUMIFS(_stats[wins_on_date],_stats[player_id],_players[[#This Row],[player_id]])</f>
        <v>7</v>
      </c>
      <c r="F152" s="18">
        <f>SUMIFS(_stats[draws_on_date],_stats[player_id],_players[[#This Row],[player_id]])</f>
        <v>1</v>
      </c>
      <c r="G152" s="18">
        <f>SUMIFS(_stats[foul_on_date],_stats[player_id],_players[[#This Row],[player_id]])</f>
        <v>0</v>
      </c>
    </row>
    <row r="153" spans="1:7" x14ac:dyDescent="0.25">
      <c r="A153" s="36" t="s">
        <v>191</v>
      </c>
      <c r="B153" s="36" t="s">
        <v>191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192</v>
      </c>
      <c r="B154" s="36" t="s">
        <v>192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193</v>
      </c>
      <c r="B155" s="36" t="s">
        <v>193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194</v>
      </c>
      <c r="B156" s="36" t="s">
        <v>194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195</v>
      </c>
      <c r="B157" s="36" t="s">
        <v>195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196</v>
      </c>
      <c r="B158" s="36" t="s">
        <v>196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384"/>
  <sheetViews>
    <sheetView tabSelected="1" topLeftCell="A1333" zoomScale="85" zoomScaleNormal="85" workbookViewId="0">
      <selection activeCell="E1383" sqref="E1383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59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28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42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152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17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79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19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134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25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18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32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52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185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188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41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82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189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38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34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190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53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191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192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49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193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194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196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195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44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21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94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12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155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123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42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47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185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91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25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45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63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17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19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140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134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75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</sheetData>
  <phoneticPr fontId="7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93"/>
  <sheetViews>
    <sheetView topLeftCell="A174" workbookViewId="0">
      <selection activeCell="E192" sqref="E192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193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8"/>
  <sheetViews>
    <sheetView workbookViewId="0">
      <selection activeCell="C13" sqref="C13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103</v>
      </c>
      <c r="C8" s="45" t="s">
        <v>187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foxhatenoobs</cp:lastModifiedBy>
  <dcterms:created xsi:type="dcterms:W3CDTF">2015-06-05T18:19:34Z</dcterms:created>
  <dcterms:modified xsi:type="dcterms:W3CDTF">2026-06-25T20:05:01Z</dcterms:modified>
</cp:coreProperties>
</file>