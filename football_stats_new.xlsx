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152DBBD4-37DC-477F-A924-E3C5739389CD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311" i="2" l="1"/>
  <c r="C149" i="1"/>
  <c r="D149" i="1"/>
  <c r="E149" i="1"/>
  <c r="F149" i="1"/>
  <c r="G149" i="1"/>
  <c r="C148" i="1"/>
  <c r="D148" i="1"/>
  <c r="E148" i="1"/>
  <c r="F148" i="1"/>
  <c r="G148" i="1"/>
  <c r="D1307" i="2"/>
  <c r="G1307" i="2"/>
  <c r="H1307" i="2"/>
  <c r="L1307" i="2"/>
  <c r="M1307" i="2"/>
  <c r="N1307" i="2"/>
  <c r="O1307" i="2"/>
  <c r="D1308" i="2"/>
  <c r="G1308" i="2"/>
  <c r="H1308" i="2"/>
  <c r="L1308" i="2"/>
  <c r="M1308" i="2"/>
  <c r="N1308" i="2"/>
  <c r="O1308" i="2"/>
  <c r="D1309" i="2"/>
  <c r="G1309" i="2"/>
  <c r="H1309" i="2"/>
  <c r="L1309" i="2"/>
  <c r="M1309" i="2"/>
  <c r="N1309" i="2"/>
  <c r="O1309" i="2"/>
  <c r="D1310" i="2"/>
  <c r="G1310" i="2"/>
  <c r="H1310" i="2"/>
  <c r="L1310" i="2"/>
  <c r="M1310" i="2"/>
  <c r="N1310" i="2"/>
  <c r="O1310" i="2"/>
  <c r="D1311" i="2"/>
  <c r="H1311" i="2"/>
  <c r="L1311" i="2"/>
  <c r="M1311" i="2"/>
  <c r="N1311" i="2"/>
  <c r="O1311" i="2"/>
  <c r="D1312" i="2"/>
  <c r="G1312" i="2"/>
  <c r="H1312" i="2"/>
  <c r="L1312" i="2"/>
  <c r="M1312" i="2"/>
  <c r="N1312" i="2"/>
  <c r="O1312" i="2"/>
  <c r="D1313" i="2"/>
  <c r="G1313" i="2"/>
  <c r="H1313" i="2"/>
  <c r="L1313" i="2"/>
  <c r="M1313" i="2"/>
  <c r="N1313" i="2"/>
  <c r="O1313" i="2"/>
  <c r="D1314" i="2"/>
  <c r="G1314" i="2"/>
  <c r="H1314" i="2"/>
  <c r="L1314" i="2"/>
  <c r="M1314" i="2"/>
  <c r="N1314" i="2"/>
  <c r="O1314" i="2"/>
  <c r="D1315" i="2"/>
  <c r="G1315" i="2"/>
  <c r="H1315" i="2"/>
  <c r="L1315" i="2"/>
  <c r="M1315" i="2"/>
  <c r="N1315" i="2"/>
  <c r="O1315" i="2"/>
  <c r="D1316" i="2"/>
  <c r="G1316" i="2"/>
  <c r="H1316" i="2"/>
  <c r="L1316" i="2"/>
  <c r="M1316" i="2"/>
  <c r="N1316" i="2"/>
  <c r="O1316" i="2"/>
  <c r="D1317" i="2"/>
  <c r="G1317" i="2"/>
  <c r="H1317" i="2"/>
  <c r="L1317" i="2"/>
  <c r="M1317" i="2"/>
  <c r="N1317" i="2"/>
  <c r="O1317" i="2"/>
  <c r="D1318" i="2"/>
  <c r="G1318" i="2"/>
  <c r="H1318" i="2"/>
  <c r="L1318" i="2"/>
  <c r="M1318" i="2"/>
  <c r="N1318" i="2"/>
  <c r="O1318" i="2"/>
  <c r="D1319" i="2"/>
  <c r="G1319" i="2"/>
  <c r="H1319" i="2"/>
  <c r="L1319" i="2"/>
  <c r="M1319" i="2"/>
  <c r="N1319" i="2"/>
  <c r="O1319" i="2"/>
  <c r="D1320" i="2"/>
  <c r="G1320" i="2"/>
  <c r="H1320" i="2"/>
  <c r="L1320" i="2"/>
  <c r="M1320" i="2"/>
  <c r="N1320" i="2"/>
  <c r="O1320" i="2"/>
  <c r="D1321" i="2"/>
  <c r="G1321" i="2"/>
  <c r="H1321" i="2"/>
  <c r="L1321" i="2"/>
  <c r="M1321" i="2"/>
  <c r="N1321" i="2"/>
  <c r="O1321" i="2"/>
  <c r="D1322" i="2"/>
  <c r="G1322" i="2"/>
  <c r="H1322" i="2"/>
  <c r="L1322" i="2"/>
  <c r="M1322" i="2"/>
  <c r="N1322" i="2"/>
  <c r="O1322" i="2"/>
  <c r="D1323" i="2"/>
  <c r="G1323" i="2"/>
  <c r="H1323" i="2"/>
  <c r="L1323" i="2"/>
  <c r="M1323" i="2"/>
  <c r="N1323" i="2"/>
  <c r="O1323" i="2"/>
  <c r="D1324" i="2"/>
  <c r="G1324" i="2"/>
  <c r="H1324" i="2"/>
  <c r="L1324" i="2"/>
  <c r="M1324" i="2"/>
  <c r="N1324" i="2"/>
  <c r="O1324" i="2"/>
  <c r="D1325" i="2"/>
  <c r="G1325" i="2"/>
  <c r="H1325" i="2"/>
  <c r="L1325" i="2"/>
  <c r="M1325" i="2"/>
  <c r="N1325" i="2"/>
  <c r="O1325" i="2"/>
  <c r="D1326" i="2"/>
  <c r="G1326" i="2"/>
  <c r="H1326" i="2"/>
  <c r="L1326" i="2"/>
  <c r="M1326" i="2"/>
  <c r="N1326" i="2"/>
  <c r="O1326" i="2"/>
  <c r="D1327" i="2"/>
  <c r="G1327" i="2"/>
  <c r="H1327" i="2"/>
  <c r="L1327" i="2"/>
  <c r="M1327" i="2"/>
  <c r="N1327" i="2"/>
  <c r="O1327" i="2"/>
  <c r="D1328" i="2"/>
  <c r="G1328" i="2"/>
  <c r="H1328" i="2"/>
  <c r="L1328" i="2"/>
  <c r="M1328" i="2"/>
  <c r="N1328" i="2"/>
  <c r="O1328" i="2"/>
  <c r="D1329" i="2"/>
  <c r="G1329" i="2"/>
  <c r="H1329" i="2"/>
  <c r="L1329" i="2"/>
  <c r="M1329" i="2"/>
  <c r="N1329" i="2"/>
  <c r="O1329" i="2"/>
  <c r="D1330" i="2"/>
  <c r="G1330" i="2"/>
  <c r="H1330" i="2"/>
  <c r="L1330" i="2"/>
  <c r="M1330" i="2"/>
  <c r="N1330" i="2"/>
  <c r="O1330" i="2"/>
  <c r="D1331" i="2"/>
  <c r="G1331" i="2"/>
  <c r="H1331" i="2"/>
  <c r="L1331" i="2"/>
  <c r="M1331" i="2"/>
  <c r="N1331" i="2"/>
  <c r="O1331" i="2"/>
  <c r="D1332" i="2"/>
  <c r="G1332" i="2"/>
  <c r="H1332" i="2"/>
  <c r="L1332" i="2"/>
  <c r="M1332" i="2"/>
  <c r="N1332" i="2"/>
  <c r="O1332" i="2"/>
  <c r="D1333" i="2"/>
  <c r="G1333" i="2"/>
  <c r="H1333" i="2"/>
  <c r="L1333" i="2"/>
  <c r="M1333" i="2"/>
  <c r="N1333" i="2"/>
  <c r="O1333" i="2"/>
  <c r="D1334" i="2"/>
  <c r="G1334" i="2"/>
  <c r="H1334" i="2"/>
  <c r="L1334" i="2"/>
  <c r="M1334" i="2"/>
  <c r="N1334" i="2"/>
  <c r="O1334" i="2"/>
  <c r="D1335" i="2"/>
  <c r="G1335" i="2"/>
  <c r="H1335" i="2"/>
  <c r="L1335" i="2"/>
  <c r="M1335" i="2"/>
  <c r="N1335" i="2"/>
  <c r="O1335" i="2"/>
  <c r="D1336" i="2"/>
  <c r="G1336" i="2"/>
  <c r="H1336" i="2"/>
  <c r="L1336" i="2"/>
  <c r="M1336" i="2"/>
  <c r="N1336" i="2"/>
  <c r="O1336" i="2"/>
  <c r="D1338" i="2"/>
  <c r="G1338" i="2"/>
  <c r="H1338" i="2"/>
  <c r="L1338" i="2"/>
  <c r="M1338" i="2"/>
  <c r="N1338" i="2"/>
  <c r="O1338" i="2"/>
  <c r="D1337" i="2"/>
  <c r="G1337" i="2"/>
  <c r="H1337" i="2"/>
  <c r="L1337" i="2"/>
  <c r="M1337" i="2"/>
  <c r="N1337" i="2"/>
  <c r="O1337" i="2"/>
  <c r="D1306" i="2"/>
  <c r="G1306" i="2"/>
  <c r="H1306" i="2"/>
  <c r="L1306" i="2"/>
  <c r="M1306" i="2"/>
  <c r="N1306" i="2"/>
  <c r="O1306" i="2"/>
  <c r="D1305" i="2"/>
  <c r="G1305" i="2"/>
  <c r="H1305" i="2"/>
  <c r="L1305" i="2"/>
  <c r="M1305" i="2"/>
  <c r="N1305" i="2"/>
  <c r="O1305" i="2"/>
  <c r="F187" i="3"/>
  <c r="G187" i="3"/>
  <c r="H187" i="3"/>
  <c r="I187" i="3"/>
  <c r="F186" i="3"/>
  <c r="G186" i="3"/>
  <c r="H186" i="3"/>
  <c r="I186" i="3"/>
  <c r="F185" i="3"/>
  <c r="G185" i="3"/>
  <c r="H185" i="3"/>
  <c r="I185" i="3"/>
  <c r="F184" i="3"/>
  <c r="G184" i="3"/>
  <c r="H184" i="3"/>
  <c r="I184" i="3"/>
  <c r="D1304" i="2"/>
  <c r="G1304" i="2"/>
  <c r="H1304" i="2"/>
  <c r="L1304" i="2"/>
  <c r="M1304" i="2"/>
  <c r="N1304" i="2"/>
  <c r="O1304" i="2"/>
  <c r="D1303" i="2"/>
  <c r="G1303" i="2"/>
  <c r="H1303" i="2"/>
  <c r="L1303" i="2"/>
  <c r="M1303" i="2"/>
  <c r="N1303" i="2"/>
  <c r="O1303" i="2"/>
  <c r="D1302" i="2"/>
  <c r="G1302" i="2"/>
  <c r="H1302" i="2"/>
  <c r="L1302" i="2"/>
  <c r="M1302" i="2"/>
  <c r="N1302" i="2"/>
  <c r="O1302" i="2"/>
  <c r="D1301" i="2"/>
  <c r="G1301" i="2"/>
  <c r="H1301" i="2"/>
  <c r="L1301" i="2"/>
  <c r="M1301" i="2"/>
  <c r="N1301" i="2"/>
  <c r="O1301" i="2"/>
  <c r="D1300" i="2"/>
  <c r="G1300" i="2"/>
  <c r="H1300" i="2"/>
  <c r="L1300" i="2"/>
  <c r="M1300" i="2"/>
  <c r="N1300" i="2"/>
  <c r="O1300" i="2"/>
  <c r="D1299" i="2"/>
  <c r="G1299" i="2"/>
  <c r="H1299" i="2"/>
  <c r="L1299" i="2"/>
  <c r="M1299" i="2"/>
  <c r="N1299" i="2"/>
  <c r="O1299" i="2"/>
  <c r="D1298" i="2"/>
  <c r="G1298" i="2"/>
  <c r="H1298" i="2"/>
  <c r="L1298" i="2"/>
  <c r="M1298" i="2"/>
  <c r="N1298" i="2"/>
  <c r="O1298" i="2"/>
  <c r="D1297" i="2"/>
  <c r="G1297" i="2"/>
  <c r="H1297" i="2"/>
  <c r="L1297" i="2"/>
  <c r="M1297" i="2"/>
  <c r="N1297" i="2"/>
  <c r="O1297" i="2"/>
  <c r="D1296" i="2"/>
  <c r="G1296" i="2"/>
  <c r="H1296" i="2"/>
  <c r="L1296" i="2"/>
  <c r="M1296" i="2"/>
  <c r="N1296" i="2"/>
  <c r="O1296" i="2"/>
  <c r="D1295" i="2"/>
  <c r="G1295" i="2"/>
  <c r="H1295" i="2"/>
  <c r="L1295" i="2"/>
  <c r="M1295" i="2"/>
  <c r="N1295" i="2"/>
  <c r="O1295" i="2"/>
  <c r="D1294" i="2"/>
  <c r="G1294" i="2"/>
  <c r="H1294" i="2"/>
  <c r="L1294" i="2"/>
  <c r="M1294" i="2"/>
  <c r="N1294" i="2"/>
  <c r="O1294" i="2"/>
  <c r="D1293" i="2"/>
  <c r="G1293" i="2"/>
  <c r="H1293" i="2"/>
  <c r="L1293" i="2"/>
  <c r="M1293" i="2"/>
  <c r="N1293" i="2"/>
  <c r="O1293" i="2"/>
  <c r="D1292" i="2"/>
  <c r="G1292" i="2"/>
  <c r="H1292" i="2"/>
  <c r="L1292" i="2"/>
  <c r="M1292" i="2"/>
  <c r="N1292" i="2"/>
  <c r="O1292" i="2"/>
  <c r="D1291" i="2"/>
  <c r="G1291" i="2"/>
  <c r="H1291" i="2"/>
  <c r="L1291" i="2"/>
  <c r="M1291" i="2"/>
  <c r="N1291" i="2"/>
  <c r="O1291" i="2"/>
  <c r="D1290" i="2"/>
  <c r="G1290" i="2"/>
  <c r="H1290" i="2"/>
  <c r="L1290" i="2"/>
  <c r="M1290" i="2"/>
  <c r="N1290" i="2"/>
  <c r="O1290" i="2"/>
  <c r="D1289" i="2"/>
  <c r="G1289" i="2"/>
  <c r="H1289" i="2"/>
  <c r="L1289" i="2"/>
  <c r="M1289" i="2"/>
  <c r="N1289" i="2"/>
  <c r="O1289" i="2"/>
  <c r="D1288" i="2"/>
  <c r="G1288" i="2"/>
  <c r="H1288" i="2"/>
  <c r="L1288" i="2"/>
  <c r="M1288" i="2"/>
  <c r="N1288" i="2"/>
  <c r="O1288" i="2"/>
  <c r="D1287" i="2"/>
  <c r="G1287" i="2"/>
  <c r="H1287" i="2"/>
  <c r="L1287" i="2"/>
  <c r="M1287" i="2"/>
  <c r="N1287" i="2"/>
  <c r="O1287" i="2"/>
  <c r="D1286" i="2"/>
  <c r="G1286" i="2"/>
  <c r="H1286" i="2"/>
  <c r="L1286" i="2"/>
  <c r="M1286" i="2"/>
  <c r="N1286" i="2"/>
  <c r="O1286" i="2"/>
  <c r="D1285" i="2"/>
  <c r="G1285" i="2"/>
  <c r="H1285" i="2"/>
  <c r="L1285" i="2"/>
  <c r="M1285" i="2"/>
  <c r="N1285" i="2"/>
  <c r="O1285" i="2"/>
  <c r="D1284" i="2"/>
  <c r="G1284" i="2"/>
  <c r="H1284" i="2"/>
  <c r="L1284" i="2"/>
  <c r="M1284" i="2"/>
  <c r="N1284" i="2"/>
  <c r="O1284" i="2"/>
  <c r="D1283" i="2"/>
  <c r="G1283" i="2"/>
  <c r="H1283" i="2"/>
  <c r="L1283" i="2"/>
  <c r="M1283" i="2"/>
  <c r="N1283" i="2"/>
  <c r="O1283" i="2"/>
  <c r="D1282" i="2"/>
  <c r="G1282" i="2"/>
  <c r="H1282" i="2"/>
  <c r="L1282" i="2"/>
  <c r="M1282" i="2"/>
  <c r="N1282" i="2"/>
  <c r="O1282" i="2"/>
  <c r="D1281" i="2"/>
  <c r="G1281" i="2"/>
  <c r="H1281" i="2"/>
  <c r="L1281" i="2"/>
  <c r="M1281" i="2"/>
  <c r="N1281" i="2"/>
  <c r="O1281" i="2"/>
  <c r="D1280" i="2"/>
  <c r="G1280" i="2"/>
  <c r="H1280" i="2"/>
  <c r="L1280" i="2"/>
  <c r="M1280" i="2"/>
  <c r="N1280" i="2"/>
  <c r="O1280" i="2"/>
  <c r="F183" i="3"/>
  <c r="G183" i="3"/>
  <c r="H183" i="3"/>
  <c r="I183" i="3"/>
  <c r="F182" i="3"/>
  <c r="G182" i="3"/>
  <c r="H182" i="3"/>
  <c r="I182" i="3"/>
  <c r="F181" i="3"/>
  <c r="G181" i="3"/>
  <c r="H181" i="3"/>
  <c r="I181" i="3"/>
  <c r="C147" i="1"/>
  <c r="D147" i="1"/>
  <c r="G147" i="1"/>
  <c r="D1261" i="2"/>
  <c r="G1261" i="2"/>
  <c r="H1261" i="2"/>
  <c r="L1261" i="2"/>
  <c r="M1261" i="2"/>
  <c r="N1261" i="2"/>
  <c r="O1261" i="2"/>
  <c r="D1246" i="2"/>
  <c r="G1246" i="2"/>
  <c r="H1246" i="2"/>
  <c r="L1246" i="2"/>
  <c r="M1246" i="2"/>
  <c r="N1246" i="2"/>
  <c r="O1246" i="2"/>
  <c r="D1247" i="2"/>
  <c r="G1247" i="2"/>
  <c r="H1247" i="2"/>
  <c r="L1247" i="2"/>
  <c r="M1247" i="2"/>
  <c r="N1247" i="2"/>
  <c r="O1247" i="2"/>
  <c r="D1248" i="2"/>
  <c r="G1248" i="2"/>
  <c r="H1248" i="2"/>
  <c r="L1248" i="2"/>
  <c r="M1248" i="2"/>
  <c r="N1248" i="2"/>
  <c r="O1248" i="2"/>
  <c r="D1249" i="2"/>
  <c r="G1249" i="2"/>
  <c r="H1249" i="2"/>
  <c r="L1249" i="2"/>
  <c r="M1249" i="2"/>
  <c r="N1249" i="2"/>
  <c r="O1249" i="2"/>
  <c r="D1250" i="2"/>
  <c r="G1250" i="2"/>
  <c r="H1250" i="2"/>
  <c r="L1250" i="2"/>
  <c r="M1250" i="2"/>
  <c r="N1250" i="2"/>
  <c r="O1250" i="2"/>
  <c r="D1251" i="2"/>
  <c r="G1251" i="2"/>
  <c r="H1251" i="2"/>
  <c r="L1251" i="2"/>
  <c r="M1251" i="2"/>
  <c r="N1251" i="2"/>
  <c r="O1251" i="2"/>
  <c r="D1252" i="2"/>
  <c r="G1252" i="2"/>
  <c r="H1252" i="2"/>
  <c r="L1252" i="2"/>
  <c r="M1252" i="2"/>
  <c r="N1252" i="2"/>
  <c r="O1252" i="2"/>
  <c r="D1253" i="2"/>
  <c r="G1253" i="2"/>
  <c r="H1253" i="2"/>
  <c r="L1253" i="2"/>
  <c r="M1253" i="2"/>
  <c r="N1253" i="2"/>
  <c r="O1253" i="2"/>
  <c r="D1254" i="2"/>
  <c r="G1254" i="2"/>
  <c r="H1254" i="2"/>
  <c r="L1254" i="2"/>
  <c r="M1254" i="2"/>
  <c r="N1254" i="2"/>
  <c r="O1254" i="2"/>
  <c r="D1255" i="2"/>
  <c r="G1255" i="2"/>
  <c r="H1255" i="2"/>
  <c r="L1255" i="2"/>
  <c r="M1255" i="2"/>
  <c r="N1255" i="2"/>
  <c r="O1255" i="2"/>
  <c r="D1256" i="2"/>
  <c r="G1256" i="2"/>
  <c r="H1256" i="2"/>
  <c r="L1256" i="2"/>
  <c r="M1256" i="2"/>
  <c r="N1256" i="2"/>
  <c r="O1256" i="2"/>
  <c r="D1257" i="2"/>
  <c r="G1257" i="2"/>
  <c r="E147" i="1" s="1"/>
  <c r="H1257" i="2"/>
  <c r="F147" i="1" s="1"/>
  <c r="L1257" i="2"/>
  <c r="M1257" i="2"/>
  <c r="N1257" i="2"/>
  <c r="O1257" i="2"/>
  <c r="D1258" i="2"/>
  <c r="G1258" i="2"/>
  <c r="H1258" i="2"/>
  <c r="L1258" i="2"/>
  <c r="M1258" i="2"/>
  <c r="N1258" i="2"/>
  <c r="O1258" i="2"/>
  <c r="D1259" i="2"/>
  <c r="G1259" i="2"/>
  <c r="H1259" i="2"/>
  <c r="L1259" i="2"/>
  <c r="M1259" i="2"/>
  <c r="N1259" i="2"/>
  <c r="O1259" i="2"/>
  <c r="D1260" i="2"/>
  <c r="G1260" i="2"/>
  <c r="H1260" i="2"/>
  <c r="L1260" i="2"/>
  <c r="M1260" i="2"/>
  <c r="N1260" i="2"/>
  <c r="O1260" i="2"/>
  <c r="D1262" i="2"/>
  <c r="G1262" i="2"/>
  <c r="H1262" i="2"/>
  <c r="L1262" i="2"/>
  <c r="M1262" i="2"/>
  <c r="N1262" i="2"/>
  <c r="O1262" i="2"/>
  <c r="D1263" i="2"/>
  <c r="G1263" i="2"/>
  <c r="H1263" i="2"/>
  <c r="L1263" i="2"/>
  <c r="M1263" i="2"/>
  <c r="N1263" i="2"/>
  <c r="O1263" i="2"/>
  <c r="D1264" i="2"/>
  <c r="G1264" i="2"/>
  <c r="H1264" i="2"/>
  <c r="L1264" i="2"/>
  <c r="M1264" i="2"/>
  <c r="N1264" i="2"/>
  <c r="O1264" i="2"/>
  <c r="D1265" i="2"/>
  <c r="G1265" i="2"/>
  <c r="H1265" i="2"/>
  <c r="L1265" i="2"/>
  <c r="M1265" i="2"/>
  <c r="N1265" i="2"/>
  <c r="O1265" i="2"/>
  <c r="D1266" i="2"/>
  <c r="G1266" i="2"/>
  <c r="H1266" i="2"/>
  <c r="L1266" i="2"/>
  <c r="M1266" i="2"/>
  <c r="N1266" i="2"/>
  <c r="O1266" i="2"/>
  <c r="D1267" i="2"/>
  <c r="G1267" i="2"/>
  <c r="H1267" i="2"/>
  <c r="L1267" i="2"/>
  <c r="M1267" i="2"/>
  <c r="N1267" i="2"/>
  <c r="O1267" i="2"/>
  <c r="D1268" i="2"/>
  <c r="G1268" i="2"/>
  <c r="H1268" i="2"/>
  <c r="L1268" i="2"/>
  <c r="M1268" i="2"/>
  <c r="N1268" i="2"/>
  <c r="O1268" i="2"/>
  <c r="D1269" i="2"/>
  <c r="G1269" i="2"/>
  <c r="H1269" i="2"/>
  <c r="L1269" i="2"/>
  <c r="M1269" i="2"/>
  <c r="N1269" i="2"/>
  <c r="O1269" i="2"/>
  <c r="D1270" i="2"/>
  <c r="G1270" i="2"/>
  <c r="H1270" i="2"/>
  <c r="L1270" i="2"/>
  <c r="M1270" i="2"/>
  <c r="N1270" i="2"/>
  <c r="O1270" i="2"/>
  <c r="D1271" i="2"/>
  <c r="G1271" i="2"/>
  <c r="H1271" i="2"/>
  <c r="L1271" i="2"/>
  <c r="M1271" i="2"/>
  <c r="N1271" i="2"/>
  <c r="O1271" i="2"/>
  <c r="D1272" i="2"/>
  <c r="G1272" i="2"/>
  <c r="H1272" i="2"/>
  <c r="L1272" i="2"/>
  <c r="M1272" i="2"/>
  <c r="N1272" i="2"/>
  <c r="O1272" i="2"/>
  <c r="D1273" i="2"/>
  <c r="G1273" i="2"/>
  <c r="H1273" i="2"/>
  <c r="L1273" i="2"/>
  <c r="M1273" i="2"/>
  <c r="N1273" i="2"/>
  <c r="O1273" i="2"/>
  <c r="D1274" i="2"/>
  <c r="G1274" i="2"/>
  <c r="H1274" i="2"/>
  <c r="L1274" i="2"/>
  <c r="M1274" i="2"/>
  <c r="N1274" i="2"/>
  <c r="O1274" i="2"/>
  <c r="D1275" i="2"/>
  <c r="G1275" i="2"/>
  <c r="H1275" i="2"/>
  <c r="L1275" i="2"/>
  <c r="M1275" i="2"/>
  <c r="N1275" i="2"/>
  <c r="O1275" i="2"/>
  <c r="D1276" i="2"/>
  <c r="G1276" i="2"/>
  <c r="H1276" i="2"/>
  <c r="L1276" i="2"/>
  <c r="M1276" i="2"/>
  <c r="N1276" i="2"/>
  <c r="O1276" i="2"/>
  <c r="D1277" i="2"/>
  <c r="G1277" i="2"/>
  <c r="H1277" i="2"/>
  <c r="L1277" i="2"/>
  <c r="M1277" i="2"/>
  <c r="N1277" i="2"/>
  <c r="O1277" i="2"/>
  <c r="D1279" i="2"/>
  <c r="G1279" i="2"/>
  <c r="H1279" i="2"/>
  <c r="L1279" i="2"/>
  <c r="M1279" i="2"/>
  <c r="N1279" i="2"/>
  <c r="O1279" i="2"/>
  <c r="D1278" i="2"/>
  <c r="G1278" i="2"/>
  <c r="H1278" i="2"/>
  <c r="L1278" i="2"/>
  <c r="M1278" i="2"/>
  <c r="N1278" i="2"/>
  <c r="O1278" i="2"/>
  <c r="D1245" i="2"/>
  <c r="G1245" i="2"/>
  <c r="H1245" i="2"/>
  <c r="L1245" i="2"/>
  <c r="M1245" i="2"/>
  <c r="N1245" i="2"/>
  <c r="O1245" i="2"/>
  <c r="D1244" i="2"/>
  <c r="G1244" i="2"/>
  <c r="H1244" i="2"/>
  <c r="L1244" i="2"/>
  <c r="M1244" i="2"/>
  <c r="N1244" i="2"/>
  <c r="O1244" i="2"/>
  <c r="D1243" i="2"/>
  <c r="G1243" i="2"/>
  <c r="H1243" i="2"/>
  <c r="L1243" i="2"/>
  <c r="M1243" i="2"/>
  <c r="N1243" i="2"/>
  <c r="O1243" i="2"/>
  <c r="D1242" i="2"/>
  <c r="G1242" i="2"/>
  <c r="H1242" i="2"/>
  <c r="L1242" i="2"/>
  <c r="M1242" i="2"/>
  <c r="N1242" i="2"/>
  <c r="O1242" i="2"/>
  <c r="D1241" i="2"/>
  <c r="G1241" i="2"/>
  <c r="H1241" i="2"/>
  <c r="L1241" i="2"/>
  <c r="M1241" i="2"/>
  <c r="N1241" i="2"/>
  <c r="O1241" i="2"/>
  <c r="F180" i="3"/>
  <c r="G180" i="3"/>
  <c r="H180" i="3"/>
  <c r="I180" i="3"/>
  <c r="F179" i="3"/>
  <c r="G179" i="3"/>
  <c r="H179" i="3"/>
  <c r="I179" i="3"/>
  <c r="F178" i="3"/>
  <c r="G178" i="3"/>
  <c r="H178" i="3"/>
  <c r="I178" i="3"/>
  <c r="F177" i="3"/>
  <c r="G177" i="3"/>
  <c r="H177" i="3"/>
  <c r="I177" i="3"/>
  <c r="F176" i="3"/>
  <c r="G176" i="3"/>
  <c r="H176" i="3"/>
  <c r="I176" i="3"/>
  <c r="C146" i="1"/>
  <c r="D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F146" i="1" s="1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H1218" i="2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H1207" i="2"/>
  <c r="F144" i="1" s="1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H1201" i="2"/>
  <c r="D1200" i="2"/>
  <c r="G1200" i="2"/>
  <c r="H1200" i="2"/>
  <c r="D1199" i="2"/>
  <c r="G1199" i="2"/>
  <c r="H1199" i="2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H1098" i="2"/>
  <c r="C135" i="1"/>
  <c r="D135" i="1"/>
  <c r="E135" i="1"/>
  <c r="F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H1043" i="2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F131" i="1" l="1"/>
  <c r="E145" i="1"/>
  <c r="F145" i="1"/>
  <c r="E142" i="1"/>
  <c r="F143" i="1"/>
  <c r="E144" i="1"/>
  <c r="E131" i="1"/>
  <c r="E143" i="1"/>
  <c r="F142" i="1"/>
  <c r="F140" i="1"/>
  <c r="E140" i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<sst xmlns="http://schemas.openxmlformats.org/spreadsheetml/2006/main" count="1687" uniqueCount="187">
  <si>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</si>
  <si>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</si>
  <si>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</si>
  <si>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</si>
  <si>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</si>
  <si>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</si>
  <si>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</si>
  <si>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</si>
  <si>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</si>
  <si>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</si>
  <si>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</si>
  <si>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</si>
  <si>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</si>
  <si>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</si>
  <si>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</si>
  <si>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</si>
  <si>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</si>
  <si>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</si>
  <si>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</si>
  <si>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</si>
  <si>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</si>
  <si>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</si>
  <si>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</si>
  <si>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</si>
  <si>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</si>
  <si>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</si>
  <si>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</si>
  <si>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</si>
  <si>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</si>
  <si>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</si>
  <si>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</si>
  <si>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</si>
  <si>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</si>
  <si>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</si>
  <si>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</si>
  <si>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</si>
  <si>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</si>
  <si>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</si>
  <si>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</si>
  <si>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</si>
  <si>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</si>
  <si>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</si>
  <si>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</si>
  <si>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</si>
  <si>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</si>
  <si>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</si>
  <si>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</si>
  <si>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</si>
  <si>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</si>
  <si>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</si>
  <si>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</si>
  <si>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</si>
  <si>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</si>
  <si>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</si>
  <si>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</si>
  <si>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</si>
  <si>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</si>
  <si>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</si>
  <si>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</si>
  <si>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</si>
  <si>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</si>
  <si>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</si>
  <si>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</si>
  <si>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</si>
  <si>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</si>
  <si>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</si>
  <si>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</si>
  <si>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</si>
  <si>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</si>
  <si>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</si>
  <si>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</si>
  <si>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</si>
  <si>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</si>
  <si>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</si>
  <si>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</si>
  <si>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</si>
  <si>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</si>
  <si>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</si>
  <si>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</si>
  <si>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</si>
  <si>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</si>
  <si>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</si>
  <si>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</si>
  <si>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</si>
  <si>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</si>
  <si>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</si>
  <si>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</si>
  <si>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</si>
  <si>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</si>
  <si>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</si>
  <si>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</si>
  <si>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</si>
  <si>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</si>
  <si>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</si>
  <si>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</si>
  <si>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</si>
  <si>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</si>
  <si>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</si>
  <si>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</si>
  <si>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</si>
  <si>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</si>
  <si>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</si>
  <si>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</si>
  <si>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</si>
  <si>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</si>
  <si>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</si>
  <si>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</si>
  <si>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</si>
  <si>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</si>
  <si>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</si>
  <si>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</si>
  <si>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</si>
  <si>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</si>
  <si>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</si>
  <si>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</si>
  <si>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</si>
  <si>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</si>
  <si>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</si>
  <si>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</si>
  <si>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</si>
  <si>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</si>
  <si>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</si>
  <si>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</si>
  <si>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</si>
  <si>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</si>
  <si>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</si>
  <si>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</si>
  <si>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</si>
  <si>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</si>
  <si>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</si>
  <si>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</si>
  <si>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</si>
  <si>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</si>
  <si>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</si>
  <si>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</si>
  <si>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</si>
  <si>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</si>
  <si>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</si>
  <si>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</si>
  <si>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</si>
  <si>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</si>
  <si>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</si>
  <si>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</si>
  <si>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</si>
  <si>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</si>
  <si>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</si>
  <si>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</si>
  <si>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</si>
  <si>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</si>
  <si>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</si>
  <si>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</si>
  <si>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</si>
  <si>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</si>
  <si>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</si>
  <si>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</si>
  <si>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</si>
  <si>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</si>
  <si>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</si>
  <si>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</si>
  <si>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</si>
  <si>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</si>
  <si>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</si>
  <si>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</si>
  <si>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</si>
  <si>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</si>
  <si>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</si>
  <si>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</si>
  <si>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</si>
  <si>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</si>
  <si>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</si>
  <si>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</si>
  <si>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</si>
  <si>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</si>
  <si>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</si>
  <si>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</si>
  <si>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</si>
  <si>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</si>
  <si>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</si>
  <si>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</si>
  <si>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</si>
  <si>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</si>
  <si>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</si>
  <si>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</si>
  <si>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</si>
  <si>
    <t>Ромасик</t>
  </si>
  <si>
    <t>Богдан</t>
  </si>
  <si>
    <t>Анар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</si>
</sst>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49" fontId="5" fillId="0" borderId="6" xfId="0" applyNumberFormat="1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164" fontId="2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4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6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49" totalsRowShown="0" headerRowDxfId="59" headerRowBorderDxfId="58" tableBorderDxfId="57" totalsRowBorderDxfId="56">
  <autoFilter ref="A1:G149" xr:uid="{CC58E8C5-7B8B-42F7-9BFF-85AAC284233D}"/>
  <tableColumns count="7">
    <tableColumn id="1" xr3:uid="{72D5507B-3E56-45F9-949A-1B810B89614D}" name="player_id" dataDxfId="55"/>
    <tableColumn id="2" xr3:uid="{9B600E03-F10C-49A9-BD9C-050BEA58FF6E}" name="player_name" dataDxfId="54"/>
    <tableColumn id="3" xr3:uid="{8F857898-2667-4829-90AD-3A28B8E44AF3}" name="goals" dataDxfId="53">
      <calculatedColumnFormula>SUMIFS(_stats[goals_on_date],_stats[player_id],_players[[#This Row],[player_id]])</calculatedColumnFormula>
    </tableColumn>
    <tableColumn id="4" xr3:uid="{81B9F6B2-D5CC-4D13-9EE3-73B39091AD58}" name="assists" dataDxfId="52">
      <calculatedColumnFormula>SUMIFS(_stats[assists_on_date],_stats[player_id],_players[[#This Row],[player_id]])</calculatedColumnFormula>
    </tableColumn>
    <tableColumn id="5" xr3:uid="{1C26950D-761D-4C94-B228-1824773DE1A0}" name="wins" dataDxfId="51">
      <calculatedColumnFormula>SUMIFS(_stats[wins_on_date],_stats[player_id],_players[[#This Row],[player_id]])</calculatedColumnFormula>
    </tableColumn>
    <tableColumn id="7" xr3:uid="{7B92C955-C277-4BCF-B8AB-BC8A08DD3F98}" name="draws" dataDxfId="50">
      <calculatedColumnFormula>SUMIFS(_stats[draws_on_date],_stats[player_id],_players[[#This Row],[player_id]])</calculatedColumnFormula>
    </tableColumn>
    <tableColumn id="8" xr3:uid="{83A39928-DADF-478C-8EEB-8BB7EDD9B3F6}" name="foul" dataDxfId="49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338" totalsRowShown="0" headerRowDxfId="48" dataDxfId="46" headerRowBorderDxfId="47" tableBorderDxfId="45" totalsRowBorderDxfId="44">
  <autoFilter ref="A1:O1338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43"/>
    <tableColumn id="2" xr3:uid="{686C940A-87F8-43A1-ADFF-9CF607E801B5}" name="team_number" dataDxfId="42"/>
    <tableColumn id="3" xr3:uid="{1C13D6CA-8B0C-4849-B32C-A77EF9C52B42}" name="player_id" dataDxfId="41"/>
    <tableColumn id="4" xr3:uid="{C2384479-71AA-40DA-A7B2-E30ECBA1AF99}" name="player_name" dataDxfId="40">
      <calculatedColumnFormula>IFERROR(VLOOKUP(_stats[[#This Row],[player_id]],_players[[player_id]:[player_name]],2,0),"")</calculatedColumnFormula>
    </tableColumn>
    <tableColumn id="5" xr3:uid="{09AE1D8B-DCB8-4F87-ABB5-372822B0D6BF}" name="goals_on_date" dataDxfId="39"/>
    <tableColumn id="6" xr3:uid="{7FD24496-81EB-47BB-8B89-26AB97C686CA}" name="assists_on_date" dataDxfId="38"/>
    <tableColumn id="7" xr3:uid="{39F202A0-49EF-45EE-9054-882F18FBDF31}" name="wins_on_date" dataDxfId="37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36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35"/>
    <tableColumn id="11" xr3:uid="{F63E3F90-CE47-4270-AB10-578EF27B95D4}" name="foul_on_date" dataDxfId="34"/>
    <tableColumn id="10" xr3:uid="{60255463-9C5A-4356-83C8-4B8F5C0D84CC}" name="tournament" dataDxfId="33"/>
    <tableColumn id="15" xr3:uid="{7F376ADC-280C-4F2A-9A32-E1868B930ACF}" name="check_tournament_name" dataDxfId="32">
      <calculatedColumnFormula>VLOOKUP(_stats[[#This Row],[tournament]],tournaments_n_rules[],2,0)</calculatedColumnFormula>
    </tableColumn>
    <tableColumn id="16" xr3:uid="{FD462710-B233-41D3-A7F4-D0A7C67E8BD7}" name="check_tournament_season" dataDxfId="31">
      <calculatedColumnFormula>VLOOKUP(_stats[[#This Row],[tournament]],tournaments_n_rules[],3,0)</calculatedColumnFormula>
    </tableColumn>
    <tableColumn id="17" xr3:uid="{FC392FCF-0703-4BAE-A849-B5A17D89FC21}" name="check_tournament_start" dataDxfId="30">
      <calculatedColumnFormula>VLOOKUP(_stats[[#This Row],[tournament]],tournaments_n_rules[],4,0)</calculatedColumnFormula>
    </tableColumn>
    <tableColumn id="18" xr3:uid="{27C989FF-B801-496B-AC34-686429C3CF2E}" name="check_tournament_stop" dataDxfId="29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187" totalsRowShown="0" headerRowDxfId="28" dataDxfId="26" headerRowBorderDxfId="27" tableBorderDxfId="25" totalsRowBorderDxfId="24">
  <autoFilter ref="A1:I187" xr:uid="{B6423DC2-EC3F-4914-9E08-BC4E7C6626C9}"/>
  <tableColumns count="9">
    <tableColumn id="1" xr3:uid="{92BE0DCE-EF0C-43B2-937D-640EBFF087A6}" name="date" dataDxfId="23"/>
    <tableColumn id="2" xr3:uid="{B497FB59-180E-4B72-9ECD-E25C88173489}" name="team_number" dataDxfId="22"/>
    <tableColumn id="3" xr3:uid="{02A8A062-9D85-4980-948F-E89B2B2D08DF}" name="wins_on_date" dataDxfId="21"/>
    <tableColumn id="4" xr3:uid="{E0D3B2C4-0D10-4724-9583-EAA87E6A8BF5}" name="draws_on_date" dataDxfId="20"/>
    <tableColumn id="5" xr3:uid="{767C7E87-2BC0-427C-9555-EA488841AAAB}" name="tournament" dataDxfId="19"/>
    <tableColumn id="6" xr3:uid="{66D67E98-3764-4ECA-9F20-5B5D73B509B6}" name="check_tournament_name" dataDxfId="18">
      <calculatedColumnFormula>VLOOKUP(_teams[[#This Row],[tournament]],tournaments_n_rules[],2,0)</calculatedColumnFormula>
    </tableColumn>
    <tableColumn id="7" xr3:uid="{CA9C9E4C-39CD-4FED-BE6B-DC0186C66D05}" name="check_tournament_season" dataDxfId="17">
      <calculatedColumnFormula>VLOOKUP(_teams[[#This Row],[tournament]],tournaments_n_rules[],3,0)</calculatedColumnFormula>
    </tableColumn>
    <tableColumn id="8" xr3:uid="{C7ABE14A-A328-40B7-B865-90403A3A0555}" name="check_tournament_start" dataDxfId="16">
      <calculatedColumnFormula>VLOOKUP(_teams[[#This Row],[tournament]],tournaments_n_rules[],4,0)</calculatedColumnFormula>
    </tableColumn>
    <tableColumn id="9" xr3:uid="{7927A572-D944-4B6E-A2B5-383C0CB0B713}" name="check_tournament_stop" dataDxfId="15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7" totalsRowShown="0" headerRowDxfId="14" headerRowBorderDxfId="13" tableBorderDxfId="12" totalsRowBorderDxfId="11">
  <autoFilter ref="A1:K7" xr:uid="{BF253B66-23E6-43E6-B434-6BE21AA4DEBC}"/>
  <tableColumns count="11">
    <tableColumn id="1" xr3:uid="{6B933049-D090-4881-8423-76EBCF6F9C40}" name="tournament_id" dataDxfId="10">
      <calculatedColumnFormula>ROW()-1</calculatedColumnFormula>
    </tableColumn>
    <tableColumn id="2" xr3:uid="{37DDB493-473B-438A-BF16-ED5571D93B2D}" name="tournament_name" dataDxfId="9"/>
    <tableColumn id="11" xr3:uid="{93E7381D-185A-4B0F-836F-832791C984B4}" name="season" dataDxfId="8"/>
    <tableColumn id="3" xr3:uid="{FAAF31D4-70DC-4EA5-875C-04AC9E3A568F}" name="start" dataDxfId="7"/>
    <tableColumn id="4" xr3:uid="{FF338632-27CE-4F49-93E5-BE847FEFCCF1}" name="end" dataDxfId="6"/>
    <tableColumn id="5" xr3:uid="{B187E53B-A67C-4710-AC44-00CC5126A08C}" name="goals_coefficient" dataDxfId="5"/>
    <tableColumn id="6" xr3:uid="{A685A3A6-3568-4BFF-BC83-901416CF1337}" name="assists_coefficient" dataDxfId="4"/>
    <tableColumn id="7" xr3:uid="{AE1B915D-DCF6-4C2F-A613-11C35813F72E}" name="wins_coefficient" dataDxfId="3"/>
    <tableColumn id="8" xr3:uid="{48B0E9A3-3641-4038-A405-0616D787B749}" name="draws_coefficient" dataDxfId="2"/>
    <tableColumn id="9" xr3:uid="{4F4FCB37-77EB-4A98-90B5-C2DEF39A70C5}" name="saves_coefficient" dataDxfId="1"/>
    <tableColumn id="10" xr3:uid="{055A30D6-329F-4585-8DE1-892A0C6A60F7}" name="foul_coeffici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49"/>
  <sheetViews>
    <sheetView topLeftCell="A124" workbookViewId="0">
      <selection activeCell="C149" sqref="C149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97</v>
      </c>
      <c r="D2" s="19">
        <f>SUMIFS(_stats[assists_on_date],_stats[player_id],_players[[#This Row],[player_id]])</f>
        <v>36</v>
      </c>
      <c r="E2" s="19">
        <f>SUMIFS(_stats[wins_on_date],_stats[player_id],_players[[#This Row],[player_id]])</f>
        <v>121</v>
      </c>
      <c r="F2" s="20">
        <f>SUMIFS(_stats[draws_on_date],_stats[player_id],_players[[#This Row],[player_id]])</f>
        <v>18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60</v>
      </c>
      <c r="D3" s="11">
        <f>SUMIFS(_stats[assists_on_date],_stats[player_id],_players[[#This Row],[player_id]])</f>
        <v>43</v>
      </c>
      <c r="E3" s="11">
        <f>SUMIFS(_stats[wins_on_date],_stats[player_id],_players[[#This Row],[player_id]])</f>
        <v>175</v>
      </c>
      <c r="F3" s="12">
        <f>SUMIFS(_stats[draws_on_date],_stats[player_id],_players[[#This Row],[player_id]])</f>
        <v>38</v>
      </c>
      <c r="G3" s="12">
        <f>SUMIFS(_stats[foul_on_date],_stats[player_id],_players[[#This Row],[player_id]])</f>
        <v>3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172</v>
      </c>
      <c r="F4" s="17">
        <f>SUMIFS(_stats[draws_on_date],_stats[player_id],_players[[#This Row],[player_id]])</f>
        <v>35</v>
      </c>
      <c r="G4" s="17">
        <f>SUMIFS(_stats[foul_on_date],_stats[player_id],_players[[#This Row],[player_id]])</f>
        <v>1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31</v>
      </c>
      <c r="E5" s="21">
        <f>SUMIFS(_stats[wins_on_date],_stats[player_id],_players[[#This Row],[player_id]])</f>
        <v>110</v>
      </c>
      <c r="F5" s="22">
        <f>SUMIFS(_stats[draws_on_date],_stats[player_id],_players[[#This Row],[player_id]])</f>
        <v>15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27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188</v>
      </c>
      <c r="F6" s="17">
        <f>SUMIFS(_stats[draws_on_date],_stats[player_id],_players[[#This Row],[player_id]])</f>
        <v>42</v>
      </c>
      <c r="G6" s="17">
        <f>SUMIFS(_stats[foul_on_date],_stats[player_id],_players[[#This Row],[player_id]])</f>
        <v>1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62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105</v>
      </c>
      <c r="F7" s="12">
        <f>SUMIFS(_stats[draws_on_date],_stats[player_id],_players[[#This Row],[player_id]])</f>
        <v>25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39</v>
      </c>
      <c r="D8" s="11">
        <f>SUMIFS(_stats[assists_on_date],_stats[player_id],_players[[#This Row],[player_id]])</f>
        <v>26</v>
      </c>
      <c r="E8" s="11">
        <f>SUMIFS(_stats[wins_on_date],_stats[player_id],_players[[#This Row],[player_id]])</f>
        <v>151</v>
      </c>
      <c r="F8" s="12">
        <f>SUMIFS(_stats[draws_on_date],_stats[player_id],_players[[#This Row],[player_id]])</f>
        <v>40</v>
      </c>
      <c r="G8" s="12">
        <f>SUMIFS(_stats[foul_on_date],_stats[player_id],_players[[#This Row],[player_id]])</f>
        <v>1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71</v>
      </c>
      <c r="F10" s="17">
        <f>SUMIFS(_stats[draws_on_date],_stats[player_id],_players[[#This Row],[player_id]])</f>
        <v>15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75</v>
      </c>
      <c r="D12" s="16">
        <f>SUMIFS(_stats[assists_on_date],_stats[player_id],_players[[#This Row],[player_id]])</f>
        <v>81</v>
      </c>
      <c r="E12" s="16">
        <f>SUMIFS(_stats[wins_on_date],_stats[player_id],_players[[#This Row],[player_id]])</f>
        <v>142</v>
      </c>
      <c r="F12" s="17">
        <f>SUMIFS(_stats[draws_on_date],_stats[player_id],_players[[#This Row],[player_id]])</f>
        <v>43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26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48</v>
      </c>
      <c r="F13" s="12">
        <f>SUMIFS(_stats[draws_on_date],_stats[player_id],_players[[#This Row],[player_id]])</f>
        <v>11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10</v>
      </c>
      <c r="D14" s="11">
        <f>SUMIFS(_stats[assists_on_date],_stats[player_id],_players[[#This Row],[player_id]])</f>
        <v>9</v>
      </c>
      <c r="E14" s="11">
        <f>SUMIFS(_stats[wins_on_date],_stats[player_id],_players[[#This Row],[player_id]])</f>
        <v>155</v>
      </c>
      <c r="F14" s="12">
        <f>SUMIFS(_stats[draws_on_date],_stats[player_id],_players[[#This Row],[player_id]])</f>
        <v>39</v>
      </c>
      <c r="G14" s="12">
        <f>SUMIFS(_stats[foul_on_date],_stats[player_id],_players[[#This Row],[player_id]])</f>
        <v>0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21</v>
      </c>
      <c r="D15" s="11">
        <f>SUMIFS(_stats[assists_on_date],_stats[player_id],_players[[#This Row],[player_id]])</f>
        <v>39</v>
      </c>
      <c r="E15" s="11">
        <f>SUMIFS(_stats[wins_on_date],_stats[player_id],_players[[#This Row],[player_id]])</f>
        <v>77</v>
      </c>
      <c r="F15" s="12">
        <f>SUMIFS(_stats[draws_on_date],_stats[player_id],_players[[#This Row],[player_id]])</f>
        <v>10</v>
      </c>
      <c r="G15" s="12">
        <f>SUMIFS(_stats[foul_on_date],_stats[player_id],_players[[#This Row],[player_id]])</f>
        <v>1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18</v>
      </c>
      <c r="D16" s="11">
        <f>SUMIFS(_stats[assists_on_date],_stats[player_id],_players[[#This Row],[player_id]])</f>
        <v>31</v>
      </c>
      <c r="E16" s="11">
        <f>SUMIFS(_stats[wins_on_date],_stats[player_id],_players[[#This Row],[player_id]])</f>
        <v>64</v>
      </c>
      <c r="F16" s="12">
        <f>SUMIFS(_stats[draws_on_date],_stats[player_id],_players[[#This Row],[player_id]])</f>
        <v>5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61</v>
      </c>
      <c r="F17" s="12">
        <f>SUMIFS(_stats[draws_on_date],_stats[player_id],_players[[#This Row],[player_id]])</f>
        <v>12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36</v>
      </c>
      <c r="E18" s="11">
        <f>SUMIFS(_stats[wins_on_date],_stats[player_id],_players[[#This Row],[player_id]])</f>
        <v>104</v>
      </c>
      <c r="F18" s="12">
        <f>SUMIFS(_stats[draws_on_date],_stats[player_id],_players[[#This Row],[player_id]])</f>
        <v>11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20</v>
      </c>
      <c r="D20" s="11">
        <f>SUMIFS(_stats[assists_on_date],_stats[player_id],_players[[#This Row],[player_id]])</f>
        <v>19</v>
      </c>
      <c r="E20" s="11">
        <f>SUMIFS(_stats[wins_on_date],_stats[player_id],_players[[#This Row],[player_id]])</f>
        <v>113</v>
      </c>
      <c r="F20" s="12">
        <f>SUMIFS(_stats[draws_on_date],_stats[player_id],_players[[#This Row],[player_id]])</f>
        <v>23</v>
      </c>
      <c r="G20" s="12">
        <f>SUMIFS(_stats[foul_on_date],_stats[player_id],_players[[#This Row],[player_id]])</f>
        <v>0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40</v>
      </c>
      <c r="D21" s="11">
        <f>SUMIFS(_stats[assists_on_date],_stats[player_id],_players[[#This Row],[player_id]])</f>
        <v>45</v>
      </c>
      <c r="E21" s="11">
        <f>SUMIFS(_stats[wins_on_date],_stats[player_id],_players[[#This Row],[player_id]])</f>
        <v>123</v>
      </c>
      <c r="F21" s="12">
        <f>SUMIFS(_stats[draws_on_date],_stats[player_id],_players[[#This Row],[player_id]])</f>
        <v>31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124</v>
      </c>
      <c r="F22" s="17">
        <f>SUMIFS(_stats[draws_on_date],_stats[player_id],_players[[#This Row],[player_id]])</f>
        <v>26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125</v>
      </c>
      <c r="F23" s="12">
        <f>SUMIFS(_stats[draws_on_date],_stats[player_id],_players[[#This Row],[player_id]])</f>
        <v>25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26</v>
      </c>
      <c r="F24" s="17">
        <f>SUMIFS(_stats[draws_on_date],_stats[player_id],_players[[#This Row],[player_id]])</f>
        <v>8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15</v>
      </c>
      <c r="D25" s="11">
        <f>SUMIFS(_stats[assists_on_date],_stats[player_id],_players[[#This Row],[player_id]])</f>
        <v>25</v>
      </c>
      <c r="E25" s="11">
        <f>SUMIFS(_stats[wins_on_date],_stats[player_id],_players[[#This Row],[player_id]])</f>
        <v>117</v>
      </c>
      <c r="F25" s="12">
        <f>SUMIFS(_stats[draws_on_date],_stats[player_id],_players[[#This Row],[player_id]])</f>
        <v>36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18</v>
      </c>
      <c r="E27" s="11">
        <f>SUMIFS(_stats[wins_on_date],_stats[player_id],_players[[#This Row],[player_id]])</f>
        <v>88</v>
      </c>
      <c r="F27" s="12">
        <f>SUMIFS(_stats[draws_on_date],_stats[player_id],_players[[#This Row],[player_id]])</f>
        <v>17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25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49</v>
      </c>
      <c r="F30" s="17">
        <f>SUMIFS(_stats[draws_on_date],_stats[player_id],_players[[#This Row],[player_id]])</f>
        <v>11</v>
      </c>
      <c r="G30" s="17">
        <f>SUMIFS(_stats[foul_on_date],_stats[player_id],_players[[#This Row],[player_id]])</f>
        <v>1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13</v>
      </c>
      <c r="E31" s="16">
        <f>SUMIFS(_stats[wins_on_date],_stats[player_id],_players[[#This Row],[player_id]])</f>
        <v>59</v>
      </c>
      <c r="F31" s="17">
        <f>SUMIFS(_stats[draws_on_date],_stats[player_id],_players[[#This Row],[player_id]])</f>
        <v>8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8</v>
      </c>
      <c r="D33" s="11">
        <f>SUMIFS(_stats[assists_on_date],_stats[player_id],_players[[#This Row],[player_id]])</f>
        <v>7</v>
      </c>
      <c r="E33" s="11">
        <f>SUMIFS(_stats[wins_on_date],_stats[player_id],_players[[#This Row],[player_id]])</f>
        <v>30</v>
      </c>
      <c r="F33" s="12">
        <f>SUMIFS(_stats[draws_on_date],_stats[player_id],_players[[#This Row],[player_id]])</f>
        <v>11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79</v>
      </c>
      <c r="F35" s="17">
        <f>SUMIFS(_stats[draws_on_date],_stats[player_id],_players[[#This Row],[player_id]])</f>
        <v>24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62</v>
      </c>
      <c r="F37" s="12">
        <f>SUMIFS(_stats[draws_on_date],_stats[player_id],_players[[#This Row],[player_id]])</f>
        <v>18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14</v>
      </c>
      <c r="D38" s="11">
        <f>SUMIFS(_stats[assists_on_date],_stats[player_id],_players[[#This Row],[player_id]])</f>
        <v>19</v>
      </c>
      <c r="E38" s="11">
        <f>SUMIFS(_stats[wins_on_date],_stats[player_id],_players[[#This Row],[player_id]])</f>
        <v>64</v>
      </c>
      <c r="F38" s="12">
        <f>SUMIFS(_stats[draws_on_date],_stats[player_id],_players[[#This Row],[player_id]])</f>
        <v>20</v>
      </c>
      <c r="G38" s="12">
        <f>SUMIFS(_stats[foul_on_date],_stats[player_id],_players[[#This Row],[player_id]])</f>
        <v>1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3</v>
      </c>
      <c r="E39" s="11">
        <f>SUMIFS(_stats[wins_on_date],_stats[player_id],_players[[#This Row],[player_id]])</f>
        <v>156</v>
      </c>
      <c r="F39" s="12">
        <f>SUMIFS(_stats[draws_on_date],_stats[player_id],_players[[#This Row],[player_id]])</f>
        <v>52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76</v>
      </c>
      <c r="F41" s="12">
        <f>SUMIFS(_stats[draws_on_date],_stats[player_id],_players[[#This Row],[player_id]])</f>
        <v>25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16</v>
      </c>
      <c r="D42" s="16">
        <f>SUMIFS(_stats[assists_on_date],_stats[player_id],_players[[#This Row],[player_id]])</f>
        <v>12</v>
      </c>
      <c r="E42" s="16">
        <f>SUMIFS(_stats[wins_on_date],_stats[player_id],_players[[#This Row],[player_id]])</f>
        <v>63</v>
      </c>
      <c r="F42" s="17">
        <f>SUMIFS(_stats[draws_on_date],_stats[player_id],_players[[#This Row],[player_id]])</f>
        <v>16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10</v>
      </c>
      <c r="E43" s="11">
        <f>SUMIFS(_stats[wins_on_date],_stats[player_id],_players[[#This Row],[player_id]])</f>
        <v>46</v>
      </c>
      <c r="F43" s="12">
        <f>SUMIFS(_stats[draws_on_date],_stats[player_id],_players[[#This Row],[player_id]])</f>
        <v>16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42</v>
      </c>
      <c r="F50" s="12">
        <f>SUMIFS(_stats[draws_on_date],_stats[player_id],_players[[#This Row],[player_id]])</f>
        <v>8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18</v>
      </c>
      <c r="D59" s="10">
        <f>SUMIFS(_stats[assists_on_date],_stats[player_id],_players[[#This Row],[player_id]])</f>
        <v>6</v>
      </c>
      <c r="E59" s="10">
        <f>SUMIFS(_stats[wins_on_date],_stats[player_id],_players[[#This Row],[player_id]])</f>
        <v>45</v>
      </c>
      <c r="F59" s="18">
        <f>SUMIFS(_stats[draws_on_date],_stats[player_id],_players[[#This Row],[player_id]])</f>
        <v>12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102</v>
      </c>
      <c r="F64" s="18">
        <f>SUMIFS(_stats[draws_on_date],_stats[player_id],_players[[#This Row],[player_id]])</f>
        <v>28</v>
      </c>
      <c r="G64" s="18">
        <f>SUMIFS(_stats[foul_on_date],_stats[player_id],_players[[#This Row],[player_id]])</f>
        <v>1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1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43</v>
      </c>
      <c r="D76" s="10">
        <f>SUMIFS(_stats[assists_on_date],_stats[player_id],_players[[#This Row],[player_id]])</f>
        <v>21</v>
      </c>
      <c r="E76" s="10">
        <f>SUMIFS(_stats[wins_on_date],_stats[player_id],_players[[#This Row],[player_id]])</f>
        <v>41</v>
      </c>
      <c r="F76" s="18">
        <f>SUMIFS(_stats[draws_on_date],_stats[player_id],_players[[#This Row],[player_id]])</f>
        <v>11</v>
      </c>
      <c r="G76" s="18">
        <f>SUMIFS(_stats[foul_on_date],_stats[player_id],_players[[#This Row],[player_id]])</f>
        <v>1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48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71</v>
      </c>
      <c r="F79" s="18">
        <f>SUMIFS(_stats[draws_on_date],_stats[player_id],_players[[#This Row],[player_id]])</f>
        <v>17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20</v>
      </c>
      <c r="F84" s="18">
        <f>SUMIFS(_stats[draws_on_date],_stats[player_id],_players[[#This Row],[player_id]])</f>
        <v>3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17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33</v>
      </c>
      <c r="F87" s="18">
        <f>SUMIFS(_stats[draws_on_date],_stats[player_id],_players[[#This Row],[player_id]])</f>
        <v>11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14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5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6</v>
      </c>
      <c r="F109" s="18">
        <f>SUMIFS(_stats[draws_on_date],_stats[player_id],_players[[#This Row],[player_id]])</f>
        <v>3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39</v>
      </c>
      <c r="F110" s="18">
        <f>SUMIFS(_stats[draws_on_date],_stats[player_id],_players[[#This Row],[player_id]])</f>
        <v>15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8</v>
      </c>
      <c r="D120" s="10">
        <f>SUMIFS(_stats[assists_on_date],_stats[player_id],_players[[#This Row],[player_id]])</f>
        <v>7</v>
      </c>
      <c r="E120" s="10">
        <f>SUMIFS(_stats[wins_on_date],_stats[player_id],_players[[#This Row],[player_id]])</f>
        <v>27</v>
      </c>
      <c r="F120" s="18">
        <f>SUMIFS(_stats[draws_on_date],_stats[player_id],_players[[#This Row],[player_id]])</f>
        <v>12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16</v>
      </c>
      <c r="D121" s="10">
        <f>SUMIFS(_stats[assists_on_date],_stats[player_id],_players[[#This Row],[player_id]])</f>
        <v>16</v>
      </c>
      <c r="E121" s="10">
        <f>SUMIFS(_stats[wins_on_date],_stats[player_id],_players[[#This Row],[player_id]])</f>
        <v>57</v>
      </c>
      <c r="F121" s="18">
        <f>SUMIFS(_stats[draws_on_date],_stats[player_id],_players[[#This Row],[player_id]])</f>
        <v>20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8</v>
      </c>
      <c r="D126" s="10">
        <f>SUMIFS(_stats[assists_on_date],_stats[player_id],_players[[#This Row],[player_id]])</f>
        <v>4</v>
      </c>
      <c r="E126" s="10">
        <f>SUMIFS(_stats[wins_on_date],_stats[player_id],_players[[#This Row],[player_id]])</f>
        <v>19</v>
      </c>
      <c r="F126" s="18">
        <f>SUMIFS(_stats[draws_on_date],_stats[player_id],_players[[#This Row],[player_id]])</f>
        <v>11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3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4</v>
      </c>
      <c r="F131" s="18">
        <f>SUMIFS(_stats[draws_on_date],_stats[player_id],_players[[#This Row],[player_id]])</f>
        <v>3</v>
      </c>
      <c r="G131" s="18">
        <f>SUMIFS(_stats[foul_on_date],_stats[player_id],_players[[#This Row],[player_id]])</f>
        <v>1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11</v>
      </c>
      <c r="F134" s="18">
        <f>SUMIFS(_stats[draws_on_date],_stats[player_id],_players[[#This Row],[player_id]])</f>
        <v>3</v>
      </c>
      <c r="G134" s="18">
        <f>SUMIFS(_stats[foul_on_date],_stats[player_id],_players[[#This Row],[player_id]])</f>
        <v>1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1</v>
      </c>
      <c r="D137" s="10">
        <f>SUMIFS(_stats[assists_on_date],_stats[player_id],_players[[#This Row],[player_id]])</f>
        <v>1</v>
      </c>
      <c r="E137" s="10">
        <f>SUMIFS(_stats[wins_on_date],_stats[player_id],_players[[#This Row],[player_id]])</f>
        <v>10</v>
      </c>
      <c r="F137" s="18">
        <f>SUMIFS(_stats[draws_on_date],_stats[player_id],_players[[#This Row],[player_id]])</f>
        <v>2</v>
      </c>
      <c r="G137" s="18">
        <f>SUMIFS(_stats[foul_on_date],_stats[player_id],_players[[#This Row],[player_id]])</f>
        <v>0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6</v>
      </c>
      <c r="D140" s="10">
        <f>SUMIFS(_stats[assists_on_date],_stats[player_id],_players[[#This Row],[player_id]])</f>
        <v>1</v>
      </c>
      <c r="E140" s="10">
        <f>SUMIFS(_stats[wins_on_date],_stats[player_id],_players[[#This Row],[player_id]])</f>
        <v>5</v>
      </c>
      <c r="F140" s="18">
        <f>SUMIFS(_stats[draws_on_date],_stats[player_id],_players[[#This Row],[player_id]])</f>
        <v>6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1</v>
      </c>
      <c r="F142" s="18">
        <f>SUMIFS(_stats[draws_on_date],_stats[player_id],_players[[#This Row],[player_id]])</f>
        <v>1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1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4</v>
      </c>
      <c r="D145" s="10">
        <f>SUMIFS(_stats[assists_on_date],_stats[player_id],_players[[#This Row],[player_id]])</f>
        <v>3</v>
      </c>
      <c r="E145" s="10">
        <f>SUMIFS(_stats[wins_on_date],_stats[player_id],_players[[#This Row],[player_id]])</f>
        <v>13</v>
      </c>
      <c r="F145" s="18">
        <f>SUMIFS(_stats[draws_on_date],_stats[player_id],_players[[#This Row],[player_id]])</f>
        <v>6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  <row r="147" spans="1:7" x14ac:dyDescent="0.25">
      <c r="A147" s="36" t="s">
        <v>184</v>
      </c>
      <c r="B147" s="36" t="s">
        <v>184</v>
      </c>
      <c r="C147" s="10">
        <f>SUMIFS(_stats[goals_on_date],_stats[player_id],_players[[#This Row],[player_id]])</f>
        <v>0</v>
      </c>
      <c r="D147" s="10">
        <f>SUMIFS(_stats[assists_on_date],_stats[player_id],_players[[#This Row],[player_id]])</f>
        <v>0</v>
      </c>
      <c r="E147" s="10">
        <f>SUMIFS(_stats[wins_on_date],_stats[player_id],_players[[#This Row],[player_id]])</f>
        <v>3</v>
      </c>
      <c r="F147" s="18">
        <f>SUMIFS(_stats[draws_on_date],_stats[player_id],_players[[#This Row],[player_id]])</f>
        <v>0</v>
      </c>
      <c r="G147" s="18">
        <f>SUMIFS(_stats[foul_on_date],_stats[player_id],_players[[#This Row],[player_id]])</f>
        <v>2</v>
      </c>
    </row>
    <row r="148" spans="1:7" x14ac:dyDescent="0.25">
      <c r="A148" s="36" t="s">
        <v>185</v>
      </c>
      <c r="B148" s="36" t="s">
        <v>185</v>
      </c>
      <c r="C148" s="10">
        <f>SUMIFS(_stats[goals_on_date],_stats[player_id],_players[[#This Row],[player_id]])</f>
        <v>0</v>
      </c>
      <c r="D148" s="10">
        <f>SUMIFS(_stats[assists_on_date],_stats[player_id],_players[[#This Row],[player_id]])</f>
        <v>0</v>
      </c>
      <c r="E148" s="10">
        <f>SUMIFS(_stats[wins_on_date],_stats[player_id],_players[[#This Row],[player_id]])</f>
        <v>0</v>
      </c>
      <c r="F148" s="18">
        <f>SUMIFS(_stats[draws_on_date],_stats[player_id],_players[[#This Row],[player_id]])</f>
        <v>0</v>
      </c>
      <c r="G148" s="18">
        <f>SUMIFS(_stats[foul_on_date],_stats[player_id],_players[[#This Row],[player_id]])</f>
        <v>0</v>
      </c>
    </row>
    <row r="149" spans="1:7" x14ac:dyDescent="0.25">
      <c r="A149" s="36" t="s">
        <v>186</v>
      </c>
      <c r="B149" s="36" t="s">
        <v>186</v>
      </c>
      <c r="C149" s="10">
        <f>SUMIFS(_stats[goals_on_date],_stats[player_id],_players[[#This Row],[player_id]])</f>
        <v>3</v>
      </c>
      <c r="D149" s="10">
        <f>SUMIFS(_stats[assists_on_date],_stats[player_id],_players[[#This Row],[player_id]])</f>
        <v>0</v>
      </c>
      <c r="E149" s="10">
        <f>SUMIFS(_stats[wins_on_date],_stats[player_id],_players[[#This Row],[player_id]])</f>
        <v>4</v>
      </c>
      <c r="F149" s="18">
        <f>SUMIFS(_stats[draws_on_date],_stats[player_id],_players[[#This Row],[player_id]])</f>
        <v>3</v>
      </c>
      <c r="G149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338"/>
  <sheetViews>
    <sheetView topLeftCell="A1302" zoomScale="85" zoomScaleNormal="85" workbookViewId="0">
      <selection activeCell="I1305" sqref="I1305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31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85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159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14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44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4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104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43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45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4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134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49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42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22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12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4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59</v>
      </c>
      <c r="D1254" s="10" t="str">
        <f>IFERROR(VLOOKUP(_stats[[#This Row],[player_id]],_players[[player_id]:[player_name]],2,0),"")</f>
        <v>Юра Пименов</v>
      </c>
      <c r="E1254" s="7">
        <v>2</v>
      </c>
      <c r="F1254" s="8">
        <v>3</v>
      </c>
      <c r="G1254" s="10">
        <f>SUMIFS(_teams[wins_on_date],_teams[date],_stats[[#This Row],[date]],_teams[team_number],_stats[[#This Row],[team_number]])</f>
        <v>4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21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15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184</v>
      </c>
      <c r="D1257" s="10" t="str">
        <f>IFERROR(VLOOKUP(_stats[[#This Row],[player_id]],_players[[player_id]:[player_name]],2,0),"")</f>
        <v>Ромасик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79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4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25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17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28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19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52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4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149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54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57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41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157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158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18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26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145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120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39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34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4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32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96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4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47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76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  <row r="1280" spans="1:15" x14ac:dyDescent="0.25">
      <c r="A1280" s="6">
        <v>46170</v>
      </c>
      <c r="B1280" s="7">
        <v>1</v>
      </c>
      <c r="C1280" s="7" t="s">
        <v>64</v>
      </c>
      <c r="D1280" s="10" t="str">
        <f>IFERROR(VLOOKUP(_stats[[#This Row],[player_id]],_players[[player_id]:[player_name]],2,0),"")</f>
        <v>Дима Сахаров</v>
      </c>
      <c r="E1280" s="7">
        <v>0</v>
      </c>
      <c r="F1280" s="8">
        <v>1</v>
      </c>
      <c r="G1280" s="10">
        <f>SUMIFS(_teams[wins_on_date],_teams[date],_stats[[#This Row],[date]],_teams[team_number],_stats[[#This Row],[team_number]])</f>
        <v>6</v>
      </c>
      <c r="H1280" s="10">
        <f>SUMIFS(_teams[draws_on_date],_teams[date],_stats[[#This Row],[date]],_teams[team_number],_stats[[#This Row],[team_number]])</f>
        <v>4</v>
      </c>
      <c r="I1280" s="10">
        <v>0</v>
      </c>
      <c r="J1280" s="10">
        <v>0</v>
      </c>
      <c r="K1280" s="57">
        <v>6</v>
      </c>
      <c r="L1280" s="55" t="str">
        <f>VLOOKUP(_stats[[#This Row],[tournament]],tournaments_n_rules[],2,0)</f>
        <v>УПК</v>
      </c>
      <c r="M1280" s="55" t="str">
        <f>VLOOKUP(_stats[[#This Row],[tournament]],tournaments_n_rules[],3,0)</f>
        <v>Весна 2026</v>
      </c>
      <c r="N1280" s="56">
        <f>VLOOKUP(_stats[[#This Row],[tournament]],tournaments_n_rules[],4,0)</f>
        <v>46082</v>
      </c>
      <c r="O1280" s="56">
        <f>VLOOKUP(_stats[[#This Row],[tournament]],tournaments_n_rules[],5,0)</f>
        <v>46173</v>
      </c>
    </row>
    <row r="1281" spans="1:15" x14ac:dyDescent="0.25">
      <c r="A1281" s="6">
        <v>46170</v>
      </c>
      <c r="B1281" s="7">
        <v>2</v>
      </c>
      <c r="C1281" s="7" t="s">
        <v>47</v>
      </c>
      <c r="D1281" s="10" t="str">
        <f>IFERROR(VLOOKUP(_stats[[#This Row],[player_id]],_players[[player_id]:[player_name]],2,0),"")</f>
        <v>Андрей (АК+1)</v>
      </c>
      <c r="E1281" s="7">
        <v>0</v>
      </c>
      <c r="F1281" s="8">
        <v>0</v>
      </c>
      <c r="G1281" s="10">
        <f>SUMIFS(_teams[wins_on_date],_teams[date],_stats[[#This Row],[date]],_teams[team_number],_stats[[#This Row],[team_number]])</f>
        <v>2</v>
      </c>
      <c r="H1281" s="10">
        <f>SUMIFS(_teams[draws_on_date],_teams[date],_stats[[#This Row],[date]],_teams[team_number],_stats[[#This Row],[team_number]])</f>
        <v>4</v>
      </c>
      <c r="I1281" s="10">
        <v>0</v>
      </c>
      <c r="J1281" s="10">
        <v>0</v>
      </c>
      <c r="K1281" s="57">
        <v>6</v>
      </c>
      <c r="L1281" s="55" t="str">
        <f>VLOOKUP(_stats[[#This Row],[tournament]],tournaments_n_rules[],2,0)</f>
        <v>УПК</v>
      </c>
      <c r="M1281" s="55" t="str">
        <f>VLOOKUP(_stats[[#This Row],[tournament]],tournaments_n_rules[],3,0)</f>
        <v>Весна 2026</v>
      </c>
      <c r="N1281" s="56">
        <f>VLOOKUP(_stats[[#This Row],[tournament]],tournaments_n_rules[],4,0)</f>
        <v>46082</v>
      </c>
      <c r="O1281" s="56">
        <f>VLOOKUP(_stats[[#This Row],[tournament]],tournaments_n_rules[],5,0)</f>
        <v>46173</v>
      </c>
    </row>
    <row r="1282" spans="1:15" x14ac:dyDescent="0.25">
      <c r="A1282" s="6">
        <v>46170</v>
      </c>
      <c r="B1282" s="7">
        <v>2</v>
      </c>
      <c r="C1282" s="7" t="s">
        <v>21</v>
      </c>
      <c r="D1282" s="10" t="str">
        <f>IFERROR(VLOOKUP(_stats[[#This Row],[player_id]],_players[[player_id]:[player_name]],2,0),"")</f>
        <v>Влад</v>
      </c>
      <c r="E1282" s="7">
        <v>0</v>
      </c>
      <c r="F1282" s="8">
        <v>0</v>
      </c>
      <c r="G1282" s="10">
        <f>SUMIFS(_teams[wins_on_date],_teams[date],_stats[[#This Row],[date]],_teams[team_number],_stats[[#This Row],[team_number]])</f>
        <v>2</v>
      </c>
      <c r="H1282" s="10">
        <f>SUMIFS(_teams[draws_on_date],_teams[date],_stats[[#This Row],[date]],_teams[team_number],_stats[[#This Row],[team_number]])</f>
        <v>4</v>
      </c>
      <c r="I1282" s="10">
        <v>0</v>
      </c>
      <c r="J1282" s="10">
        <v>0</v>
      </c>
      <c r="K1282" s="57">
        <v>6</v>
      </c>
      <c r="L1282" s="55" t="str">
        <f>VLOOKUP(_stats[[#This Row],[tournament]],tournaments_n_rules[],2,0)</f>
        <v>УПК</v>
      </c>
      <c r="M1282" s="55" t="str">
        <f>VLOOKUP(_stats[[#This Row],[tournament]],tournaments_n_rules[],3,0)</f>
        <v>Весна 2026</v>
      </c>
      <c r="N1282" s="56">
        <f>VLOOKUP(_stats[[#This Row],[tournament]],tournaments_n_rules[],4,0)</f>
        <v>46082</v>
      </c>
      <c r="O1282" s="56">
        <f>VLOOKUP(_stats[[#This Row],[tournament]],tournaments_n_rules[],5,0)</f>
        <v>46173</v>
      </c>
    </row>
    <row r="1283" spans="1:15" x14ac:dyDescent="0.25">
      <c r="A1283" s="6">
        <v>46170</v>
      </c>
      <c r="B1283" s="7">
        <v>1</v>
      </c>
      <c r="C1283" s="7" t="s">
        <v>124</v>
      </c>
      <c r="D1283" s="10" t="str">
        <f>IFERROR(VLOOKUP(_stats[[#This Row],[player_id]],_players[[player_id]:[player_name]],2,0),"")</f>
        <v>Богдан Ждамаров</v>
      </c>
      <c r="E1283" s="7">
        <v>0</v>
      </c>
      <c r="F1283" s="8">
        <v>0</v>
      </c>
      <c r="G1283" s="10">
        <f>SUMIFS(_teams[wins_on_date],_teams[date],_stats[[#This Row],[date]],_teams[team_number],_stats[[#This Row],[team_number]])</f>
        <v>6</v>
      </c>
      <c r="H1283" s="10">
        <f>SUMIFS(_teams[draws_on_date],_teams[date],_stats[[#This Row],[date]],_teams[team_number],_stats[[#This Row],[team_number]])</f>
        <v>4</v>
      </c>
      <c r="I1283" s="10">
        <v>3</v>
      </c>
      <c r="J1283" s="10">
        <v>0</v>
      </c>
      <c r="K1283" s="57">
        <v>6</v>
      </c>
      <c r="L1283" s="55" t="str">
        <f>VLOOKUP(_stats[[#This Row],[tournament]],tournaments_n_rules[],2,0)</f>
        <v>УПК</v>
      </c>
      <c r="M1283" s="55" t="str">
        <f>VLOOKUP(_stats[[#This Row],[tournament]],tournaments_n_rules[],3,0)</f>
        <v>Весна 2026</v>
      </c>
      <c r="N1283" s="56">
        <f>VLOOKUP(_stats[[#This Row],[tournament]],tournaments_n_rules[],4,0)</f>
        <v>46082</v>
      </c>
      <c r="O1283" s="56">
        <f>VLOOKUP(_stats[[#This Row],[tournament]],tournaments_n_rules[],5,0)</f>
        <v>46173</v>
      </c>
    </row>
    <row r="1284" spans="1:15" x14ac:dyDescent="0.25">
      <c r="A1284" s="6">
        <v>46170</v>
      </c>
      <c r="B1284" s="7">
        <v>3</v>
      </c>
      <c r="C1284" s="7" t="s">
        <v>67</v>
      </c>
      <c r="D1284" s="10" t="str">
        <f>IFERROR(VLOOKUP(_stats[[#This Row],[player_id]],_players[[player_id]:[player_name]],2,0),"")</f>
        <v>Иван</v>
      </c>
      <c r="E1284" s="7">
        <v>0</v>
      </c>
      <c r="F1284" s="8">
        <v>2</v>
      </c>
      <c r="G1284" s="10">
        <f>SUMIFS(_teams[wins_on_date],_teams[date],_stats[[#This Row],[date]],_teams[team_number],_stats[[#This Row],[team_number]])</f>
        <v>4</v>
      </c>
      <c r="H1284" s="10">
        <f>SUMIFS(_teams[draws_on_date],_teams[date],_stats[[#This Row],[date]],_teams[team_number],_stats[[#This Row],[team_number]])</f>
        <v>2</v>
      </c>
      <c r="I1284" s="10">
        <v>0</v>
      </c>
      <c r="J1284" s="10">
        <v>0</v>
      </c>
      <c r="K1284" s="57">
        <v>6</v>
      </c>
      <c r="L1284" s="55" t="str">
        <f>VLOOKUP(_stats[[#This Row],[tournament]],tournaments_n_rules[],2,0)</f>
        <v>УПК</v>
      </c>
      <c r="M1284" s="55" t="str">
        <f>VLOOKUP(_stats[[#This Row],[tournament]],tournaments_n_rules[],3,0)</f>
        <v>Весна 2026</v>
      </c>
      <c r="N1284" s="56">
        <f>VLOOKUP(_stats[[#This Row],[tournament]],tournaments_n_rules[],4,0)</f>
        <v>46082</v>
      </c>
      <c r="O1284" s="56">
        <f>VLOOKUP(_stats[[#This Row],[tournament]],tournaments_n_rules[],5,0)</f>
        <v>46173</v>
      </c>
    </row>
    <row r="1285" spans="1:15" x14ac:dyDescent="0.25">
      <c r="A1285" s="6">
        <v>46170</v>
      </c>
      <c r="B1285" s="7">
        <v>3</v>
      </c>
      <c r="C1285" s="7" t="s">
        <v>44</v>
      </c>
      <c r="D1285" s="10" t="str">
        <f>IFERROR(VLOOKUP(_stats[[#This Row],[player_id]],_players[[player_id]:[player_name]],2,0),"")</f>
        <v>Кирилл Попов</v>
      </c>
      <c r="E1285" s="7">
        <v>0</v>
      </c>
      <c r="F1285" s="8">
        <v>1</v>
      </c>
      <c r="G1285" s="10">
        <f>SUMIFS(_teams[wins_on_date],_teams[date],_stats[[#This Row],[date]],_teams[team_number],_stats[[#This Row],[team_number]])</f>
        <v>4</v>
      </c>
      <c r="H1285" s="10">
        <f>SUMIFS(_teams[draws_on_date],_teams[date],_stats[[#This Row],[date]],_teams[team_number],_stats[[#This Row],[team_number]])</f>
        <v>2</v>
      </c>
      <c r="I1285" s="10">
        <v>0</v>
      </c>
      <c r="J1285" s="10">
        <v>0</v>
      </c>
      <c r="K1285" s="57">
        <v>6</v>
      </c>
      <c r="L1285" s="55" t="str">
        <f>VLOOKUP(_stats[[#This Row],[tournament]],tournaments_n_rules[],2,0)</f>
        <v>УПК</v>
      </c>
      <c r="M1285" s="55" t="str">
        <f>VLOOKUP(_stats[[#This Row],[tournament]],tournaments_n_rules[],3,0)</f>
        <v>Весна 2026</v>
      </c>
      <c r="N1285" s="56">
        <f>VLOOKUP(_stats[[#This Row],[tournament]],tournaments_n_rules[],4,0)</f>
        <v>46082</v>
      </c>
      <c r="O1285" s="56">
        <f>VLOOKUP(_stats[[#This Row],[tournament]],tournaments_n_rules[],5,0)</f>
        <v>46173</v>
      </c>
    </row>
    <row r="1286" spans="1:15" x14ac:dyDescent="0.25">
      <c r="A1286" s="6">
        <v>46170</v>
      </c>
      <c r="B1286" s="7">
        <v>1</v>
      </c>
      <c r="C1286" s="7" t="s">
        <v>59</v>
      </c>
      <c r="D1286" s="10" t="str">
        <f>IFERROR(VLOOKUP(_stats[[#This Row],[player_id]],_players[[player_id]:[player_name]],2,0),"")</f>
        <v>Юра Пименов</v>
      </c>
      <c r="E1286" s="7">
        <v>3</v>
      </c>
      <c r="F1286" s="8">
        <v>4</v>
      </c>
      <c r="G1286" s="10">
        <f>SUMIFS(_teams[wins_on_date],_teams[date],_stats[[#This Row],[date]],_teams[team_number],_stats[[#This Row],[team_number]])</f>
        <v>6</v>
      </c>
      <c r="H1286" s="10">
        <f>SUMIFS(_teams[draws_on_date],_teams[date],_stats[[#This Row],[date]],_teams[team_number],_stats[[#This Row],[team_number]])</f>
        <v>4</v>
      </c>
      <c r="I1286" s="10">
        <v>0</v>
      </c>
      <c r="J1286" s="10">
        <v>0</v>
      </c>
      <c r="K1286" s="57">
        <v>6</v>
      </c>
      <c r="L1286" s="55" t="str">
        <f>VLOOKUP(_stats[[#This Row],[tournament]],tournaments_n_rules[],2,0)</f>
        <v>УПК</v>
      </c>
      <c r="M1286" s="55" t="str">
        <f>VLOOKUP(_stats[[#This Row],[tournament]],tournaments_n_rules[],3,0)</f>
        <v>Весна 2026</v>
      </c>
      <c r="N1286" s="56">
        <f>VLOOKUP(_stats[[#This Row],[tournament]],tournaments_n_rules[],4,0)</f>
        <v>46082</v>
      </c>
      <c r="O1286" s="56">
        <f>VLOOKUP(_stats[[#This Row],[tournament]],tournaments_n_rules[],5,0)</f>
        <v>46173</v>
      </c>
    </row>
    <row r="1287" spans="1:15" x14ac:dyDescent="0.25">
      <c r="A1287" s="6">
        <v>46170</v>
      </c>
      <c r="B1287" s="7">
        <v>1</v>
      </c>
      <c r="C1287" s="7" t="s">
        <v>12</v>
      </c>
      <c r="D1287" s="10" t="str">
        <f>IFERROR(VLOOKUP(_stats[[#This Row],[player_id]],_players[[player_id]:[player_name]],2,0),"")</f>
        <v>Толя Шлаев</v>
      </c>
      <c r="E1287" s="7">
        <v>0</v>
      </c>
      <c r="F1287" s="8">
        <v>0</v>
      </c>
      <c r="G1287" s="10">
        <f>SUMIFS(_teams[wins_on_date],_teams[date],_stats[[#This Row],[date]],_teams[team_number],_stats[[#This Row],[team_number]])</f>
        <v>6</v>
      </c>
      <c r="H1287" s="10">
        <f>SUMIFS(_teams[draws_on_date],_teams[date],_stats[[#This Row],[date]],_teams[team_number],_stats[[#This Row],[team_number]])</f>
        <v>4</v>
      </c>
      <c r="I1287" s="10">
        <v>0</v>
      </c>
      <c r="J1287" s="10">
        <v>0</v>
      </c>
      <c r="K1287" s="57">
        <v>6</v>
      </c>
      <c r="L1287" s="55" t="str">
        <f>VLOOKUP(_stats[[#This Row],[tournament]],tournaments_n_rules[],2,0)</f>
        <v>УПК</v>
      </c>
      <c r="M1287" s="55" t="str">
        <f>VLOOKUP(_stats[[#This Row],[tournament]],tournaments_n_rules[],3,0)</f>
        <v>Весна 2026</v>
      </c>
      <c r="N1287" s="56">
        <f>VLOOKUP(_stats[[#This Row],[tournament]],tournaments_n_rules[],4,0)</f>
        <v>46082</v>
      </c>
      <c r="O1287" s="56">
        <f>VLOOKUP(_stats[[#This Row],[tournament]],tournaments_n_rules[],5,0)</f>
        <v>46173</v>
      </c>
    </row>
    <row r="1288" spans="1:15" x14ac:dyDescent="0.25">
      <c r="A1288" s="6">
        <v>46170</v>
      </c>
      <c r="B1288" s="7">
        <v>1</v>
      </c>
      <c r="C1288" s="7" t="s">
        <v>25</v>
      </c>
      <c r="D1288" s="10" t="str">
        <f>IFERROR(VLOOKUP(_stats[[#This Row],[player_id]],_players[[player_id]:[player_name]],2,0),"")</f>
        <v>Олег Шишкин</v>
      </c>
      <c r="E1288" s="7">
        <v>0</v>
      </c>
      <c r="F1288" s="8">
        <v>0</v>
      </c>
      <c r="G1288" s="10">
        <f>SUMIFS(_teams[wins_on_date],_teams[date],_stats[[#This Row],[date]],_teams[team_number],_stats[[#This Row],[team_number]])</f>
        <v>6</v>
      </c>
      <c r="H1288" s="10">
        <f>SUMIFS(_teams[draws_on_date],_teams[date],_stats[[#This Row],[date]],_teams[team_number],_stats[[#This Row],[team_number]])</f>
        <v>4</v>
      </c>
      <c r="I1288" s="10">
        <v>0</v>
      </c>
      <c r="J1288" s="10">
        <v>0</v>
      </c>
      <c r="K1288" s="57">
        <v>6</v>
      </c>
      <c r="L1288" s="55" t="str">
        <f>VLOOKUP(_stats[[#This Row],[tournament]],tournaments_n_rules[],2,0)</f>
        <v>УПК</v>
      </c>
      <c r="M1288" s="55" t="str">
        <f>VLOOKUP(_stats[[#This Row],[tournament]],tournaments_n_rules[],3,0)</f>
        <v>Весна 2026</v>
      </c>
      <c r="N1288" s="56">
        <f>VLOOKUP(_stats[[#This Row],[tournament]],tournaments_n_rules[],4,0)</f>
        <v>46082</v>
      </c>
      <c r="O1288" s="56">
        <f>VLOOKUP(_stats[[#This Row],[tournament]],tournaments_n_rules[],5,0)</f>
        <v>46173</v>
      </c>
    </row>
    <row r="1289" spans="1:15" x14ac:dyDescent="0.25">
      <c r="A1289" s="6">
        <v>46170</v>
      </c>
      <c r="B1289" s="7">
        <v>1</v>
      </c>
      <c r="C1289" s="7" t="s">
        <v>13</v>
      </c>
      <c r="D1289" s="10" t="str">
        <f>IFERROR(VLOOKUP(_stats[[#This Row],[player_id]],_players[[player_id]:[player_name]],2,0),"")</f>
        <v>Стас Семитко</v>
      </c>
      <c r="E1289" s="7">
        <v>0</v>
      </c>
      <c r="F1289" s="8">
        <v>0</v>
      </c>
      <c r="G1289" s="10">
        <f>SUMIFS(_teams[wins_on_date],_teams[date],_stats[[#This Row],[date]],_teams[team_number],_stats[[#This Row],[team_number]])</f>
        <v>6</v>
      </c>
      <c r="H1289" s="10">
        <f>SUMIFS(_teams[draws_on_date],_teams[date],_stats[[#This Row],[date]],_teams[team_number],_stats[[#This Row],[team_number]])</f>
        <v>4</v>
      </c>
      <c r="I1289" s="10">
        <v>0</v>
      </c>
      <c r="J1289" s="10">
        <v>0</v>
      </c>
      <c r="K1289" s="57">
        <v>6</v>
      </c>
      <c r="L1289" s="55" t="str">
        <f>VLOOKUP(_stats[[#This Row],[tournament]],tournaments_n_rules[],2,0)</f>
        <v>УПК</v>
      </c>
      <c r="M1289" s="55" t="str">
        <f>VLOOKUP(_stats[[#This Row],[tournament]],tournaments_n_rules[],3,0)</f>
        <v>Весна 2026</v>
      </c>
      <c r="N1289" s="56">
        <f>VLOOKUP(_stats[[#This Row],[tournament]],tournaments_n_rules[],4,0)</f>
        <v>46082</v>
      </c>
      <c r="O1289" s="56">
        <f>VLOOKUP(_stats[[#This Row],[tournament]],tournaments_n_rules[],5,0)</f>
        <v>46173</v>
      </c>
    </row>
    <row r="1290" spans="1:15" x14ac:dyDescent="0.25">
      <c r="A1290" s="6">
        <v>46170</v>
      </c>
      <c r="B1290" s="7">
        <v>2</v>
      </c>
      <c r="C1290" s="7" t="s">
        <v>22</v>
      </c>
      <c r="D1290" s="10" t="str">
        <f>IFERROR(VLOOKUP(_stats[[#This Row],[player_id]],_players[[player_id]:[player_name]],2,0),"")</f>
        <v>Женя (кипер)</v>
      </c>
      <c r="E1290" s="7">
        <v>0</v>
      </c>
      <c r="F1290" s="8">
        <v>1</v>
      </c>
      <c r="G1290" s="10">
        <f>SUMIFS(_teams[wins_on_date],_teams[date],_stats[[#This Row],[date]],_teams[team_number],_stats[[#This Row],[team_number]])</f>
        <v>2</v>
      </c>
      <c r="H1290" s="10">
        <f>SUMIFS(_teams[draws_on_date],_teams[date],_stats[[#This Row],[date]],_teams[team_number],_stats[[#This Row],[team_number]])</f>
        <v>4</v>
      </c>
      <c r="I1290" s="10">
        <v>3</v>
      </c>
      <c r="J1290" s="10">
        <v>0</v>
      </c>
      <c r="K1290" s="57">
        <v>6</v>
      </c>
      <c r="L1290" s="55" t="str">
        <f>VLOOKUP(_stats[[#This Row],[tournament]],tournaments_n_rules[],2,0)</f>
        <v>УПК</v>
      </c>
      <c r="M1290" s="55" t="str">
        <f>VLOOKUP(_stats[[#This Row],[tournament]],tournaments_n_rules[],3,0)</f>
        <v>Весна 2026</v>
      </c>
      <c r="N1290" s="56">
        <f>VLOOKUP(_stats[[#This Row],[tournament]],tournaments_n_rules[],4,0)</f>
        <v>46082</v>
      </c>
      <c r="O1290" s="56">
        <f>VLOOKUP(_stats[[#This Row],[tournament]],tournaments_n_rules[],5,0)</f>
        <v>46173</v>
      </c>
    </row>
    <row r="1291" spans="1:15" x14ac:dyDescent="0.25">
      <c r="A1291" s="6">
        <v>46170</v>
      </c>
      <c r="B1291" s="7">
        <v>3</v>
      </c>
      <c r="C1291" s="7" t="s">
        <v>79</v>
      </c>
      <c r="D1291" s="10" t="str">
        <f>IFERROR(VLOOKUP(_stats[[#This Row],[player_id]],_players[[player_id]:[player_name]],2,0),"")</f>
        <v>Анашкин</v>
      </c>
      <c r="E1291" s="7">
        <v>0</v>
      </c>
      <c r="F1291" s="8">
        <v>0</v>
      </c>
      <c r="G1291" s="10">
        <f>SUMIFS(_teams[wins_on_date],_teams[date],_stats[[#This Row],[date]],_teams[team_number],_stats[[#This Row],[team_number]])</f>
        <v>4</v>
      </c>
      <c r="H1291" s="10">
        <f>SUMIFS(_teams[draws_on_date],_teams[date],_stats[[#This Row],[date]],_teams[team_number],_stats[[#This Row],[team_number]])</f>
        <v>2</v>
      </c>
      <c r="I1291" s="10">
        <v>1</v>
      </c>
      <c r="J1291" s="10">
        <v>0</v>
      </c>
      <c r="K1291" s="57">
        <v>6</v>
      </c>
      <c r="L1291" s="55" t="str">
        <f>VLOOKUP(_stats[[#This Row],[tournament]],tournaments_n_rules[],2,0)</f>
        <v>УПК</v>
      </c>
      <c r="M1291" s="55" t="str">
        <f>VLOOKUP(_stats[[#This Row],[tournament]],tournaments_n_rules[],3,0)</f>
        <v>Весна 2026</v>
      </c>
      <c r="N1291" s="56">
        <f>VLOOKUP(_stats[[#This Row],[tournament]],tournaments_n_rules[],4,0)</f>
        <v>46082</v>
      </c>
      <c r="O1291" s="56">
        <f>VLOOKUP(_stats[[#This Row],[tournament]],tournaments_n_rules[],5,0)</f>
        <v>46173</v>
      </c>
    </row>
    <row r="1292" spans="1:15" x14ac:dyDescent="0.25">
      <c r="A1292" s="6">
        <v>46170</v>
      </c>
      <c r="B1292" s="7">
        <v>2</v>
      </c>
      <c r="C1292" s="7" t="s">
        <v>42</v>
      </c>
      <c r="D1292" s="10" t="str">
        <f>IFERROR(VLOOKUP(_stats[[#This Row],[player_id]],_players[[player_id]:[player_name]],2,0),"")</f>
        <v>Нурик</v>
      </c>
      <c r="E1292" s="7">
        <v>0</v>
      </c>
      <c r="F1292" s="8">
        <v>0</v>
      </c>
      <c r="G1292" s="10">
        <f>SUMIFS(_teams[wins_on_date],_teams[date],_stats[[#This Row],[date]],_teams[team_number],_stats[[#This Row],[team_number]])</f>
        <v>2</v>
      </c>
      <c r="H1292" s="10">
        <f>SUMIFS(_teams[draws_on_date],_teams[date],_stats[[#This Row],[date]],_teams[team_number],_stats[[#This Row],[team_number]])</f>
        <v>4</v>
      </c>
      <c r="I1292" s="10">
        <v>0</v>
      </c>
      <c r="J1292" s="10">
        <v>0</v>
      </c>
      <c r="K1292" s="57">
        <v>6</v>
      </c>
      <c r="L1292" s="55" t="str">
        <f>VLOOKUP(_stats[[#This Row],[tournament]],tournaments_n_rules[],2,0)</f>
        <v>УПК</v>
      </c>
      <c r="M1292" s="55" t="str">
        <f>VLOOKUP(_stats[[#This Row],[tournament]],tournaments_n_rules[],3,0)</f>
        <v>Весна 2026</v>
      </c>
      <c r="N1292" s="56">
        <f>VLOOKUP(_stats[[#This Row],[tournament]],tournaments_n_rules[],4,0)</f>
        <v>46082</v>
      </c>
      <c r="O1292" s="56">
        <f>VLOOKUP(_stats[[#This Row],[tournament]],tournaments_n_rules[],5,0)</f>
        <v>46173</v>
      </c>
    </row>
    <row r="1293" spans="1:15" x14ac:dyDescent="0.25">
      <c r="A1293" s="6">
        <v>46170</v>
      </c>
      <c r="B1293" s="7">
        <v>3</v>
      </c>
      <c r="C1293" s="7" t="s">
        <v>45</v>
      </c>
      <c r="D1293" s="10" t="str">
        <f>IFERROR(VLOOKUP(_stats[[#This Row],[player_id]],_players[[player_id]:[player_name]],2,0),"")</f>
        <v>Паша</v>
      </c>
      <c r="E1293" s="7">
        <v>1</v>
      </c>
      <c r="F1293" s="8">
        <v>1</v>
      </c>
      <c r="G1293" s="10">
        <f>SUMIFS(_teams[wins_on_date],_teams[date],_stats[[#This Row],[date]],_teams[team_number],_stats[[#This Row],[team_number]])</f>
        <v>4</v>
      </c>
      <c r="H1293" s="10">
        <f>SUMIFS(_teams[draws_on_date],_teams[date],_stats[[#This Row],[date]],_teams[team_number],_stats[[#This Row],[team_number]])</f>
        <v>2</v>
      </c>
      <c r="I1293" s="10">
        <v>1</v>
      </c>
      <c r="J1293" s="10">
        <v>0</v>
      </c>
      <c r="K1293" s="57">
        <v>6</v>
      </c>
      <c r="L1293" s="55" t="str">
        <f>VLOOKUP(_stats[[#This Row],[tournament]],tournaments_n_rules[],2,0)</f>
        <v>УПК</v>
      </c>
      <c r="M1293" s="55" t="str">
        <f>VLOOKUP(_stats[[#This Row],[tournament]],tournaments_n_rules[],3,0)</f>
        <v>Весна 2026</v>
      </c>
      <c r="N1293" s="56">
        <f>VLOOKUP(_stats[[#This Row],[tournament]],tournaments_n_rules[],4,0)</f>
        <v>46082</v>
      </c>
      <c r="O1293" s="56">
        <f>VLOOKUP(_stats[[#This Row],[tournament]],tournaments_n_rules[],5,0)</f>
        <v>46173</v>
      </c>
    </row>
    <row r="1294" spans="1:15" x14ac:dyDescent="0.25">
      <c r="A1294" s="6">
        <v>46170</v>
      </c>
      <c r="B1294" s="7">
        <v>3</v>
      </c>
      <c r="C1294" s="7" t="s">
        <v>63</v>
      </c>
      <c r="D1294" s="10" t="str">
        <f>IFERROR(VLOOKUP(_stats[[#This Row],[player_id]],_players[[player_id]:[player_name]],2,0),"")</f>
        <v>Александр Костюнин</v>
      </c>
      <c r="E1294" s="7">
        <v>4</v>
      </c>
      <c r="F1294" s="8">
        <v>4</v>
      </c>
      <c r="G1294" s="10">
        <f>SUMIFS(_teams[wins_on_date],_teams[date],_stats[[#This Row],[date]],_teams[team_number],_stats[[#This Row],[team_number]])</f>
        <v>4</v>
      </c>
      <c r="H1294" s="10">
        <f>SUMIFS(_teams[draws_on_date],_teams[date],_stats[[#This Row],[date]],_teams[team_number],_stats[[#This Row],[team_number]])</f>
        <v>2</v>
      </c>
      <c r="I1294" s="10">
        <v>0</v>
      </c>
      <c r="J1294" s="10">
        <v>1</v>
      </c>
      <c r="K1294" s="57">
        <v>6</v>
      </c>
      <c r="L1294" s="55" t="str">
        <f>VLOOKUP(_stats[[#This Row],[tournament]],tournaments_n_rules[],2,0)</f>
        <v>УПК</v>
      </c>
      <c r="M1294" s="55" t="str">
        <f>VLOOKUP(_stats[[#This Row],[tournament]],tournaments_n_rules[],3,0)</f>
        <v>Весна 2026</v>
      </c>
      <c r="N1294" s="56">
        <f>VLOOKUP(_stats[[#This Row],[tournament]],tournaments_n_rules[],4,0)</f>
        <v>46082</v>
      </c>
      <c r="O1294" s="56">
        <f>VLOOKUP(_stats[[#This Row],[tournament]],tournaments_n_rules[],5,0)</f>
        <v>46173</v>
      </c>
    </row>
    <row r="1295" spans="1:15" x14ac:dyDescent="0.25">
      <c r="A1295" s="6">
        <v>46170</v>
      </c>
      <c r="B1295" s="7">
        <v>3</v>
      </c>
      <c r="C1295" s="7" t="s">
        <v>17</v>
      </c>
      <c r="D1295" s="10" t="str">
        <f>IFERROR(VLOOKUP(_stats[[#This Row],[player_id]],_players[[player_id]:[player_name]],2,0),"")</f>
        <v>Костя</v>
      </c>
      <c r="E1295" s="7">
        <v>0</v>
      </c>
      <c r="F1295" s="8">
        <v>1</v>
      </c>
      <c r="G1295" s="10">
        <f>SUMIFS(_teams[wins_on_date],_teams[date],_stats[[#This Row],[date]],_teams[team_number],_stats[[#This Row],[team_number]])</f>
        <v>4</v>
      </c>
      <c r="H1295" s="10">
        <f>SUMIFS(_teams[draws_on_date],_teams[date],_stats[[#This Row],[date]],_teams[team_number],_stats[[#This Row],[team_number]])</f>
        <v>2</v>
      </c>
      <c r="I1295" s="10">
        <v>0</v>
      </c>
      <c r="J1295" s="10">
        <v>0</v>
      </c>
      <c r="K1295" s="57">
        <v>6</v>
      </c>
      <c r="L1295" s="55" t="str">
        <f>VLOOKUP(_stats[[#This Row],[tournament]],tournaments_n_rules[],2,0)</f>
        <v>УПК</v>
      </c>
      <c r="M1295" s="55" t="str">
        <f>VLOOKUP(_stats[[#This Row],[tournament]],tournaments_n_rules[],3,0)</f>
        <v>Весна 2026</v>
      </c>
      <c r="N1295" s="56">
        <f>VLOOKUP(_stats[[#This Row],[tournament]],tournaments_n_rules[],4,0)</f>
        <v>46082</v>
      </c>
      <c r="O1295" s="56">
        <f>VLOOKUP(_stats[[#This Row],[tournament]],tournaments_n_rules[],5,0)</f>
        <v>46173</v>
      </c>
    </row>
    <row r="1296" spans="1:15" x14ac:dyDescent="0.25">
      <c r="A1296" s="6">
        <v>46170</v>
      </c>
      <c r="B1296" s="7">
        <v>1</v>
      </c>
      <c r="C1296" s="7" t="s">
        <v>135</v>
      </c>
      <c r="D1296" s="10" t="str">
        <f>IFERROR(VLOOKUP(_stats[[#This Row],[player_id]],_players[[player_id]:[player_name]],2,0),"")</f>
        <v>Макс Логинов</v>
      </c>
      <c r="E1296" s="7">
        <v>1</v>
      </c>
      <c r="F1296" s="8">
        <v>2</v>
      </c>
      <c r="G1296" s="10">
        <f>SUMIFS(_teams[wins_on_date],_teams[date],_stats[[#This Row],[date]],_teams[team_number],_stats[[#This Row],[team_number]])</f>
        <v>6</v>
      </c>
      <c r="H1296" s="10">
        <f>SUMIFS(_teams[draws_on_date],_teams[date],_stats[[#This Row],[date]],_teams[team_number],_stats[[#This Row],[team_number]])</f>
        <v>4</v>
      </c>
      <c r="I1296" s="10">
        <v>0</v>
      </c>
      <c r="J1296" s="10">
        <v>0</v>
      </c>
      <c r="K1296" s="57">
        <v>6</v>
      </c>
      <c r="L1296" s="55" t="str">
        <f>VLOOKUP(_stats[[#This Row],[tournament]],tournaments_n_rules[],2,0)</f>
        <v>УПК</v>
      </c>
      <c r="M1296" s="55" t="str">
        <f>VLOOKUP(_stats[[#This Row],[tournament]],tournaments_n_rules[],3,0)</f>
        <v>Весна 2026</v>
      </c>
      <c r="N1296" s="56">
        <f>VLOOKUP(_stats[[#This Row],[tournament]],tournaments_n_rules[],4,0)</f>
        <v>46082</v>
      </c>
      <c r="O1296" s="56">
        <f>VLOOKUP(_stats[[#This Row],[tournament]],tournaments_n_rules[],5,0)</f>
        <v>46173</v>
      </c>
    </row>
    <row r="1297" spans="1:15" x14ac:dyDescent="0.25">
      <c r="A1297" s="6">
        <v>46170</v>
      </c>
      <c r="B1297" s="7">
        <v>1</v>
      </c>
      <c r="C1297" s="7" t="s">
        <v>75</v>
      </c>
      <c r="D1297" s="10" t="str">
        <f>IFERROR(VLOOKUP(_stats[[#This Row],[player_id]],_players[[player_id]:[player_name]],2,0),"")</f>
        <v>Никита (АК+1)</v>
      </c>
      <c r="E1297" s="7">
        <v>4</v>
      </c>
      <c r="F1297" s="8">
        <v>0</v>
      </c>
      <c r="G1297" s="10">
        <f>SUMIFS(_teams[wins_on_date],_teams[date],_stats[[#This Row],[date]],_teams[team_number],_stats[[#This Row],[team_number]])</f>
        <v>6</v>
      </c>
      <c r="H1297" s="10">
        <f>SUMIFS(_teams[draws_on_date],_teams[date],_stats[[#This Row],[date]],_teams[team_number],_stats[[#This Row],[team_number]])</f>
        <v>4</v>
      </c>
      <c r="I1297" s="10">
        <v>0</v>
      </c>
      <c r="J1297" s="10">
        <v>0</v>
      </c>
      <c r="K1297" s="57">
        <v>6</v>
      </c>
      <c r="L1297" s="55" t="str">
        <f>VLOOKUP(_stats[[#This Row],[tournament]],tournaments_n_rules[],2,0)</f>
        <v>УПК</v>
      </c>
      <c r="M1297" s="55" t="str">
        <f>VLOOKUP(_stats[[#This Row],[tournament]],tournaments_n_rules[],3,0)</f>
        <v>Весна 2026</v>
      </c>
      <c r="N1297" s="56">
        <f>VLOOKUP(_stats[[#This Row],[tournament]],tournaments_n_rules[],4,0)</f>
        <v>46082</v>
      </c>
      <c r="O1297" s="56">
        <f>VLOOKUP(_stats[[#This Row],[tournament]],tournaments_n_rules[],5,0)</f>
        <v>46173</v>
      </c>
    </row>
    <row r="1298" spans="1:15" x14ac:dyDescent="0.25">
      <c r="A1298" s="6">
        <v>46170</v>
      </c>
      <c r="B1298" s="7">
        <v>2</v>
      </c>
      <c r="C1298" s="7" t="s">
        <v>140</v>
      </c>
      <c r="D1298" s="10" t="str">
        <f>IFERROR(VLOOKUP(_stats[[#This Row],[player_id]],_players[[player_id]:[player_name]],2,0),"")</f>
        <v>Коля (АК+1)</v>
      </c>
      <c r="E1298" s="7">
        <v>0</v>
      </c>
      <c r="F1298" s="8">
        <v>0</v>
      </c>
      <c r="G1298" s="10">
        <f>SUMIFS(_teams[wins_on_date],_teams[date],_stats[[#This Row],[date]],_teams[team_number],_stats[[#This Row],[team_number]])</f>
        <v>2</v>
      </c>
      <c r="H1298" s="10">
        <f>SUMIFS(_teams[draws_on_date],_teams[date],_stats[[#This Row],[date]],_teams[team_number],_stats[[#This Row],[team_number]])</f>
        <v>4</v>
      </c>
      <c r="I1298" s="10">
        <v>0</v>
      </c>
      <c r="J1298" s="10">
        <v>0</v>
      </c>
      <c r="K1298" s="57">
        <v>6</v>
      </c>
      <c r="L1298" s="55" t="str">
        <f>VLOOKUP(_stats[[#This Row],[tournament]],tournaments_n_rules[],2,0)</f>
        <v>УПК</v>
      </c>
      <c r="M1298" s="55" t="str">
        <f>VLOOKUP(_stats[[#This Row],[tournament]],tournaments_n_rules[],3,0)</f>
        <v>Весна 2026</v>
      </c>
      <c r="N1298" s="56">
        <f>VLOOKUP(_stats[[#This Row],[tournament]],tournaments_n_rules[],4,0)</f>
        <v>46082</v>
      </c>
      <c r="O1298" s="56">
        <f>VLOOKUP(_stats[[#This Row],[tournament]],tournaments_n_rules[],5,0)</f>
        <v>46173</v>
      </c>
    </row>
    <row r="1299" spans="1:15" x14ac:dyDescent="0.25">
      <c r="A1299" s="6">
        <v>46170</v>
      </c>
      <c r="B1299" s="7">
        <v>3</v>
      </c>
      <c r="C1299" s="7" t="s">
        <v>19</v>
      </c>
      <c r="D1299" s="10" t="str">
        <f>IFERROR(VLOOKUP(_stats[[#This Row],[player_id]],_players[[player_id]:[player_name]],2,0),"")</f>
        <v>Сергей Крюков</v>
      </c>
      <c r="E1299" s="7">
        <v>1</v>
      </c>
      <c r="F1299" s="8">
        <v>0</v>
      </c>
      <c r="G1299" s="10">
        <f>SUMIFS(_teams[wins_on_date],_teams[date],_stats[[#This Row],[date]],_teams[team_number],_stats[[#This Row],[team_number]])</f>
        <v>4</v>
      </c>
      <c r="H1299" s="10">
        <f>SUMIFS(_teams[draws_on_date],_teams[date],_stats[[#This Row],[date]],_teams[team_number],_stats[[#This Row],[team_number]])</f>
        <v>2</v>
      </c>
      <c r="I1299" s="10">
        <v>0</v>
      </c>
      <c r="J1299" s="10">
        <v>1</v>
      </c>
      <c r="K1299" s="57">
        <v>6</v>
      </c>
      <c r="L1299" s="55" t="str">
        <f>VLOOKUP(_stats[[#This Row],[tournament]],tournaments_n_rules[],2,0)</f>
        <v>УПК</v>
      </c>
      <c r="M1299" s="55" t="str">
        <f>VLOOKUP(_stats[[#This Row],[tournament]],tournaments_n_rules[],3,0)</f>
        <v>Весна 2026</v>
      </c>
      <c r="N1299" s="56">
        <f>VLOOKUP(_stats[[#This Row],[tournament]],tournaments_n_rules[],4,0)</f>
        <v>46082</v>
      </c>
      <c r="O1299" s="56">
        <f>VLOOKUP(_stats[[#This Row],[tournament]],tournaments_n_rules[],5,0)</f>
        <v>46173</v>
      </c>
    </row>
    <row r="1300" spans="1:15" x14ac:dyDescent="0.25">
      <c r="A1300" s="6">
        <v>46170</v>
      </c>
      <c r="B1300" s="7">
        <v>1</v>
      </c>
      <c r="C1300" s="7" t="s">
        <v>182</v>
      </c>
      <c r="D1300" s="10" t="str">
        <f>IFERROR(VLOOKUP(_stats[[#This Row],[player_id]],_players[[player_id]:[player_name]],2,0),"")</f>
        <v>Евгений</v>
      </c>
      <c r="E1300" s="7">
        <v>1</v>
      </c>
      <c r="F1300" s="8">
        <v>2</v>
      </c>
      <c r="G1300" s="10">
        <f>SUMIFS(_teams[wins_on_date],_teams[date],_stats[[#This Row],[date]],_teams[team_number],_stats[[#This Row],[team_number]])</f>
        <v>6</v>
      </c>
      <c r="H1300" s="10">
        <f>SUMIFS(_teams[draws_on_date],_teams[date],_stats[[#This Row],[date]],_teams[team_number],_stats[[#This Row],[team_number]])</f>
        <v>4</v>
      </c>
      <c r="I1300" s="10">
        <v>0</v>
      </c>
      <c r="J1300" s="10">
        <v>0</v>
      </c>
      <c r="K1300" s="57">
        <v>6</v>
      </c>
      <c r="L1300" s="55" t="str">
        <f>VLOOKUP(_stats[[#This Row],[tournament]],tournaments_n_rules[],2,0)</f>
        <v>УПК</v>
      </c>
      <c r="M1300" s="55" t="str">
        <f>VLOOKUP(_stats[[#This Row],[tournament]],tournaments_n_rules[],3,0)</f>
        <v>Весна 2026</v>
      </c>
      <c r="N1300" s="56">
        <f>VLOOKUP(_stats[[#This Row],[tournament]],tournaments_n_rules[],4,0)</f>
        <v>46082</v>
      </c>
      <c r="O1300" s="56">
        <f>VLOOKUP(_stats[[#This Row],[tournament]],tournaments_n_rules[],5,0)</f>
        <v>46173</v>
      </c>
    </row>
    <row r="1301" spans="1:15" x14ac:dyDescent="0.25">
      <c r="A1301" s="6">
        <v>46170</v>
      </c>
      <c r="B1301" s="7">
        <v>2</v>
      </c>
      <c r="C1301" s="7" t="s">
        <v>155</v>
      </c>
      <c r="D1301" s="10" t="str">
        <f>IFERROR(VLOOKUP(_stats[[#This Row],[player_id]],_players[[player_id]:[player_name]],2,0),"")</f>
        <v>Никита Марс (АК+1)</v>
      </c>
      <c r="E1301" s="7">
        <v>4</v>
      </c>
      <c r="F1301" s="8">
        <v>0</v>
      </c>
      <c r="G1301" s="10">
        <f>SUMIFS(_teams[wins_on_date],_teams[date],_stats[[#This Row],[date]],_teams[team_number],_stats[[#This Row],[team_number]])</f>
        <v>2</v>
      </c>
      <c r="H1301" s="10">
        <f>SUMIFS(_teams[draws_on_date],_teams[date],_stats[[#This Row],[date]],_teams[team_number],_stats[[#This Row],[team_number]])</f>
        <v>4</v>
      </c>
      <c r="I1301" s="10">
        <v>0</v>
      </c>
      <c r="J1301" s="10">
        <v>0</v>
      </c>
      <c r="K1301" s="57">
        <v>6</v>
      </c>
      <c r="L1301" s="55" t="str">
        <f>VLOOKUP(_stats[[#This Row],[tournament]],tournaments_n_rules[],2,0)</f>
        <v>УПК</v>
      </c>
      <c r="M1301" s="55" t="str">
        <f>VLOOKUP(_stats[[#This Row],[tournament]],tournaments_n_rules[],3,0)</f>
        <v>Весна 2026</v>
      </c>
      <c r="N1301" s="56">
        <f>VLOOKUP(_stats[[#This Row],[tournament]],tournaments_n_rules[],4,0)</f>
        <v>46082</v>
      </c>
      <c r="O1301" s="56">
        <f>VLOOKUP(_stats[[#This Row],[tournament]],tournaments_n_rules[],5,0)</f>
        <v>46173</v>
      </c>
    </row>
    <row r="1302" spans="1:15" x14ac:dyDescent="0.25">
      <c r="A1302" s="6">
        <v>46170</v>
      </c>
      <c r="B1302" s="7">
        <v>2</v>
      </c>
      <c r="C1302" s="7" t="s">
        <v>54</v>
      </c>
      <c r="D1302" s="10" t="str">
        <f>IFERROR(VLOOKUP(_stats[[#This Row],[player_id]],_players[[player_id]:[player_name]],2,0),"")</f>
        <v>Кирилл (АК+1)</v>
      </c>
      <c r="E1302" s="7">
        <v>0</v>
      </c>
      <c r="F1302" s="8">
        <v>0</v>
      </c>
      <c r="G1302" s="10">
        <f>SUMIFS(_teams[wins_on_date],_teams[date],_stats[[#This Row],[date]],_teams[team_number],_stats[[#This Row],[team_number]])</f>
        <v>2</v>
      </c>
      <c r="H1302" s="10">
        <f>SUMIFS(_teams[draws_on_date],_teams[date],_stats[[#This Row],[date]],_teams[team_number],_stats[[#This Row],[team_number]])</f>
        <v>4</v>
      </c>
      <c r="I1302" s="10">
        <v>0</v>
      </c>
      <c r="J1302" s="10">
        <v>0</v>
      </c>
      <c r="K1302" s="57">
        <v>6</v>
      </c>
      <c r="L1302" s="55" t="str">
        <f>VLOOKUP(_stats[[#This Row],[tournament]],tournaments_n_rules[],2,0)</f>
        <v>УПК</v>
      </c>
      <c r="M1302" s="55" t="str">
        <f>VLOOKUP(_stats[[#This Row],[tournament]],tournaments_n_rules[],3,0)</f>
        <v>Весна 2026</v>
      </c>
      <c r="N1302" s="56">
        <f>VLOOKUP(_stats[[#This Row],[tournament]],tournaments_n_rules[],4,0)</f>
        <v>46082</v>
      </c>
      <c r="O1302" s="56">
        <f>VLOOKUP(_stats[[#This Row],[tournament]],tournaments_n_rules[],5,0)</f>
        <v>46173</v>
      </c>
    </row>
    <row r="1303" spans="1:15" x14ac:dyDescent="0.25">
      <c r="A1303" s="6">
        <v>46170</v>
      </c>
      <c r="B1303" s="7">
        <v>2</v>
      </c>
      <c r="C1303" s="7" t="s">
        <v>134</v>
      </c>
      <c r="D1303" s="10" t="str">
        <f>IFERROR(VLOOKUP(_stats[[#This Row],[player_id]],_players[[player_id]:[player_name]],2,0),"")</f>
        <v>Арги</v>
      </c>
      <c r="E1303" s="7">
        <v>2</v>
      </c>
      <c r="F1303" s="8">
        <v>0</v>
      </c>
      <c r="G1303" s="10">
        <f>SUMIFS(_teams[wins_on_date],_teams[date],_stats[[#This Row],[date]],_teams[team_number],_stats[[#This Row],[team_number]])</f>
        <v>2</v>
      </c>
      <c r="H1303" s="10">
        <f>SUMIFS(_teams[draws_on_date],_teams[date],_stats[[#This Row],[date]],_teams[team_number],_stats[[#This Row],[team_number]])</f>
        <v>4</v>
      </c>
      <c r="I1303" s="10">
        <v>0</v>
      </c>
      <c r="J1303" s="10">
        <v>0</v>
      </c>
      <c r="K1303" s="57">
        <v>6</v>
      </c>
      <c r="L1303" s="55" t="str">
        <f>VLOOKUP(_stats[[#This Row],[tournament]],tournaments_n_rules[],2,0)</f>
        <v>УПК</v>
      </c>
      <c r="M1303" s="55" t="str">
        <f>VLOOKUP(_stats[[#This Row],[tournament]],tournaments_n_rules[],3,0)</f>
        <v>Весна 2026</v>
      </c>
      <c r="N1303" s="56">
        <f>VLOOKUP(_stats[[#This Row],[tournament]],tournaments_n_rules[],4,0)</f>
        <v>46082</v>
      </c>
      <c r="O1303" s="56">
        <f>VLOOKUP(_stats[[#This Row],[tournament]],tournaments_n_rules[],5,0)</f>
        <v>46173</v>
      </c>
    </row>
    <row r="1304" spans="1:15" x14ac:dyDescent="0.25">
      <c r="A1304" s="6">
        <v>46170</v>
      </c>
      <c r="B1304" s="7">
        <v>3</v>
      </c>
      <c r="C1304" s="7" t="s">
        <v>41</v>
      </c>
      <c r="D1304" s="10" t="str">
        <f>IFERROR(VLOOKUP(_stats[[#This Row],[player_id]],_players[[player_id]:[player_name]],2,0),"")</f>
        <v>Атай</v>
      </c>
      <c r="E1304" s="7">
        <v>1</v>
      </c>
      <c r="F1304" s="8">
        <v>2</v>
      </c>
      <c r="G1304" s="10">
        <f>SUMIFS(_teams[wins_on_date],_teams[date],_stats[[#This Row],[date]],_teams[team_number],_stats[[#This Row],[team_number]])</f>
        <v>4</v>
      </c>
      <c r="H1304" s="10">
        <f>SUMIFS(_teams[draws_on_date],_teams[date],_stats[[#This Row],[date]],_teams[team_number],_stats[[#This Row],[team_number]])</f>
        <v>2</v>
      </c>
      <c r="I1304" s="10">
        <v>2</v>
      </c>
      <c r="J1304" s="10">
        <v>0</v>
      </c>
      <c r="K1304" s="57">
        <v>6</v>
      </c>
      <c r="L1304" s="55" t="str">
        <f>VLOOKUP(_stats[[#This Row],[tournament]],tournaments_n_rules[],2,0)</f>
        <v>УПК</v>
      </c>
      <c r="M1304" s="55" t="str">
        <f>VLOOKUP(_stats[[#This Row],[tournament]],tournaments_n_rules[],3,0)</f>
        <v>Весна 2026</v>
      </c>
      <c r="N1304" s="56">
        <f>VLOOKUP(_stats[[#This Row],[tournament]],tournaments_n_rules[],4,0)</f>
        <v>46082</v>
      </c>
      <c r="O1304" s="56">
        <f>VLOOKUP(_stats[[#This Row],[tournament]],tournaments_n_rules[],5,0)</f>
        <v>46173</v>
      </c>
    </row>
    <row r="1305" spans="1:15" x14ac:dyDescent="0.25">
      <c r="A1305" s="6">
        <v>46173</v>
      </c>
      <c r="B1305" s="7"/>
      <c r="C1305" s="7" t="s">
        <v>85</v>
      </c>
      <c r="D1305" s="10" t="str">
        <f>IFERROR(VLOOKUP(_stats[[#This Row],[player_id]],_players[[player_id]:[player_name]],2,0),"")</f>
        <v>Зинаддин Алимов</v>
      </c>
      <c r="E1305" s="7">
        <v>1</v>
      </c>
      <c r="F1305" s="8">
        <v>2</v>
      </c>
      <c r="G1305" s="10">
        <f>SUMIFS(_teams[wins_on_date],_teams[date],_stats[[#This Row],[date]],_teams[team_number],_stats[[#This Row],[team_number]])</f>
        <v>0</v>
      </c>
      <c r="H1305" s="10">
        <f>SUMIFS(_teams[draws_on_date],_teams[date],_stats[[#This Row],[date]],_teams[team_number],_stats[[#This Row],[team_number]])</f>
        <v>0</v>
      </c>
      <c r="I1305" s="10">
        <v>0</v>
      </c>
      <c r="J1305" s="10">
        <v>0</v>
      </c>
      <c r="K1305" s="10">
        <v>6</v>
      </c>
      <c r="L1305" s="55" t="str">
        <f>VLOOKUP(_stats[[#This Row],[tournament]],tournaments_n_rules[],2,0)</f>
        <v>УПК</v>
      </c>
      <c r="M1305" s="55" t="str">
        <f>VLOOKUP(_stats[[#This Row],[tournament]],tournaments_n_rules[],3,0)</f>
        <v>Весна 2026</v>
      </c>
      <c r="N1305" s="56">
        <f>VLOOKUP(_stats[[#This Row],[tournament]],tournaments_n_rules[],4,0)</f>
        <v>46082</v>
      </c>
      <c r="O1305" s="56">
        <f>VLOOKUP(_stats[[#This Row],[tournament]],tournaments_n_rules[],5,0)</f>
        <v>46173</v>
      </c>
    </row>
    <row r="1306" spans="1:15" x14ac:dyDescent="0.25">
      <c r="A1306" s="6">
        <v>46173</v>
      </c>
      <c r="B1306" s="7"/>
      <c r="C1306" s="7" t="s">
        <v>159</v>
      </c>
      <c r="D1306" s="10" t="str">
        <f>IFERROR(VLOOKUP(_stats[[#This Row],[player_id]],_players[[player_id]:[player_name]],2,0),"")</f>
        <v>Иван Канунцев</v>
      </c>
      <c r="E1306" s="7">
        <v>0</v>
      </c>
      <c r="F1306" s="8">
        <v>0</v>
      </c>
      <c r="G1306" s="10">
        <f>SUMIFS(_teams[wins_on_date],_teams[date],_stats[[#This Row],[date]],_teams[team_number],_stats[[#This Row],[team_number]])</f>
        <v>0</v>
      </c>
      <c r="H1306" s="10">
        <f>SUMIFS(_teams[draws_on_date],_teams[date],_stats[[#This Row],[date]],_teams[team_number],_stats[[#This Row],[team_number]])</f>
        <v>0</v>
      </c>
      <c r="I1306" s="10">
        <v>0</v>
      </c>
      <c r="J1306" s="10">
        <v>0</v>
      </c>
      <c r="K1306" s="10">
        <v>6</v>
      </c>
      <c r="L1306" s="55" t="str">
        <f>VLOOKUP(_stats[[#This Row],[tournament]],tournaments_n_rules[],2,0)</f>
        <v>УПК</v>
      </c>
      <c r="M1306" s="55" t="str">
        <f>VLOOKUP(_stats[[#This Row],[tournament]],tournaments_n_rules[],3,0)</f>
        <v>Весна 2026</v>
      </c>
      <c r="N1306" s="56">
        <f>VLOOKUP(_stats[[#This Row],[tournament]],tournaments_n_rules[],4,0)</f>
        <v>46082</v>
      </c>
      <c r="O1306" s="56">
        <f>VLOOKUP(_stats[[#This Row],[tournament]],tournaments_n_rules[],5,0)</f>
        <v>46173</v>
      </c>
    </row>
    <row r="1307" spans="1:15" x14ac:dyDescent="0.25">
      <c r="A1307" s="6">
        <v>46173</v>
      </c>
      <c r="B1307" s="7"/>
      <c r="C1307" s="7" t="s">
        <v>25</v>
      </c>
      <c r="D1307" s="10" t="str">
        <f>IFERROR(VLOOKUP(_stats[[#This Row],[player_id]],_players[[player_id]:[player_name]],2,0),"")</f>
        <v>Олег Шишкин</v>
      </c>
      <c r="E1307" s="7">
        <v>0</v>
      </c>
      <c r="F1307" s="8">
        <v>0</v>
      </c>
      <c r="G1307" s="10">
        <f>SUMIFS(_teams[wins_on_date],_teams[date],_stats[[#This Row],[date]],_teams[team_number],_stats[[#This Row],[team_number]])</f>
        <v>0</v>
      </c>
      <c r="H1307" s="10">
        <f>SUMIFS(_teams[draws_on_date],_teams[date],_stats[[#This Row],[date]],_teams[team_number],_stats[[#This Row],[team_number]])</f>
        <v>0</v>
      </c>
      <c r="I1307" s="10">
        <v>0</v>
      </c>
      <c r="J1307" s="10">
        <v>0</v>
      </c>
      <c r="K1307" s="10">
        <v>6</v>
      </c>
      <c r="L1307" s="55" t="str">
        <f>VLOOKUP(_stats[[#This Row],[tournament]],tournaments_n_rules[],2,0)</f>
        <v>УПК</v>
      </c>
      <c r="M1307" s="55" t="str">
        <f>VLOOKUP(_stats[[#This Row],[tournament]],tournaments_n_rules[],3,0)</f>
        <v>Весна 2026</v>
      </c>
      <c r="N1307" s="56">
        <f>VLOOKUP(_stats[[#This Row],[tournament]],tournaments_n_rules[],4,0)</f>
        <v>46082</v>
      </c>
      <c r="O1307" s="56">
        <f>VLOOKUP(_stats[[#This Row],[tournament]],tournaments_n_rules[],5,0)</f>
        <v>46173</v>
      </c>
    </row>
    <row r="1308" spans="1:15" x14ac:dyDescent="0.25">
      <c r="A1308" s="6">
        <v>46173</v>
      </c>
      <c r="B1308" s="7"/>
      <c r="C1308" s="7" t="s">
        <v>10</v>
      </c>
      <c r="D1308" s="10" t="str">
        <f>IFERROR(VLOOKUP(_stats[[#This Row],[player_id]],_players[[player_id]:[player_name]],2,0),"")</f>
        <v>Тёма</v>
      </c>
      <c r="E1308" s="7">
        <v>0</v>
      </c>
      <c r="F1308" s="8">
        <v>0</v>
      </c>
      <c r="G1308" s="10">
        <f>SUMIFS(_teams[wins_on_date],_teams[date],_stats[[#This Row],[date]],_teams[team_number],_stats[[#This Row],[team_number]])</f>
        <v>0</v>
      </c>
      <c r="H1308" s="10">
        <f>SUMIFS(_teams[draws_on_date],_teams[date],_stats[[#This Row],[date]],_teams[team_number],_stats[[#This Row],[team_number]])</f>
        <v>0</v>
      </c>
      <c r="I1308" s="10">
        <v>0</v>
      </c>
      <c r="J1308" s="10">
        <v>0</v>
      </c>
      <c r="K1308" s="10">
        <v>6</v>
      </c>
      <c r="L1308" s="55" t="str">
        <f>VLOOKUP(_stats[[#This Row],[tournament]],tournaments_n_rules[],2,0)</f>
        <v>УПК</v>
      </c>
      <c r="M1308" s="55" t="str">
        <f>VLOOKUP(_stats[[#This Row],[tournament]],tournaments_n_rules[],3,0)</f>
        <v>Весна 2026</v>
      </c>
      <c r="N1308" s="56">
        <f>VLOOKUP(_stats[[#This Row],[tournament]],tournaments_n_rules[],4,0)</f>
        <v>46082</v>
      </c>
      <c r="O1308" s="56">
        <f>VLOOKUP(_stats[[#This Row],[tournament]],tournaments_n_rules[],5,0)</f>
        <v>46173</v>
      </c>
    </row>
    <row r="1309" spans="1:15" x14ac:dyDescent="0.25">
      <c r="A1309" s="6">
        <v>46173</v>
      </c>
      <c r="B1309" s="7"/>
      <c r="C1309" s="7" t="s">
        <v>146</v>
      </c>
      <c r="D1309" s="10" t="str">
        <f>IFERROR(VLOOKUP(_stats[[#This Row],[player_id]],_players[[player_id]:[player_name]],2,0),"")</f>
        <v>Антон Копач</v>
      </c>
      <c r="E1309" s="7">
        <v>2</v>
      </c>
      <c r="F1309" s="8">
        <v>0</v>
      </c>
      <c r="G1309" s="10">
        <f>SUMIFS(_teams[wins_on_date],_teams[date],_stats[[#This Row],[date]],_teams[team_number],_stats[[#This Row],[team_number]])</f>
        <v>0</v>
      </c>
      <c r="H1309" s="10">
        <f>SUMIFS(_teams[draws_on_date],_teams[date],_stats[[#This Row],[date]],_teams[team_number],_stats[[#This Row],[team_number]])</f>
        <v>0</v>
      </c>
      <c r="I1309" s="10">
        <v>0</v>
      </c>
      <c r="J1309" s="10">
        <v>0</v>
      </c>
      <c r="K1309" s="10">
        <v>6</v>
      </c>
      <c r="L1309" s="55" t="str">
        <f>VLOOKUP(_stats[[#This Row],[tournament]],tournaments_n_rules[],2,0)</f>
        <v>УПК</v>
      </c>
      <c r="M1309" s="55" t="str">
        <f>VLOOKUP(_stats[[#This Row],[tournament]],tournaments_n_rules[],3,0)</f>
        <v>Весна 2026</v>
      </c>
      <c r="N1309" s="56">
        <f>VLOOKUP(_stats[[#This Row],[tournament]],tournaments_n_rules[],4,0)</f>
        <v>46082</v>
      </c>
      <c r="O1309" s="56">
        <f>VLOOKUP(_stats[[#This Row],[tournament]],tournaments_n_rules[],5,0)</f>
        <v>46173</v>
      </c>
    </row>
    <row r="1310" spans="1:15" x14ac:dyDescent="0.25">
      <c r="A1310" s="6">
        <v>46173</v>
      </c>
      <c r="B1310" s="7"/>
      <c r="C1310" s="7" t="s">
        <v>14</v>
      </c>
      <c r="D1310" s="10" t="str">
        <f>IFERROR(VLOOKUP(_stats[[#This Row],[player_id]],_players[[player_id]:[player_name]],2,0),"")</f>
        <v>Вова</v>
      </c>
      <c r="E1310" s="7">
        <v>0</v>
      </c>
      <c r="F1310" s="8">
        <v>1</v>
      </c>
      <c r="G1310" s="10">
        <f>SUMIFS(_teams[wins_on_date],_teams[date],_stats[[#This Row],[date]],_teams[team_number],_stats[[#This Row],[team_number]])</f>
        <v>0</v>
      </c>
      <c r="H1310" s="10">
        <f>SUMIFS(_teams[draws_on_date],_teams[date],_stats[[#This Row],[date]],_teams[team_number],_stats[[#This Row],[team_number]])</f>
        <v>0</v>
      </c>
      <c r="I1310" s="10">
        <v>0</v>
      </c>
      <c r="J1310" s="10">
        <v>0</v>
      </c>
      <c r="K1310" s="10">
        <v>6</v>
      </c>
      <c r="L1310" s="55" t="str">
        <f>VLOOKUP(_stats[[#This Row],[tournament]],tournaments_n_rules[],2,0)</f>
        <v>УПК</v>
      </c>
      <c r="M1310" s="55" t="str">
        <f>VLOOKUP(_stats[[#This Row],[tournament]],tournaments_n_rules[],3,0)</f>
        <v>Весна 2026</v>
      </c>
      <c r="N1310" s="56">
        <f>VLOOKUP(_stats[[#This Row],[tournament]],tournaments_n_rules[],4,0)</f>
        <v>46082</v>
      </c>
      <c r="O1310" s="56">
        <f>VLOOKUP(_stats[[#This Row],[tournament]],tournaments_n_rules[],5,0)</f>
        <v>46173</v>
      </c>
    </row>
    <row r="1311" spans="1:15" x14ac:dyDescent="0.25">
      <c r="A1311" s="6">
        <v>46173</v>
      </c>
      <c r="B1311" s="7"/>
      <c r="C1311" s="7" t="s">
        <v>59</v>
      </c>
      <c r="D1311" s="10" t="str">
        <f>IFERROR(VLOOKUP(_stats[[#This Row],[player_id]],_players[[player_id]:[player_name]],2,0),"")</f>
        <v>Юра Пименов</v>
      </c>
      <c r="E1311" s="7">
        <v>3</v>
      </c>
      <c r="F1311" s="8">
        <v>1</v>
      </c>
      <c r="G1311" s="10">
        <f>SUMIFS(_teams[wins_on_date],_teams[date],_stats[[#This Row],[date]],_teams[team_number],_stats[[#This Row],[team_number]])</f>
        <v>0</v>
      </c>
      <c r="H1311" s="10">
        <f>SUMIFS(_teams[draws_on_date],_teams[date],_stats[[#This Row],[date]],_teams[team_number],_stats[[#This Row],[team_number]])</f>
        <v>0</v>
      </c>
      <c r="I1311" s="10">
        <v>0</v>
      </c>
      <c r="J1311" s="10">
        <v>0</v>
      </c>
      <c r="K1311" s="10">
        <v>6</v>
      </c>
      <c r="L1311" s="55" t="str">
        <f>VLOOKUP(_stats[[#This Row],[tournament]],tournaments_n_rules[],2,0)</f>
        <v>УПК</v>
      </c>
      <c r="M1311" s="55" t="str">
        <f>VLOOKUP(_stats[[#This Row],[tournament]],tournaments_n_rules[],3,0)</f>
        <v>Весна 2026</v>
      </c>
      <c r="N1311" s="56">
        <f>VLOOKUP(_stats[[#This Row],[tournament]],tournaments_n_rules[],4,0)</f>
        <v>46082</v>
      </c>
      <c r="O1311" s="56">
        <f>VLOOKUP(_stats[[#This Row],[tournament]],tournaments_n_rules[],5,0)</f>
        <v>46173</v>
      </c>
    </row>
    <row r="1312" spans="1:15" x14ac:dyDescent="0.25">
      <c r="A1312" s="6">
        <v>46173</v>
      </c>
      <c r="B1312" s="7"/>
      <c r="C1312" s="7" t="s">
        <v>64</v>
      </c>
      <c r="D1312" s="10" t="str">
        <f>IFERROR(VLOOKUP(_stats[[#This Row],[player_id]],_players[[player_id]:[player_name]],2,0),"")</f>
        <v>Дима Сахаров</v>
      </c>
      <c r="E1312" s="7">
        <v>1</v>
      </c>
      <c r="F1312" s="8">
        <v>0</v>
      </c>
      <c r="G1312" s="10">
        <f>SUMIFS(_teams[wins_on_date],_teams[date],_stats[[#This Row],[date]],_teams[team_number],_stats[[#This Row],[team_number]])</f>
        <v>0</v>
      </c>
      <c r="H1312" s="10">
        <f>SUMIFS(_teams[draws_on_date],_teams[date],_stats[[#This Row],[date]],_teams[team_number],_stats[[#This Row],[team_number]])</f>
        <v>0</v>
      </c>
      <c r="I1312" s="10">
        <v>0</v>
      </c>
      <c r="J1312" s="10">
        <v>0</v>
      </c>
      <c r="K1312" s="10">
        <v>6</v>
      </c>
      <c r="L1312" s="55" t="str">
        <f>VLOOKUP(_stats[[#This Row],[tournament]],tournaments_n_rules[],2,0)</f>
        <v>УПК</v>
      </c>
      <c r="M1312" s="55" t="str">
        <f>VLOOKUP(_stats[[#This Row],[tournament]],tournaments_n_rules[],3,0)</f>
        <v>Весна 2026</v>
      </c>
      <c r="N1312" s="56">
        <f>VLOOKUP(_stats[[#This Row],[tournament]],tournaments_n_rules[],4,0)</f>
        <v>46082</v>
      </c>
      <c r="O1312" s="56">
        <f>VLOOKUP(_stats[[#This Row],[tournament]],tournaments_n_rules[],5,0)</f>
        <v>46173</v>
      </c>
    </row>
    <row r="1313" spans="1:15" x14ac:dyDescent="0.25">
      <c r="A1313" s="6">
        <v>46173</v>
      </c>
      <c r="B1313" s="7"/>
      <c r="C1313" s="7" t="s">
        <v>185</v>
      </c>
      <c r="D1313" s="10" t="str">
        <f>IFERROR(VLOOKUP(_stats[[#This Row],[player_id]],_players[[player_id]:[player_name]],2,0),"")</f>
        <v>Богдан</v>
      </c>
      <c r="E1313" s="7">
        <v>0</v>
      </c>
      <c r="F1313" s="8">
        <v>0</v>
      </c>
      <c r="G1313" s="10">
        <f>SUMIFS(_teams[wins_on_date],_teams[date],_stats[[#This Row],[date]],_teams[team_number],_stats[[#This Row],[team_number]])</f>
        <v>0</v>
      </c>
      <c r="H1313" s="10">
        <f>SUMIFS(_teams[draws_on_date],_teams[date],_stats[[#This Row],[date]],_teams[team_number],_stats[[#This Row],[team_number]])</f>
        <v>0</v>
      </c>
      <c r="I1313" s="10">
        <v>0</v>
      </c>
      <c r="J1313" s="10">
        <v>0</v>
      </c>
      <c r="K1313" s="10">
        <v>6</v>
      </c>
      <c r="L1313" s="55" t="str">
        <f>VLOOKUP(_stats[[#This Row],[tournament]],tournaments_n_rules[],2,0)</f>
        <v>УПК</v>
      </c>
      <c r="M1313" s="55" t="str">
        <f>VLOOKUP(_stats[[#This Row],[tournament]],tournaments_n_rules[],3,0)</f>
        <v>Весна 2026</v>
      </c>
      <c r="N1313" s="56">
        <f>VLOOKUP(_stats[[#This Row],[tournament]],tournaments_n_rules[],4,0)</f>
        <v>46082</v>
      </c>
      <c r="O1313" s="56">
        <f>VLOOKUP(_stats[[#This Row],[tournament]],tournaments_n_rules[],5,0)</f>
        <v>46173</v>
      </c>
    </row>
    <row r="1314" spans="1:15" x14ac:dyDescent="0.25">
      <c r="A1314" s="6">
        <v>46173</v>
      </c>
      <c r="B1314" s="7"/>
      <c r="C1314" s="7" t="s">
        <v>15</v>
      </c>
      <c r="D1314" s="10" t="str">
        <f>IFERROR(VLOOKUP(_stats[[#This Row],[player_id]],_players[[player_id]:[player_name]],2,0),"")</f>
        <v>Сергей</v>
      </c>
      <c r="E1314" s="7">
        <v>0</v>
      </c>
      <c r="F1314" s="8">
        <v>0</v>
      </c>
      <c r="G1314" s="10">
        <f>SUMIFS(_teams[wins_on_date],_teams[date],_stats[[#This Row],[date]],_teams[team_number],_stats[[#This Row],[team_number]])</f>
        <v>0</v>
      </c>
      <c r="H1314" s="10">
        <f>SUMIFS(_teams[draws_on_date],_teams[date],_stats[[#This Row],[date]],_teams[team_number],_stats[[#This Row],[team_number]])</f>
        <v>0</v>
      </c>
      <c r="I1314" s="10">
        <v>0</v>
      </c>
      <c r="J1314" s="10">
        <v>0</v>
      </c>
      <c r="K1314" s="10">
        <v>6</v>
      </c>
      <c r="L1314" s="55" t="str">
        <f>VLOOKUP(_stats[[#This Row],[tournament]],tournaments_n_rules[],2,0)</f>
        <v>УПК</v>
      </c>
      <c r="M1314" s="55" t="str">
        <f>VLOOKUP(_stats[[#This Row],[tournament]],tournaments_n_rules[],3,0)</f>
        <v>Весна 2026</v>
      </c>
      <c r="N1314" s="56">
        <f>VLOOKUP(_stats[[#This Row],[tournament]],tournaments_n_rules[],4,0)</f>
        <v>46082</v>
      </c>
      <c r="O1314" s="56">
        <f>VLOOKUP(_stats[[#This Row],[tournament]],tournaments_n_rules[],5,0)</f>
        <v>46173</v>
      </c>
    </row>
    <row r="1315" spans="1:15" x14ac:dyDescent="0.25">
      <c r="A1315" s="6">
        <v>46173</v>
      </c>
      <c r="B1315" s="7"/>
      <c r="C1315" s="7" t="s">
        <v>134</v>
      </c>
      <c r="D1315" s="10" t="str">
        <f>IFERROR(VLOOKUP(_stats[[#This Row],[player_id]],_players[[player_id]:[player_name]],2,0),"")</f>
        <v>Арги</v>
      </c>
      <c r="E1315" s="7">
        <v>0</v>
      </c>
      <c r="F1315" s="8">
        <v>0</v>
      </c>
      <c r="G1315" s="10">
        <f>SUMIFS(_teams[wins_on_date],_teams[date],_stats[[#This Row],[date]],_teams[team_number],_stats[[#This Row],[team_number]])</f>
        <v>0</v>
      </c>
      <c r="H1315" s="10">
        <f>SUMIFS(_teams[draws_on_date],_teams[date],_stats[[#This Row],[date]],_teams[team_number],_stats[[#This Row],[team_number]])</f>
        <v>0</v>
      </c>
      <c r="I1315" s="10">
        <v>0</v>
      </c>
      <c r="J1315" s="10">
        <v>0</v>
      </c>
      <c r="K1315" s="10">
        <v>6</v>
      </c>
      <c r="L1315" s="55" t="str">
        <f>VLOOKUP(_stats[[#This Row],[tournament]],tournaments_n_rules[],2,0)</f>
        <v>УПК</v>
      </c>
      <c r="M1315" s="55" t="str">
        <f>VLOOKUP(_stats[[#This Row],[tournament]],tournaments_n_rules[],3,0)</f>
        <v>Весна 2026</v>
      </c>
      <c r="N1315" s="56">
        <f>VLOOKUP(_stats[[#This Row],[tournament]],tournaments_n_rules[],4,0)</f>
        <v>46082</v>
      </c>
      <c r="O1315" s="56">
        <f>VLOOKUP(_stats[[#This Row],[tournament]],tournaments_n_rules[],5,0)</f>
        <v>46173</v>
      </c>
    </row>
    <row r="1316" spans="1:15" x14ac:dyDescent="0.25">
      <c r="A1316" s="6">
        <v>46173</v>
      </c>
      <c r="B1316" s="7"/>
      <c r="C1316" s="7" t="s">
        <v>11</v>
      </c>
      <c r="D1316" s="10" t="str">
        <f>IFERROR(VLOOKUP(_stats[[#This Row],[player_id]],_players[[player_id]:[player_name]],2,0),"")</f>
        <v>Максим Строцкий</v>
      </c>
      <c r="E1316" s="7">
        <v>1</v>
      </c>
      <c r="F1316" s="8">
        <v>2</v>
      </c>
      <c r="G1316" s="10">
        <f>SUMIFS(_teams[wins_on_date],_teams[date],_stats[[#This Row],[date]],_teams[team_number],_stats[[#This Row],[team_number]])</f>
        <v>0</v>
      </c>
      <c r="H1316" s="10">
        <f>SUMIFS(_teams[draws_on_date],_teams[date],_stats[[#This Row],[date]],_teams[team_number],_stats[[#This Row],[team_number]])</f>
        <v>0</v>
      </c>
      <c r="I1316" s="10">
        <v>0</v>
      </c>
      <c r="J1316" s="10">
        <v>0</v>
      </c>
      <c r="K1316" s="10">
        <v>6</v>
      </c>
      <c r="L1316" s="55" t="str">
        <f>VLOOKUP(_stats[[#This Row],[tournament]],tournaments_n_rules[],2,0)</f>
        <v>УПК</v>
      </c>
      <c r="M1316" s="55" t="str">
        <f>VLOOKUP(_stats[[#This Row],[tournament]],tournaments_n_rules[],3,0)</f>
        <v>Весна 2026</v>
      </c>
      <c r="N1316" s="56">
        <f>VLOOKUP(_stats[[#This Row],[tournament]],tournaments_n_rules[],4,0)</f>
        <v>46082</v>
      </c>
      <c r="O1316" s="56">
        <f>VLOOKUP(_stats[[#This Row],[tournament]],tournaments_n_rules[],5,0)</f>
        <v>46173</v>
      </c>
    </row>
    <row r="1317" spans="1:15" x14ac:dyDescent="0.25">
      <c r="A1317" s="6">
        <v>46173</v>
      </c>
      <c r="B1317" s="7"/>
      <c r="C1317" s="7" t="s">
        <v>79</v>
      </c>
      <c r="D1317" s="10" t="str">
        <f>IFERROR(VLOOKUP(_stats[[#This Row],[player_id]],_players[[player_id]:[player_name]],2,0),"")</f>
        <v>Анашкин</v>
      </c>
      <c r="E1317" s="7">
        <v>0</v>
      </c>
      <c r="F1317" s="8">
        <v>0</v>
      </c>
      <c r="G1317" s="10">
        <f>SUMIFS(_teams[wins_on_date],_teams[date],_stats[[#This Row],[date]],_teams[team_number],_stats[[#This Row],[team_number]])</f>
        <v>0</v>
      </c>
      <c r="H1317" s="10">
        <f>SUMIFS(_teams[draws_on_date],_teams[date],_stats[[#This Row],[date]],_teams[team_number],_stats[[#This Row],[team_number]])</f>
        <v>0</v>
      </c>
      <c r="I1317" s="10">
        <v>0</v>
      </c>
      <c r="J1317" s="10">
        <v>0</v>
      </c>
      <c r="K1317" s="10">
        <v>6</v>
      </c>
      <c r="L1317" s="55" t="str">
        <f>VLOOKUP(_stats[[#This Row],[tournament]],tournaments_n_rules[],2,0)</f>
        <v>УПК</v>
      </c>
      <c r="M1317" s="55" t="str">
        <f>VLOOKUP(_stats[[#This Row],[tournament]],tournaments_n_rules[],3,0)</f>
        <v>Весна 2026</v>
      </c>
      <c r="N1317" s="56">
        <f>VLOOKUP(_stats[[#This Row],[tournament]],tournaments_n_rules[],4,0)</f>
        <v>46082</v>
      </c>
      <c r="O1317" s="56">
        <f>VLOOKUP(_stats[[#This Row],[tournament]],tournaments_n_rules[],5,0)</f>
        <v>46173</v>
      </c>
    </row>
    <row r="1318" spans="1:15" x14ac:dyDescent="0.25">
      <c r="A1318" s="6">
        <v>46173</v>
      </c>
      <c r="B1318" s="7"/>
      <c r="C1318" s="7" t="s">
        <v>135</v>
      </c>
      <c r="D1318" s="10" t="str">
        <f>IFERROR(VLOOKUP(_stats[[#This Row],[player_id]],_players[[player_id]:[player_name]],2,0),"")</f>
        <v>Макс Логинов</v>
      </c>
      <c r="E1318" s="7">
        <v>2</v>
      </c>
      <c r="F1318" s="8">
        <v>0</v>
      </c>
      <c r="G1318" s="10">
        <f>SUMIFS(_teams[wins_on_date],_teams[date],_stats[[#This Row],[date]],_teams[team_number],_stats[[#This Row],[team_number]])</f>
        <v>0</v>
      </c>
      <c r="H1318" s="10">
        <f>SUMIFS(_teams[draws_on_date],_teams[date],_stats[[#This Row],[date]],_teams[team_number],_stats[[#This Row],[team_number]])</f>
        <v>0</v>
      </c>
      <c r="I1318" s="10">
        <v>0</v>
      </c>
      <c r="J1318" s="10">
        <v>0</v>
      </c>
      <c r="K1318" s="10">
        <v>6</v>
      </c>
      <c r="L1318" s="55" t="str">
        <f>VLOOKUP(_stats[[#This Row],[tournament]],tournaments_n_rules[],2,0)</f>
        <v>УПК</v>
      </c>
      <c r="M1318" s="55" t="str">
        <f>VLOOKUP(_stats[[#This Row],[tournament]],tournaments_n_rules[],3,0)</f>
        <v>Весна 2026</v>
      </c>
      <c r="N1318" s="56">
        <f>VLOOKUP(_stats[[#This Row],[tournament]],tournaments_n_rules[],4,0)</f>
        <v>46082</v>
      </c>
      <c r="O1318" s="56">
        <f>VLOOKUP(_stats[[#This Row],[tournament]],tournaments_n_rules[],5,0)</f>
        <v>46173</v>
      </c>
    </row>
    <row r="1319" spans="1:15" x14ac:dyDescent="0.25">
      <c r="A1319" s="6">
        <v>46173</v>
      </c>
      <c r="B1319" s="7"/>
      <c r="C1319" s="7" t="s">
        <v>28</v>
      </c>
      <c r="D1319" s="10" t="str">
        <f>IFERROR(VLOOKUP(_stats[[#This Row],[player_id]],_players[[player_id]:[player_name]],2,0),"")</f>
        <v>Никита</v>
      </c>
      <c r="E1319" s="7">
        <v>0</v>
      </c>
      <c r="F1319" s="8">
        <v>1</v>
      </c>
      <c r="G1319" s="10">
        <f>SUMIFS(_teams[wins_on_date],_teams[date],_stats[[#This Row],[date]],_teams[team_number],_stats[[#This Row],[team_number]])</f>
        <v>0</v>
      </c>
      <c r="H1319" s="10">
        <f>SUMIFS(_teams[draws_on_date],_teams[date],_stats[[#This Row],[date]],_teams[team_number],_stats[[#This Row],[team_number]])</f>
        <v>0</v>
      </c>
      <c r="I1319" s="10">
        <v>0</v>
      </c>
      <c r="J1319" s="10">
        <v>0</v>
      </c>
      <c r="K1319" s="10">
        <v>6</v>
      </c>
      <c r="L1319" s="55" t="str">
        <f>VLOOKUP(_stats[[#This Row],[tournament]],tournaments_n_rules[],2,0)</f>
        <v>УПК</v>
      </c>
      <c r="M1319" s="55" t="str">
        <f>VLOOKUP(_stats[[#This Row],[tournament]],tournaments_n_rules[],3,0)</f>
        <v>Весна 2026</v>
      </c>
      <c r="N1319" s="56">
        <f>VLOOKUP(_stats[[#This Row],[tournament]],tournaments_n_rules[],4,0)</f>
        <v>46082</v>
      </c>
      <c r="O1319" s="56">
        <f>VLOOKUP(_stats[[#This Row],[tournament]],tournaments_n_rules[],5,0)</f>
        <v>46173</v>
      </c>
    </row>
    <row r="1320" spans="1:15" x14ac:dyDescent="0.25">
      <c r="A1320" s="6">
        <v>46173</v>
      </c>
      <c r="B1320" s="7"/>
      <c r="C1320" s="7" t="s">
        <v>22</v>
      </c>
      <c r="D1320" s="10" t="str">
        <f>IFERROR(VLOOKUP(_stats[[#This Row],[player_id]],_players[[player_id]:[player_name]],2,0),"")</f>
        <v>Женя (кипер)</v>
      </c>
      <c r="E1320" s="7">
        <v>0</v>
      </c>
      <c r="F1320" s="8">
        <v>0</v>
      </c>
      <c r="G1320" s="10">
        <f>SUMIFS(_teams[wins_on_date],_teams[date],_stats[[#This Row],[date]],_teams[team_number],_stats[[#This Row],[team_number]])</f>
        <v>0</v>
      </c>
      <c r="H1320" s="10">
        <f>SUMIFS(_teams[draws_on_date],_teams[date],_stats[[#This Row],[date]],_teams[team_number],_stats[[#This Row],[team_number]])</f>
        <v>0</v>
      </c>
      <c r="I1320" s="10">
        <v>2</v>
      </c>
      <c r="J1320" s="10">
        <v>0</v>
      </c>
      <c r="K1320" s="10">
        <v>6</v>
      </c>
      <c r="L1320" s="55" t="str">
        <f>VLOOKUP(_stats[[#This Row],[tournament]],tournaments_n_rules[],2,0)</f>
        <v>УПК</v>
      </c>
      <c r="M1320" s="55" t="str">
        <f>VLOOKUP(_stats[[#This Row],[tournament]],tournaments_n_rules[],3,0)</f>
        <v>Весна 2026</v>
      </c>
      <c r="N1320" s="56">
        <f>VLOOKUP(_stats[[#This Row],[tournament]],tournaments_n_rules[],4,0)</f>
        <v>46082</v>
      </c>
      <c r="O1320" s="56">
        <f>VLOOKUP(_stats[[#This Row],[tournament]],tournaments_n_rules[],5,0)</f>
        <v>46173</v>
      </c>
    </row>
    <row r="1321" spans="1:15" x14ac:dyDescent="0.25">
      <c r="A1321" s="6">
        <v>46173</v>
      </c>
      <c r="B1321" s="7"/>
      <c r="C1321" s="7" t="s">
        <v>19</v>
      </c>
      <c r="D1321" s="10" t="str">
        <f>IFERROR(VLOOKUP(_stats[[#This Row],[player_id]],_players[[player_id]:[player_name]],2,0),"")</f>
        <v>Сергей Крюков</v>
      </c>
      <c r="E1321" s="7">
        <v>0</v>
      </c>
      <c r="F1321" s="8">
        <v>0</v>
      </c>
      <c r="G1321" s="10">
        <f>SUMIFS(_teams[wins_on_date],_teams[date],_stats[[#This Row],[date]],_teams[team_number],_stats[[#This Row],[team_number]])</f>
        <v>0</v>
      </c>
      <c r="H1321" s="10">
        <f>SUMIFS(_teams[draws_on_date],_teams[date],_stats[[#This Row],[date]],_teams[team_number],_stats[[#This Row],[team_number]])</f>
        <v>0</v>
      </c>
      <c r="I1321" s="10">
        <v>0</v>
      </c>
      <c r="J1321" s="10">
        <v>0</v>
      </c>
      <c r="K1321" s="10">
        <v>6</v>
      </c>
      <c r="L1321" s="55" t="str">
        <f>VLOOKUP(_stats[[#This Row],[tournament]],tournaments_n_rules[],2,0)</f>
        <v>УПК</v>
      </c>
      <c r="M1321" s="55" t="str">
        <f>VLOOKUP(_stats[[#This Row],[tournament]],tournaments_n_rules[],3,0)</f>
        <v>Весна 2026</v>
      </c>
      <c r="N1321" s="56">
        <f>VLOOKUP(_stats[[#This Row],[tournament]],tournaments_n_rules[],4,0)</f>
        <v>46082</v>
      </c>
      <c r="O1321" s="56">
        <f>VLOOKUP(_stats[[#This Row],[tournament]],tournaments_n_rules[],5,0)</f>
        <v>46173</v>
      </c>
    </row>
    <row r="1322" spans="1:15" x14ac:dyDescent="0.25">
      <c r="A1322" s="6">
        <v>46173</v>
      </c>
      <c r="B1322" s="7"/>
      <c r="C1322" s="7" t="s">
        <v>52</v>
      </c>
      <c r="D1322" s="10" t="str">
        <f>IFERROR(VLOOKUP(_stats[[#This Row],[player_id]],_players[[player_id]:[player_name]],2,0),"")</f>
        <v>Игорь Фомичев</v>
      </c>
      <c r="E1322" s="7">
        <v>0</v>
      </c>
      <c r="F1322" s="8">
        <v>2</v>
      </c>
      <c r="G1322" s="10">
        <f>SUMIFS(_teams[wins_on_date],_teams[date],_stats[[#This Row],[date]],_teams[team_number],_stats[[#This Row],[team_number]])</f>
        <v>0</v>
      </c>
      <c r="H1322" s="10">
        <f>SUMIFS(_teams[draws_on_date],_teams[date],_stats[[#This Row],[date]],_teams[team_number],_stats[[#This Row],[team_number]])</f>
        <v>0</v>
      </c>
      <c r="I1322" s="10">
        <v>0</v>
      </c>
      <c r="J1322" s="10">
        <v>0</v>
      </c>
      <c r="K1322" s="10">
        <v>6</v>
      </c>
      <c r="L1322" s="55" t="str">
        <f>VLOOKUP(_stats[[#This Row],[tournament]],tournaments_n_rules[],2,0)</f>
        <v>УПК</v>
      </c>
      <c r="M1322" s="55" t="str">
        <f>VLOOKUP(_stats[[#This Row],[tournament]],tournaments_n_rules[],3,0)</f>
        <v>Весна 2026</v>
      </c>
      <c r="N1322" s="56">
        <f>VLOOKUP(_stats[[#This Row],[tournament]],tournaments_n_rules[],4,0)</f>
        <v>46082</v>
      </c>
      <c r="O1322" s="56">
        <f>VLOOKUP(_stats[[#This Row],[tournament]],tournaments_n_rules[],5,0)</f>
        <v>46173</v>
      </c>
    </row>
    <row r="1323" spans="1:15" x14ac:dyDescent="0.25">
      <c r="A1323" s="6">
        <v>46173</v>
      </c>
      <c r="B1323" s="7"/>
      <c r="C1323" s="7" t="s">
        <v>32</v>
      </c>
      <c r="D1323" s="10" t="str">
        <f>IFERROR(VLOOKUP(_stats[[#This Row],[player_id]],_players[[player_id]:[player_name]],2,0),"")</f>
        <v>Рома Сурнин</v>
      </c>
      <c r="E1323" s="7">
        <v>0</v>
      </c>
      <c r="F1323" s="8">
        <v>0</v>
      </c>
      <c r="G1323" s="10">
        <f>SUMIFS(_teams[wins_on_date],_teams[date],_stats[[#This Row],[date]],_teams[team_number],_stats[[#This Row],[team_number]])</f>
        <v>0</v>
      </c>
      <c r="H1323" s="10">
        <f>SUMIFS(_teams[draws_on_date],_teams[date],_stats[[#This Row],[date]],_teams[team_number],_stats[[#This Row],[team_number]])</f>
        <v>0</v>
      </c>
      <c r="I1323" s="10">
        <v>0</v>
      </c>
      <c r="J1323" s="10">
        <v>0</v>
      </c>
      <c r="K1323" s="10">
        <v>6</v>
      </c>
      <c r="L1323" s="55" t="str">
        <f>VLOOKUP(_stats[[#This Row],[tournament]],tournaments_n_rules[],2,0)</f>
        <v>УПК</v>
      </c>
      <c r="M1323" s="55" t="str">
        <f>VLOOKUP(_stats[[#This Row],[tournament]],tournaments_n_rules[],3,0)</f>
        <v>Весна 2026</v>
      </c>
      <c r="N1323" s="56">
        <f>VLOOKUP(_stats[[#This Row],[tournament]],tournaments_n_rules[],4,0)</f>
        <v>46082</v>
      </c>
      <c r="O1323" s="56">
        <f>VLOOKUP(_stats[[#This Row],[tournament]],tournaments_n_rules[],5,0)</f>
        <v>46173</v>
      </c>
    </row>
    <row r="1324" spans="1:15" x14ac:dyDescent="0.25">
      <c r="A1324" s="6">
        <v>46173</v>
      </c>
      <c r="B1324" s="7"/>
      <c r="C1324" s="7" t="s">
        <v>184</v>
      </c>
      <c r="D1324" s="10" t="str">
        <f>IFERROR(VLOOKUP(_stats[[#This Row],[player_id]],_players[[player_id]:[player_name]],2,0),"")</f>
        <v>Ромасик</v>
      </c>
      <c r="E1324" s="7">
        <v>0</v>
      </c>
      <c r="F1324" s="8">
        <v>0</v>
      </c>
      <c r="G1324" s="10">
        <f>SUMIFS(_teams[wins_on_date],_teams[date],_stats[[#This Row],[date]],_teams[team_number],_stats[[#This Row],[team_number]])</f>
        <v>0</v>
      </c>
      <c r="H1324" s="10">
        <f>SUMIFS(_teams[draws_on_date],_teams[date],_stats[[#This Row],[date]],_teams[team_number],_stats[[#This Row],[team_number]])</f>
        <v>0</v>
      </c>
      <c r="I1324" s="10">
        <v>2</v>
      </c>
      <c r="J1324" s="10">
        <v>0</v>
      </c>
      <c r="K1324" s="10">
        <v>6</v>
      </c>
      <c r="L1324" s="55" t="str">
        <f>VLOOKUP(_stats[[#This Row],[tournament]],tournaments_n_rules[],2,0)</f>
        <v>УПК</v>
      </c>
      <c r="M1324" s="55" t="str">
        <f>VLOOKUP(_stats[[#This Row],[tournament]],tournaments_n_rules[],3,0)</f>
        <v>Весна 2026</v>
      </c>
      <c r="N1324" s="56">
        <f>VLOOKUP(_stats[[#This Row],[tournament]],tournaments_n_rules[],4,0)</f>
        <v>46082</v>
      </c>
      <c r="O1324" s="56">
        <f>VLOOKUP(_stats[[#This Row],[tournament]],tournaments_n_rules[],5,0)</f>
        <v>46173</v>
      </c>
    </row>
    <row r="1325" spans="1:15" x14ac:dyDescent="0.25">
      <c r="A1325" s="6">
        <v>46173</v>
      </c>
      <c r="B1325" s="7"/>
      <c r="C1325" s="7" t="s">
        <v>120</v>
      </c>
      <c r="D1325" s="10" t="str">
        <f>IFERROR(VLOOKUP(_stats[[#This Row],[player_id]],_players[[player_id]:[player_name]],2,0),"")</f>
        <v>Дима (Спартак)</v>
      </c>
      <c r="E1325" s="7">
        <v>0</v>
      </c>
      <c r="F1325" s="8">
        <v>0</v>
      </c>
      <c r="G1325" s="10">
        <f>SUMIFS(_teams[wins_on_date],_teams[date],_stats[[#This Row],[date]],_teams[team_number],_stats[[#This Row],[team_number]])</f>
        <v>0</v>
      </c>
      <c r="H1325" s="10">
        <f>SUMIFS(_teams[draws_on_date],_teams[date],_stats[[#This Row],[date]],_teams[team_number],_stats[[#This Row],[team_number]])</f>
        <v>0</v>
      </c>
      <c r="I1325" s="10">
        <v>0</v>
      </c>
      <c r="J1325" s="10">
        <v>0</v>
      </c>
      <c r="K1325" s="10">
        <v>6</v>
      </c>
      <c r="L1325" s="55" t="str">
        <f>VLOOKUP(_stats[[#This Row],[tournament]],tournaments_n_rules[],2,0)</f>
        <v>УПК</v>
      </c>
      <c r="M1325" s="55" t="str">
        <f>VLOOKUP(_stats[[#This Row],[tournament]],tournaments_n_rules[],3,0)</f>
        <v>Весна 2026</v>
      </c>
      <c r="N1325" s="56">
        <f>VLOOKUP(_stats[[#This Row],[tournament]],tournaments_n_rules[],4,0)</f>
        <v>46082</v>
      </c>
      <c r="O1325" s="56">
        <f>VLOOKUP(_stats[[#This Row],[tournament]],tournaments_n_rules[],5,0)</f>
        <v>46173</v>
      </c>
    </row>
    <row r="1326" spans="1:15" x14ac:dyDescent="0.25">
      <c r="A1326" s="6">
        <v>46173</v>
      </c>
      <c r="B1326" s="7"/>
      <c r="C1326" s="7" t="s">
        <v>47</v>
      </c>
      <c r="D1326" s="10" t="str">
        <f>IFERROR(VLOOKUP(_stats[[#This Row],[player_id]],_players[[player_id]:[player_name]],2,0),"")</f>
        <v>Андрей (АК+1)</v>
      </c>
      <c r="E1326" s="7">
        <v>0</v>
      </c>
      <c r="F1326" s="8">
        <v>0</v>
      </c>
      <c r="G1326" s="10">
        <f>SUMIFS(_teams[wins_on_date],_teams[date],_stats[[#This Row],[date]],_teams[team_number],_stats[[#This Row],[team_number]])</f>
        <v>0</v>
      </c>
      <c r="H1326" s="10">
        <f>SUMIFS(_teams[draws_on_date],_teams[date],_stats[[#This Row],[date]],_teams[team_number],_stats[[#This Row],[team_number]])</f>
        <v>0</v>
      </c>
      <c r="I1326" s="10">
        <v>0</v>
      </c>
      <c r="J1326" s="10">
        <v>0</v>
      </c>
      <c r="K1326" s="10">
        <v>6</v>
      </c>
      <c r="L1326" s="55" t="str">
        <f>VLOOKUP(_stats[[#This Row],[tournament]],tournaments_n_rules[],2,0)</f>
        <v>УПК</v>
      </c>
      <c r="M1326" s="55" t="str">
        <f>VLOOKUP(_stats[[#This Row],[tournament]],tournaments_n_rules[],3,0)</f>
        <v>Весна 2026</v>
      </c>
      <c r="N1326" s="56">
        <f>VLOOKUP(_stats[[#This Row],[tournament]],tournaments_n_rules[],4,0)</f>
        <v>46082</v>
      </c>
      <c r="O1326" s="56">
        <f>VLOOKUP(_stats[[#This Row],[tournament]],tournaments_n_rules[],5,0)</f>
        <v>46173</v>
      </c>
    </row>
    <row r="1327" spans="1:15" x14ac:dyDescent="0.25">
      <c r="A1327" s="6">
        <v>46173</v>
      </c>
      <c r="B1327" s="7"/>
      <c r="C1327" s="7" t="s">
        <v>54</v>
      </c>
      <c r="D1327" s="10" t="str">
        <f>IFERROR(VLOOKUP(_stats[[#This Row],[player_id]],_players[[player_id]:[player_name]],2,0),"")</f>
        <v>Кирилл (АК+1)</v>
      </c>
      <c r="E1327" s="7">
        <v>0</v>
      </c>
      <c r="F1327" s="8">
        <v>0</v>
      </c>
      <c r="G1327" s="10">
        <f>SUMIFS(_teams[wins_on_date],_teams[date],_stats[[#This Row],[date]],_teams[team_number],_stats[[#This Row],[team_number]])</f>
        <v>0</v>
      </c>
      <c r="H1327" s="10">
        <f>SUMIFS(_teams[draws_on_date],_teams[date],_stats[[#This Row],[date]],_teams[team_number],_stats[[#This Row],[team_number]])</f>
        <v>0</v>
      </c>
      <c r="I1327" s="10">
        <v>0</v>
      </c>
      <c r="J1327" s="10">
        <v>0</v>
      </c>
      <c r="K1327" s="10">
        <v>6</v>
      </c>
      <c r="L1327" s="55" t="str">
        <f>VLOOKUP(_stats[[#This Row],[tournament]],tournaments_n_rules[],2,0)</f>
        <v>УПК</v>
      </c>
      <c r="M1327" s="55" t="str">
        <f>VLOOKUP(_stats[[#This Row],[tournament]],tournaments_n_rules[],3,0)</f>
        <v>Весна 2026</v>
      </c>
      <c r="N1327" s="56">
        <f>VLOOKUP(_stats[[#This Row],[tournament]],tournaments_n_rules[],4,0)</f>
        <v>46082</v>
      </c>
      <c r="O1327" s="56">
        <f>VLOOKUP(_stats[[#This Row],[tournament]],tournaments_n_rules[],5,0)</f>
        <v>46173</v>
      </c>
    </row>
    <row r="1328" spans="1:15" x14ac:dyDescent="0.25">
      <c r="A1328" s="6">
        <v>46173</v>
      </c>
      <c r="B1328" s="7"/>
      <c r="C1328" s="7" t="s">
        <v>34</v>
      </c>
      <c r="D1328" s="10" t="str">
        <f>IFERROR(VLOOKUP(_stats[[#This Row],[player_id]],_players[[player_id]:[player_name]],2,0),"")</f>
        <v>Дядя Руслан</v>
      </c>
      <c r="E1328" s="7">
        <v>0</v>
      </c>
      <c r="F1328" s="8">
        <v>0</v>
      </c>
      <c r="G1328" s="10">
        <f>SUMIFS(_teams[wins_on_date],_teams[date],_stats[[#This Row],[date]],_teams[team_number],_stats[[#This Row],[team_number]])</f>
        <v>0</v>
      </c>
      <c r="H1328" s="10">
        <f>SUMIFS(_teams[draws_on_date],_teams[date],_stats[[#This Row],[date]],_teams[team_number],_stats[[#This Row],[team_number]])</f>
        <v>0</v>
      </c>
      <c r="I1328" s="10">
        <v>2</v>
      </c>
      <c r="J1328" s="10">
        <v>0</v>
      </c>
      <c r="K1328" s="10">
        <v>6</v>
      </c>
      <c r="L1328" s="55" t="str">
        <f>VLOOKUP(_stats[[#This Row],[tournament]],tournaments_n_rules[],2,0)</f>
        <v>УПК</v>
      </c>
      <c r="M1328" s="55" t="str">
        <f>VLOOKUP(_stats[[#This Row],[tournament]],tournaments_n_rules[],3,0)</f>
        <v>Весна 2026</v>
      </c>
      <c r="N1328" s="56">
        <f>VLOOKUP(_stats[[#This Row],[tournament]],tournaments_n_rules[],4,0)</f>
        <v>46082</v>
      </c>
      <c r="O1328" s="56">
        <f>VLOOKUP(_stats[[#This Row],[tournament]],tournaments_n_rules[],5,0)</f>
        <v>46173</v>
      </c>
    </row>
    <row r="1329" spans="1:15" x14ac:dyDescent="0.25">
      <c r="A1329" s="6">
        <v>46173</v>
      </c>
      <c r="B1329" s="7"/>
      <c r="C1329" s="7" t="s">
        <v>29</v>
      </c>
      <c r="D1329" s="10" t="str">
        <f>IFERROR(VLOOKUP(_stats[[#This Row],[player_id]],_players[[player_id]:[player_name]],2,0),"")</f>
        <v>Александр Травкин</v>
      </c>
      <c r="E1329" s="7">
        <v>1</v>
      </c>
      <c r="F1329" s="8">
        <v>0</v>
      </c>
      <c r="G1329" s="10">
        <f>SUMIFS(_teams[wins_on_date],_teams[date],_stats[[#This Row],[date]],_teams[team_number],_stats[[#This Row],[team_number]])</f>
        <v>0</v>
      </c>
      <c r="H1329" s="10">
        <f>SUMIFS(_teams[draws_on_date],_teams[date],_stats[[#This Row],[date]],_teams[team_number],_stats[[#This Row],[team_number]])</f>
        <v>0</v>
      </c>
      <c r="I1329" s="10">
        <v>0</v>
      </c>
      <c r="J1329" s="10">
        <v>0</v>
      </c>
      <c r="K1329" s="10">
        <v>6</v>
      </c>
      <c r="L1329" s="55" t="str">
        <f>VLOOKUP(_stats[[#This Row],[tournament]],tournaments_n_rules[],2,0)</f>
        <v>УПК</v>
      </c>
      <c r="M1329" s="55" t="str">
        <f>VLOOKUP(_stats[[#This Row],[tournament]],tournaments_n_rules[],3,0)</f>
        <v>Весна 2026</v>
      </c>
      <c r="N1329" s="56">
        <f>VLOOKUP(_stats[[#This Row],[tournament]],tournaments_n_rules[],4,0)</f>
        <v>46082</v>
      </c>
      <c r="O1329" s="56">
        <f>VLOOKUP(_stats[[#This Row],[tournament]],tournaments_n_rules[],5,0)</f>
        <v>46173</v>
      </c>
    </row>
    <row r="1330" spans="1:15" x14ac:dyDescent="0.25">
      <c r="A1330" s="6">
        <v>46173</v>
      </c>
      <c r="B1330" s="7"/>
      <c r="C1330" s="7" t="s">
        <v>21</v>
      </c>
      <c r="D1330" s="10" t="str">
        <f>IFERROR(VLOOKUP(_stats[[#This Row],[player_id]],_players[[player_id]:[player_name]],2,0),"")</f>
        <v>Влад</v>
      </c>
      <c r="E1330" s="7">
        <v>0</v>
      </c>
      <c r="F1330" s="8">
        <v>0</v>
      </c>
      <c r="G1330" s="10">
        <f>SUMIFS(_teams[wins_on_date],_teams[date],_stats[[#This Row],[date]],_teams[team_number],_stats[[#This Row],[team_number]])</f>
        <v>0</v>
      </c>
      <c r="H1330" s="10">
        <f>SUMIFS(_teams[draws_on_date],_teams[date],_stats[[#This Row],[date]],_teams[team_number],_stats[[#This Row],[team_number]])</f>
        <v>0</v>
      </c>
      <c r="I1330" s="10">
        <v>0</v>
      </c>
      <c r="J1330" s="10">
        <v>0</v>
      </c>
      <c r="K1330" s="10">
        <v>6</v>
      </c>
      <c r="L1330" s="55" t="str">
        <f>VLOOKUP(_stats[[#This Row],[tournament]],tournaments_n_rules[],2,0)</f>
        <v>УПК</v>
      </c>
      <c r="M1330" s="55" t="str">
        <f>VLOOKUP(_stats[[#This Row],[tournament]],tournaments_n_rules[],3,0)</f>
        <v>Весна 2026</v>
      </c>
      <c r="N1330" s="56">
        <f>VLOOKUP(_stats[[#This Row],[tournament]],tournaments_n_rules[],4,0)</f>
        <v>46082</v>
      </c>
      <c r="O1330" s="56">
        <f>VLOOKUP(_stats[[#This Row],[tournament]],tournaments_n_rules[],5,0)</f>
        <v>46173</v>
      </c>
    </row>
    <row r="1331" spans="1:15" x14ac:dyDescent="0.25">
      <c r="A1331" s="6">
        <v>46173</v>
      </c>
      <c r="B1331" s="7"/>
      <c r="C1331" s="7" t="s">
        <v>57</v>
      </c>
      <c r="D1331" s="10" t="str">
        <f>IFERROR(VLOOKUP(_stats[[#This Row],[player_id]],_players[[player_id]:[player_name]],2,0),"")</f>
        <v>Рамиль (АК+1)</v>
      </c>
      <c r="E1331" s="7">
        <v>0</v>
      </c>
      <c r="F1331" s="8">
        <v>1</v>
      </c>
      <c r="G1331" s="10">
        <f>SUMIFS(_teams[wins_on_date],_teams[date],_stats[[#This Row],[date]],_teams[team_number],_stats[[#This Row],[team_number]])</f>
        <v>0</v>
      </c>
      <c r="H1331" s="10">
        <f>SUMIFS(_teams[draws_on_date],_teams[date],_stats[[#This Row],[date]],_teams[team_number],_stats[[#This Row],[team_number]])</f>
        <v>0</v>
      </c>
      <c r="I1331" s="10">
        <v>0</v>
      </c>
      <c r="J1331" s="10">
        <v>0</v>
      </c>
      <c r="K1331" s="10">
        <v>6</v>
      </c>
      <c r="L1331" s="55" t="str">
        <f>VLOOKUP(_stats[[#This Row],[tournament]],tournaments_n_rules[],2,0)</f>
        <v>УПК</v>
      </c>
      <c r="M1331" s="55" t="str">
        <f>VLOOKUP(_stats[[#This Row],[tournament]],tournaments_n_rules[],3,0)</f>
        <v>Весна 2026</v>
      </c>
      <c r="N1331" s="56">
        <f>VLOOKUP(_stats[[#This Row],[tournament]],tournaments_n_rules[],4,0)</f>
        <v>46082</v>
      </c>
      <c r="O1331" s="56">
        <f>VLOOKUP(_stats[[#This Row],[tournament]],tournaments_n_rules[],5,0)</f>
        <v>46173</v>
      </c>
    </row>
    <row r="1332" spans="1:15" x14ac:dyDescent="0.25">
      <c r="A1332" s="6">
        <v>46173</v>
      </c>
      <c r="B1332" s="7"/>
      <c r="C1332" s="7" t="s">
        <v>144</v>
      </c>
      <c r="D1332" s="10" t="str">
        <f>IFERROR(VLOOKUP(_stats[[#This Row],[player_id]],_players[[player_id]:[player_name]],2,0),"")</f>
        <v>Мага (Руб+1)</v>
      </c>
      <c r="E1332" s="7">
        <v>0</v>
      </c>
      <c r="F1332" s="8">
        <v>0</v>
      </c>
      <c r="G1332" s="10">
        <f>SUMIFS(_teams[wins_on_date],_teams[date],_stats[[#This Row],[date]],_teams[team_number],_stats[[#This Row],[team_number]])</f>
        <v>0</v>
      </c>
      <c r="H1332" s="10">
        <f>SUMIFS(_teams[draws_on_date],_teams[date],_stats[[#This Row],[date]],_teams[team_number],_stats[[#This Row],[team_number]])</f>
        <v>0</v>
      </c>
      <c r="I1332" s="10">
        <v>0</v>
      </c>
      <c r="J1332" s="10">
        <v>0</v>
      </c>
      <c r="K1332" s="10">
        <v>6</v>
      </c>
      <c r="L1332" s="55" t="str">
        <f>VLOOKUP(_stats[[#This Row],[tournament]],tournaments_n_rules[],2,0)</f>
        <v>УПК</v>
      </c>
      <c r="M1332" s="55" t="str">
        <f>VLOOKUP(_stats[[#This Row],[tournament]],tournaments_n_rules[],3,0)</f>
        <v>Весна 2026</v>
      </c>
      <c r="N1332" s="56">
        <f>VLOOKUP(_stats[[#This Row],[tournament]],tournaments_n_rules[],4,0)</f>
        <v>46082</v>
      </c>
      <c r="O1332" s="56">
        <f>VLOOKUP(_stats[[#This Row],[tournament]],tournaments_n_rules[],5,0)</f>
        <v>46173</v>
      </c>
    </row>
    <row r="1333" spans="1:15" x14ac:dyDescent="0.25">
      <c r="A1333" s="6">
        <v>46173</v>
      </c>
      <c r="B1333" s="7"/>
      <c r="C1333" s="7" t="s">
        <v>145</v>
      </c>
      <c r="D1333" s="10" t="str">
        <f>IFERROR(VLOOKUP(_stats[[#This Row],[player_id]],_players[[player_id]:[player_name]],2,0),"")</f>
        <v>Заур (Руб+1)</v>
      </c>
      <c r="E1333" s="7">
        <v>0</v>
      </c>
      <c r="F1333" s="8">
        <v>0</v>
      </c>
      <c r="G1333" s="10">
        <f>SUMIFS(_teams[wins_on_date],_teams[date],_stats[[#This Row],[date]],_teams[team_number],_stats[[#This Row],[team_number]])</f>
        <v>0</v>
      </c>
      <c r="H1333" s="10">
        <f>SUMIFS(_teams[draws_on_date],_teams[date],_stats[[#This Row],[date]],_teams[team_number],_stats[[#This Row],[team_number]])</f>
        <v>0</v>
      </c>
      <c r="I1333" s="10">
        <v>1</v>
      </c>
      <c r="J1333" s="10">
        <v>0</v>
      </c>
      <c r="K1333" s="10">
        <v>6</v>
      </c>
      <c r="L1333" s="55" t="str">
        <f>VLOOKUP(_stats[[#This Row],[tournament]],tournaments_n_rules[],2,0)</f>
        <v>УПК</v>
      </c>
      <c r="M1333" s="55" t="str">
        <f>VLOOKUP(_stats[[#This Row],[tournament]],tournaments_n_rules[],3,0)</f>
        <v>Весна 2026</v>
      </c>
      <c r="N1333" s="56">
        <f>VLOOKUP(_stats[[#This Row],[tournament]],tournaments_n_rules[],4,0)</f>
        <v>46082</v>
      </c>
      <c r="O1333" s="56">
        <f>VLOOKUP(_stats[[#This Row],[tournament]],tournaments_n_rules[],5,0)</f>
        <v>46173</v>
      </c>
    </row>
    <row r="1334" spans="1:15" x14ac:dyDescent="0.25">
      <c r="A1334" s="6">
        <v>46173</v>
      </c>
      <c r="B1334" s="7"/>
      <c r="C1334" s="7" t="s">
        <v>152</v>
      </c>
      <c r="D1334" s="10" t="str">
        <f>IFERROR(VLOOKUP(_stats[[#This Row],[player_id]],_players[[player_id]:[player_name]],2,0),"")</f>
        <v>Сурэн</v>
      </c>
      <c r="E1334" s="7">
        <v>0</v>
      </c>
      <c r="F1334" s="8">
        <v>0</v>
      </c>
      <c r="G1334" s="10">
        <f>SUMIFS(_teams[wins_on_date],_teams[date],_stats[[#This Row],[date]],_teams[team_number],_stats[[#This Row],[team_number]])</f>
        <v>0</v>
      </c>
      <c r="H1334" s="10">
        <f>SUMIFS(_teams[draws_on_date],_teams[date],_stats[[#This Row],[date]],_teams[team_number],_stats[[#This Row],[team_number]])</f>
        <v>0</v>
      </c>
      <c r="I1334" s="10">
        <v>0</v>
      </c>
      <c r="J1334" s="10">
        <v>0</v>
      </c>
      <c r="K1334" s="10">
        <v>6</v>
      </c>
      <c r="L1334" s="55" t="str">
        <f>VLOOKUP(_stats[[#This Row],[tournament]],tournaments_n_rules[],2,0)</f>
        <v>УПК</v>
      </c>
      <c r="M1334" s="55" t="str">
        <f>VLOOKUP(_stats[[#This Row],[tournament]],tournaments_n_rules[],3,0)</f>
        <v>Весна 2026</v>
      </c>
      <c r="N1334" s="56">
        <f>VLOOKUP(_stats[[#This Row],[tournament]],tournaments_n_rules[],4,0)</f>
        <v>46082</v>
      </c>
      <c r="O1334" s="56">
        <f>VLOOKUP(_stats[[#This Row],[tournament]],tournaments_n_rules[],5,0)</f>
        <v>46173</v>
      </c>
    </row>
    <row r="1335" spans="1:15" x14ac:dyDescent="0.25">
      <c r="A1335" s="6">
        <v>46173</v>
      </c>
      <c r="B1335" s="7"/>
      <c r="C1335" s="7" t="s">
        <v>42</v>
      </c>
      <c r="D1335" s="10" t="str">
        <f>IFERROR(VLOOKUP(_stats[[#This Row],[player_id]],_players[[player_id]:[player_name]],2,0),"")</f>
        <v>Нурик</v>
      </c>
      <c r="E1335" s="7">
        <v>0</v>
      </c>
      <c r="F1335" s="8">
        <v>0</v>
      </c>
      <c r="G1335" s="10">
        <f>SUMIFS(_teams[wins_on_date],_teams[date],_stats[[#This Row],[date]],_teams[team_number],_stats[[#This Row],[team_number]])</f>
        <v>0</v>
      </c>
      <c r="H1335" s="10">
        <f>SUMIFS(_teams[draws_on_date],_teams[date],_stats[[#This Row],[date]],_teams[team_number],_stats[[#This Row],[team_number]])</f>
        <v>0</v>
      </c>
      <c r="I1335" s="10">
        <v>0</v>
      </c>
      <c r="J1335" s="10">
        <v>0</v>
      </c>
      <c r="K1335" s="10">
        <v>6</v>
      </c>
      <c r="L1335" s="55" t="str">
        <f>VLOOKUP(_stats[[#This Row],[tournament]],tournaments_n_rules[],2,0)</f>
        <v>УПК</v>
      </c>
      <c r="M1335" s="55" t="str">
        <f>VLOOKUP(_stats[[#This Row],[tournament]],tournaments_n_rules[],3,0)</f>
        <v>Весна 2026</v>
      </c>
      <c r="N1335" s="56">
        <f>VLOOKUP(_stats[[#This Row],[tournament]],tournaments_n_rules[],4,0)</f>
        <v>46082</v>
      </c>
      <c r="O1335" s="56">
        <f>VLOOKUP(_stats[[#This Row],[tournament]],tournaments_n_rules[],5,0)</f>
        <v>46173</v>
      </c>
    </row>
    <row r="1336" spans="1:15" x14ac:dyDescent="0.25">
      <c r="A1336" s="6">
        <v>46173</v>
      </c>
      <c r="B1336" s="7"/>
      <c r="C1336" s="7" t="s">
        <v>124</v>
      </c>
      <c r="D1336" s="10" t="str">
        <f>IFERROR(VLOOKUP(_stats[[#This Row],[player_id]],_players[[player_id]:[player_name]],2,0),"")</f>
        <v>Богдан Ждамаров</v>
      </c>
      <c r="E1336" s="7">
        <v>0</v>
      </c>
      <c r="F1336" s="8">
        <v>0</v>
      </c>
      <c r="G1336" s="10">
        <f>SUMIFS(_teams[wins_on_date],_teams[date],_stats[[#This Row],[date]],_teams[team_number],_stats[[#This Row],[team_number]])</f>
        <v>0</v>
      </c>
      <c r="H1336" s="10">
        <f>SUMIFS(_teams[draws_on_date],_teams[date],_stats[[#This Row],[date]],_teams[team_number],_stats[[#This Row],[team_number]])</f>
        <v>0</v>
      </c>
      <c r="I1336" s="10">
        <v>4</v>
      </c>
      <c r="J1336" s="10">
        <v>0</v>
      </c>
      <c r="K1336" s="10">
        <v>6</v>
      </c>
      <c r="L1336" s="55" t="str">
        <f>VLOOKUP(_stats[[#This Row],[tournament]],tournaments_n_rules[],2,0)</f>
        <v>УПК</v>
      </c>
      <c r="M1336" s="55" t="str">
        <f>VLOOKUP(_stats[[#This Row],[tournament]],tournaments_n_rules[],3,0)</f>
        <v>Весна 2026</v>
      </c>
      <c r="N1336" s="56">
        <f>VLOOKUP(_stats[[#This Row],[tournament]],tournaments_n_rules[],4,0)</f>
        <v>46082</v>
      </c>
      <c r="O1336" s="56">
        <f>VLOOKUP(_stats[[#This Row],[tournament]],tournaments_n_rules[],5,0)</f>
        <v>46173</v>
      </c>
    </row>
    <row r="1337" spans="1:15" x14ac:dyDescent="0.25">
      <c r="A1337" s="6">
        <v>46173</v>
      </c>
      <c r="B1337" s="7"/>
      <c r="C1337" s="7" t="s">
        <v>39</v>
      </c>
      <c r="D1337" s="10" t="str">
        <f>IFERROR(VLOOKUP(_stats[[#This Row],[player_id]],_players[[player_id]:[player_name]],2,0),"")</f>
        <v>Эльдар</v>
      </c>
      <c r="E1337" s="7">
        <v>0</v>
      </c>
      <c r="F1337" s="8">
        <v>0</v>
      </c>
      <c r="G1337" s="10">
        <f>SUMIFS(_teams[wins_on_date],_teams[date],_stats[[#This Row],[date]],_teams[team_number],_stats[[#This Row],[team_number]])</f>
        <v>0</v>
      </c>
      <c r="H1337" s="10">
        <f>SUMIFS(_teams[draws_on_date],_teams[date],_stats[[#This Row],[date]],_teams[team_number],_stats[[#This Row],[team_number]])</f>
        <v>0</v>
      </c>
      <c r="I1337" s="10">
        <v>1</v>
      </c>
      <c r="J1337" s="10">
        <v>0</v>
      </c>
      <c r="K1337" s="10">
        <v>6</v>
      </c>
      <c r="L1337" s="55" t="str">
        <f>VLOOKUP(_stats[[#This Row],[tournament]],tournaments_n_rules[],2,0)</f>
        <v>УПК</v>
      </c>
      <c r="M1337" s="55" t="str">
        <f>VLOOKUP(_stats[[#This Row],[tournament]],tournaments_n_rules[],3,0)</f>
        <v>Весна 2026</v>
      </c>
      <c r="N1337" s="56">
        <f>VLOOKUP(_stats[[#This Row],[tournament]],tournaments_n_rules[],4,0)</f>
        <v>46082</v>
      </c>
      <c r="O1337" s="56">
        <f>VLOOKUP(_stats[[#This Row],[tournament]],tournaments_n_rules[],5,0)</f>
        <v>46173</v>
      </c>
    </row>
    <row r="1338" spans="1:15" x14ac:dyDescent="0.25">
      <c r="A1338" s="6">
        <v>46173</v>
      </c>
      <c r="B1338" s="7">
        <v>1</v>
      </c>
      <c r="C1338" s="7" t="s">
        <v>186</v>
      </c>
      <c r="D1338" s="10" t="str">
        <f>IFERROR(VLOOKUP(_stats[[#This Row],[player_id]],_players[[player_id]:[player_name]],2,0),"")</f>
        <v>Анар</v>
      </c>
      <c r="E1338" s="7">
        <v>3</v>
      </c>
      <c r="F1338" s="8">
        <v>0</v>
      </c>
      <c r="G1338" s="10">
        <f>SUMIFS(_teams[wins_on_date],_teams[date],_stats[[#This Row],[date]],_teams[team_number],_stats[[#This Row],[team_number]])</f>
        <v>4</v>
      </c>
      <c r="H1338" s="10">
        <f>SUMIFS(_teams[draws_on_date],_teams[date],_stats[[#This Row],[date]],_teams[team_number],_stats[[#This Row],[team_number]])</f>
        <v>3</v>
      </c>
      <c r="I1338" s="10">
        <v>0</v>
      </c>
      <c r="J1338" s="10">
        <v>0</v>
      </c>
      <c r="K1338" s="10">
        <v>6</v>
      </c>
      <c r="L1338" s="55" t="str">
        <f>VLOOKUP(_stats[[#This Row],[tournament]],tournaments_n_rules[],2,0)</f>
        <v>УПК</v>
      </c>
      <c r="M1338" s="55" t="str">
        <f>VLOOKUP(_stats[[#This Row],[tournament]],tournaments_n_rules[],3,0)</f>
        <v>Весна 2026</v>
      </c>
      <c r="N1338" s="56">
        <f>VLOOKUP(_stats[[#This Row],[tournament]],tournaments_n_rules[],4,0)</f>
        <v>46082</v>
      </c>
      <c r="O1338" s="56">
        <f>VLOOKUP(_stats[[#This Row],[tournament]],tournaments_n_rules[],5,0)</f>
        <v>46173</v>
      </c>
    </row>
  </sheetData>
  <phoneticPr fontId="6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187"/>
  <sheetViews>
    <sheetView topLeftCell="A155" workbookViewId="0">
      <selection activeCell="E185" sqref="E185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4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  <row r="181" spans="1:9" x14ac:dyDescent="0.25">
      <c r="A181" s="13">
        <v>46170</v>
      </c>
      <c r="B181" s="7">
        <v>1</v>
      </c>
      <c r="C181" s="8">
        <v>6</v>
      </c>
      <c r="D181" s="8">
        <v>4</v>
      </c>
      <c r="E181" s="7">
        <v>6</v>
      </c>
      <c r="F181" s="55" t="str">
        <f>VLOOKUP(_teams[[#This Row],[tournament]],tournaments_n_rules[],2,0)</f>
        <v>УПК</v>
      </c>
      <c r="G181" s="55" t="str">
        <f>VLOOKUP(_teams[[#This Row],[tournament]],tournaments_n_rules[],3,0)</f>
        <v>Весна 2026</v>
      </c>
      <c r="H181" s="56">
        <f>VLOOKUP(_teams[[#This Row],[tournament]],tournaments_n_rules[],4,0)</f>
        <v>46082</v>
      </c>
      <c r="I181" s="56">
        <f>VLOOKUP(_teams[[#This Row],[tournament]],tournaments_n_rules[],5,0)</f>
        <v>46173</v>
      </c>
    </row>
    <row r="182" spans="1:9" x14ac:dyDescent="0.25">
      <c r="A182" s="13">
        <v>46170</v>
      </c>
      <c r="B182" s="7">
        <v>2</v>
      </c>
      <c r="C182" s="8">
        <v>2</v>
      </c>
      <c r="D182" s="8">
        <v>4</v>
      </c>
      <c r="E182" s="7">
        <v>6</v>
      </c>
      <c r="F182" s="55" t="str">
        <f>VLOOKUP(_teams[[#This Row],[tournament]],tournaments_n_rules[],2,0)</f>
        <v>УПК</v>
      </c>
      <c r="G182" s="55" t="str">
        <f>VLOOKUP(_teams[[#This Row],[tournament]],tournaments_n_rules[],3,0)</f>
        <v>Весна 2026</v>
      </c>
      <c r="H182" s="56">
        <f>VLOOKUP(_teams[[#This Row],[tournament]],tournaments_n_rules[],4,0)</f>
        <v>46082</v>
      </c>
      <c r="I182" s="56">
        <f>VLOOKUP(_teams[[#This Row],[tournament]],tournaments_n_rules[],5,0)</f>
        <v>46173</v>
      </c>
    </row>
    <row r="183" spans="1:9" x14ac:dyDescent="0.25">
      <c r="A183" s="13">
        <v>46170</v>
      </c>
      <c r="B183" s="7">
        <v>3</v>
      </c>
      <c r="C183" s="8">
        <v>4</v>
      </c>
      <c r="D183" s="8">
        <v>2</v>
      </c>
      <c r="E183" s="7">
        <v>6</v>
      </c>
      <c r="F183" s="55" t="str">
        <f>VLOOKUP(_teams[[#This Row],[tournament]],tournaments_n_rules[],2,0)</f>
        <v>УПК</v>
      </c>
      <c r="G183" s="55" t="str">
        <f>VLOOKUP(_teams[[#This Row],[tournament]],tournaments_n_rules[],3,0)</f>
        <v>Весна 2026</v>
      </c>
      <c r="H183" s="56">
        <f>VLOOKUP(_teams[[#This Row],[tournament]],tournaments_n_rules[],4,0)</f>
        <v>46082</v>
      </c>
      <c r="I183" s="56">
        <f>VLOOKUP(_teams[[#This Row],[tournament]],tournaments_n_rules[],5,0)</f>
        <v>46173</v>
      </c>
    </row>
    <row r="184" spans="1:9" x14ac:dyDescent="0.25">
      <c r="A184" s="13">
        <v>46173</v>
      </c>
      <c r="B184" s="7">
        <v>1</v>
      </c>
      <c r="C184" s="8">
        <v>4</v>
      </c>
      <c r="D184" s="8">
        <v>3</v>
      </c>
      <c r="E184" s="7">
        <v>6</v>
      </c>
      <c r="F184" s="55" t="str">
        <f>VLOOKUP(_teams[[#This Row],[tournament]],tournaments_n_rules[],2,0)</f>
        <v>УПК</v>
      </c>
      <c r="G184" s="55" t="str">
        <f>VLOOKUP(_teams[[#This Row],[tournament]],tournaments_n_rules[],3,0)</f>
        <v>Весна 2026</v>
      </c>
      <c r="H184" s="56">
        <f>VLOOKUP(_teams[[#This Row],[tournament]],tournaments_n_rules[],4,0)</f>
        <v>46082</v>
      </c>
      <c r="I184" s="56">
        <f>VLOOKUP(_teams[[#This Row],[tournament]],tournaments_n_rules[],5,0)</f>
        <v>46173</v>
      </c>
    </row>
    <row r="185" spans="1:9" x14ac:dyDescent="0.25">
      <c r="A185" s="13">
        <v>46173</v>
      </c>
      <c r="B185" s="7">
        <v>2</v>
      </c>
      <c r="C185" s="8">
        <v>1</v>
      </c>
      <c r="D185" s="8">
        <v>2</v>
      </c>
      <c r="E185" s="7">
        <v>6</v>
      </c>
      <c r="F185" s="55" t="str">
        <f>VLOOKUP(_teams[[#This Row],[tournament]],tournaments_n_rules[],2,0)</f>
        <v>УПК</v>
      </c>
      <c r="G185" s="55" t="str">
        <f>VLOOKUP(_teams[[#This Row],[tournament]],tournaments_n_rules[],3,0)</f>
        <v>Весна 2026</v>
      </c>
      <c r="H185" s="56">
        <f>VLOOKUP(_teams[[#This Row],[tournament]],tournaments_n_rules[],4,0)</f>
        <v>46082</v>
      </c>
      <c r="I185" s="56">
        <f>VLOOKUP(_teams[[#This Row],[tournament]],tournaments_n_rules[],5,0)</f>
        <v>46173</v>
      </c>
    </row>
    <row r="186" spans="1:9" x14ac:dyDescent="0.25">
      <c r="A186" s="13">
        <v>46173</v>
      </c>
      <c r="B186" s="7">
        <v>3</v>
      </c>
      <c r="C186" s="8">
        <v>0</v>
      </c>
      <c r="D186" s="8">
        <v>4</v>
      </c>
      <c r="E186" s="7">
        <v>6</v>
      </c>
      <c r="F186" s="55" t="str">
        <f>VLOOKUP(_teams[[#This Row],[tournament]],tournaments_n_rules[],2,0)</f>
        <v>УПК</v>
      </c>
      <c r="G186" s="55" t="str">
        <f>VLOOKUP(_teams[[#This Row],[tournament]],tournaments_n_rules[],3,0)</f>
        <v>Весна 2026</v>
      </c>
      <c r="H186" s="56">
        <f>VLOOKUP(_teams[[#This Row],[tournament]],tournaments_n_rules[],4,0)</f>
        <v>46082</v>
      </c>
      <c r="I186" s="56">
        <f>VLOOKUP(_teams[[#This Row],[tournament]],tournaments_n_rules[],5,0)</f>
        <v>46173</v>
      </c>
    </row>
    <row r="187" spans="1:9" x14ac:dyDescent="0.25">
      <c r="A187" s="13">
        <v>46173</v>
      </c>
      <c r="B187" s="7">
        <v>4</v>
      </c>
      <c r="C187" s="8">
        <v>3</v>
      </c>
      <c r="D187" s="8">
        <v>3</v>
      </c>
      <c r="E187" s="7">
        <v>6</v>
      </c>
      <c r="F187" s="55" t="str">
        <f>VLOOKUP(_teams[[#This Row],[tournament]],tournaments_n_rules[],2,0)</f>
        <v>УПК</v>
      </c>
      <c r="G187" s="55" t="str">
        <f>VLOOKUP(_teams[[#This Row],[tournament]],tournaments_n_rules[],3,0)</f>
        <v>Весна 2026</v>
      </c>
      <c r="H187" s="56">
        <f>VLOOKUP(_teams[[#This Row],[tournament]],tournaments_n_rules[],4,0)</f>
        <v>46082</v>
      </c>
      <c r="I187" s="56">
        <f>VLOOKUP(_teams[[#This Row],[tournament]],tournaments_n_rules[],5,0)</f>
        <v>46173</v>
      </c>
    </row>
  </sheetData>
  <dataValidations count="1">
    <dataValidation type="list" allowBlank="1" showInputMessage="1" showErrorMessage="1" sqref="B2:B187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7"/>
  <sheetViews>
    <sheetView tabSelected="1" workbookViewId="0">
      <selection activeCell="B12" sqref="B12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2026-05-31T13:23:38Z</dcterms:modified>
</cp:coreProperties>
</file>