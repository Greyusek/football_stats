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A5342B08-DAFF-46BA-8D6F-6996787602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73" i="2" l="1"/>
  <c r="G1473" i="2"/>
  <c r="H1473" i="2"/>
  <c r="L1473" i="2"/>
  <c r="M1473" i="2"/>
  <c r="N1473" i="2"/>
  <c r="O1473" i="2"/>
  <c r="C177" i="1"/>
  <c r="D177" i="1"/>
  <c r="G177" i="1"/>
  <c r="C176" i="1"/>
  <c r="D176" i="1"/>
  <c r="G176" i="1"/>
  <c r="C175" i="1"/>
  <c r="D175" i="1"/>
  <c r="F175" i="1"/>
  <c r="G175" i="1"/>
  <c r="D1472" i="2"/>
  <c r="G1472" i="2"/>
  <c r="H1472" i="2"/>
  <c r="L1472" i="2"/>
  <c r="M1472" i="2"/>
  <c r="N1472" i="2"/>
  <c r="O1472" i="2"/>
  <c r="D1471" i="2"/>
  <c r="G1471" i="2"/>
  <c r="H1471" i="2"/>
  <c r="L1471" i="2"/>
  <c r="M1471" i="2"/>
  <c r="N1471" i="2"/>
  <c r="O1471" i="2"/>
  <c r="D1470" i="2"/>
  <c r="G1470" i="2"/>
  <c r="E173" i="1" s="1"/>
  <c r="H1470" i="2"/>
  <c r="F173" i="1" s="1"/>
  <c r="L1470" i="2"/>
  <c r="M1470" i="2"/>
  <c r="N1470" i="2"/>
  <c r="O1470" i="2"/>
  <c r="D1469" i="2"/>
  <c r="G1469" i="2"/>
  <c r="H1469" i="2"/>
  <c r="L1469" i="2"/>
  <c r="M1469" i="2"/>
  <c r="N1469" i="2"/>
  <c r="O1469" i="2"/>
  <c r="D1468" i="2"/>
  <c r="G1468" i="2"/>
  <c r="H1468" i="2"/>
  <c r="L1468" i="2"/>
  <c r="M1468" i="2"/>
  <c r="N1468" i="2"/>
  <c r="O1468" i="2"/>
  <c r="D1467" i="2"/>
  <c r="G1467" i="2"/>
  <c r="H1467" i="2"/>
  <c r="L1467" i="2"/>
  <c r="M1467" i="2"/>
  <c r="N1467" i="2"/>
  <c r="O1467" i="2"/>
  <c r="D1466" i="2"/>
  <c r="G1466" i="2"/>
  <c r="E169" i="1" s="1"/>
  <c r="H1466" i="2"/>
  <c r="L1466" i="2"/>
  <c r="M1466" i="2"/>
  <c r="N1466" i="2"/>
  <c r="O1466" i="2"/>
  <c r="D1465" i="2"/>
  <c r="G1465" i="2"/>
  <c r="H1465" i="2"/>
  <c r="L1465" i="2"/>
  <c r="M1465" i="2"/>
  <c r="N1465" i="2"/>
  <c r="O1465" i="2"/>
  <c r="D1464" i="2"/>
  <c r="G1464" i="2"/>
  <c r="E177" i="1" s="1"/>
  <c r="H1464" i="2"/>
  <c r="F177" i="1" s="1"/>
  <c r="L1464" i="2"/>
  <c r="M1464" i="2"/>
  <c r="N1464" i="2"/>
  <c r="O1464" i="2"/>
  <c r="D1463" i="2"/>
  <c r="G1463" i="2"/>
  <c r="E176" i="1" s="1"/>
  <c r="H1463" i="2"/>
  <c r="F176" i="1" s="1"/>
  <c r="L1463" i="2"/>
  <c r="M1463" i="2"/>
  <c r="N1463" i="2"/>
  <c r="O1463" i="2"/>
  <c r="D1462" i="2"/>
  <c r="G1462" i="2"/>
  <c r="E175" i="1" s="1"/>
  <c r="H1462" i="2"/>
  <c r="L1462" i="2"/>
  <c r="M1462" i="2"/>
  <c r="N1462" i="2"/>
  <c r="O1462" i="2"/>
  <c r="D1461" i="2"/>
  <c r="G1461" i="2"/>
  <c r="H1461" i="2"/>
  <c r="L1461" i="2"/>
  <c r="M1461" i="2"/>
  <c r="N1461" i="2"/>
  <c r="O1461" i="2"/>
  <c r="D1460" i="2"/>
  <c r="G1460" i="2"/>
  <c r="H1460" i="2"/>
  <c r="L1460" i="2"/>
  <c r="M1460" i="2"/>
  <c r="N1460" i="2"/>
  <c r="O1460" i="2"/>
  <c r="D1459" i="2"/>
  <c r="G1459" i="2"/>
  <c r="H1459" i="2"/>
  <c r="L1459" i="2"/>
  <c r="M1459" i="2"/>
  <c r="N1459" i="2"/>
  <c r="O1459" i="2"/>
  <c r="D1458" i="2"/>
  <c r="G1458" i="2"/>
  <c r="H1458" i="2"/>
  <c r="L1458" i="2"/>
  <c r="M1458" i="2"/>
  <c r="N1458" i="2"/>
  <c r="O1458" i="2"/>
  <c r="D1457" i="2"/>
  <c r="G1457" i="2"/>
  <c r="H1457" i="2"/>
  <c r="L1457" i="2"/>
  <c r="M1457" i="2"/>
  <c r="N1457" i="2"/>
  <c r="O1457" i="2"/>
  <c r="D1456" i="2"/>
  <c r="G1456" i="2"/>
  <c r="H1456" i="2"/>
  <c r="L1456" i="2"/>
  <c r="M1456" i="2"/>
  <c r="N1456" i="2"/>
  <c r="O1456" i="2"/>
  <c r="D1455" i="2"/>
  <c r="G1455" i="2"/>
  <c r="H1455" i="2"/>
  <c r="L1455" i="2"/>
  <c r="M1455" i="2"/>
  <c r="N1455" i="2"/>
  <c r="O1455" i="2"/>
  <c r="D1454" i="2"/>
  <c r="G1454" i="2"/>
  <c r="H1454" i="2"/>
  <c r="L1454" i="2"/>
  <c r="M1454" i="2"/>
  <c r="N1454" i="2"/>
  <c r="O1454" i="2"/>
  <c r="D1453" i="2"/>
  <c r="G1453" i="2"/>
  <c r="H1453" i="2"/>
  <c r="L1453" i="2"/>
  <c r="M1453" i="2"/>
  <c r="N1453" i="2"/>
  <c r="O1453" i="2"/>
  <c r="D1452" i="2"/>
  <c r="G1452" i="2"/>
  <c r="H1452" i="2"/>
  <c r="L1452" i="2"/>
  <c r="M1452" i="2"/>
  <c r="N1452" i="2"/>
  <c r="O1452" i="2"/>
  <c r="D1451" i="2"/>
  <c r="G1451" i="2"/>
  <c r="H1451" i="2"/>
  <c r="L1451" i="2"/>
  <c r="M1451" i="2"/>
  <c r="N1451" i="2"/>
  <c r="O1451" i="2"/>
  <c r="D1450" i="2"/>
  <c r="G1450" i="2"/>
  <c r="H1450" i="2"/>
  <c r="L1450" i="2"/>
  <c r="M1450" i="2"/>
  <c r="N1450" i="2"/>
  <c r="O1450" i="2"/>
  <c r="D1449" i="2"/>
  <c r="G1449" i="2"/>
  <c r="H1449" i="2"/>
  <c r="L1449" i="2"/>
  <c r="M1449" i="2"/>
  <c r="N1449" i="2"/>
  <c r="O1449" i="2"/>
  <c r="D1448" i="2"/>
  <c r="G1448" i="2"/>
  <c r="H1448" i="2"/>
  <c r="L1448" i="2"/>
  <c r="M1448" i="2"/>
  <c r="N1448" i="2"/>
  <c r="O1448" i="2"/>
  <c r="D1447" i="2"/>
  <c r="G1447" i="2"/>
  <c r="H1447" i="2"/>
  <c r="L1447" i="2"/>
  <c r="M1447" i="2"/>
  <c r="N1447" i="2"/>
  <c r="O1447" i="2"/>
  <c r="D1446" i="2"/>
  <c r="G1446" i="2"/>
  <c r="H1446" i="2"/>
  <c r="L1446" i="2"/>
  <c r="M1446" i="2"/>
  <c r="N1446" i="2"/>
  <c r="O1446" i="2"/>
  <c r="D1445" i="2"/>
  <c r="G1445" i="2"/>
  <c r="H1445" i="2"/>
  <c r="L1445" i="2"/>
  <c r="M1445" i="2"/>
  <c r="N1445" i="2"/>
  <c r="O1445" i="2"/>
  <c r="D1444" i="2"/>
  <c r="G1444" i="2"/>
  <c r="H1444" i="2"/>
  <c r="L1444" i="2"/>
  <c r="M1444" i="2"/>
  <c r="N1444" i="2"/>
  <c r="O1444" i="2"/>
  <c r="D1443" i="2"/>
  <c r="G1443" i="2"/>
  <c r="H1443" i="2"/>
  <c r="L1443" i="2"/>
  <c r="M1443" i="2"/>
  <c r="N1443" i="2"/>
  <c r="O1443" i="2"/>
  <c r="D1442" i="2"/>
  <c r="G1442" i="2"/>
  <c r="H1442" i="2"/>
  <c r="L1442" i="2"/>
  <c r="M1442" i="2"/>
  <c r="N1442" i="2"/>
  <c r="O1442" i="2"/>
  <c r="D1441" i="2"/>
  <c r="G1441" i="2"/>
  <c r="H1441" i="2"/>
  <c r="L1441" i="2"/>
  <c r="M1441" i="2"/>
  <c r="N1441" i="2"/>
  <c r="O1441" i="2"/>
  <c r="D1440" i="2"/>
  <c r="G1440" i="2"/>
  <c r="H1440" i="2"/>
  <c r="L1440" i="2"/>
  <c r="M1440" i="2"/>
  <c r="N1440" i="2"/>
  <c r="O1440" i="2"/>
  <c r="D1439" i="2"/>
  <c r="G1439" i="2"/>
  <c r="H1439" i="2"/>
  <c r="L1439" i="2"/>
  <c r="M1439" i="2"/>
  <c r="N1439" i="2"/>
  <c r="O1439" i="2"/>
  <c r="D1438" i="2"/>
  <c r="G1438" i="2"/>
  <c r="H1438" i="2"/>
  <c r="L1438" i="2"/>
  <c r="M1438" i="2"/>
  <c r="N1438" i="2"/>
  <c r="O1438" i="2"/>
  <c r="D1437" i="2"/>
  <c r="G1437" i="2"/>
  <c r="H1437" i="2"/>
  <c r="L1437" i="2"/>
  <c r="M1437" i="2"/>
  <c r="N1437" i="2"/>
  <c r="O1437" i="2"/>
  <c r="C174" i="1"/>
  <c r="D174" i="1"/>
  <c r="E174" i="1"/>
  <c r="F174" i="1"/>
  <c r="G174" i="1"/>
  <c r="C173" i="1"/>
  <c r="D173" i="1"/>
  <c r="G173" i="1"/>
  <c r="C172" i="1"/>
  <c r="D172" i="1"/>
  <c r="E172" i="1"/>
  <c r="F172" i="1"/>
  <c r="G172" i="1"/>
  <c r="C171" i="1"/>
  <c r="D171" i="1"/>
  <c r="E171" i="1"/>
  <c r="F171" i="1"/>
  <c r="G171" i="1"/>
  <c r="C170" i="1"/>
  <c r="D170" i="1"/>
  <c r="E170" i="1"/>
  <c r="F170" i="1"/>
  <c r="G170" i="1"/>
  <c r="C169" i="1"/>
  <c r="D169" i="1"/>
  <c r="F169" i="1"/>
  <c r="G169" i="1"/>
  <c r="C168" i="1"/>
  <c r="D168" i="1"/>
  <c r="E168" i="1"/>
  <c r="F168" i="1"/>
  <c r="G168" i="1"/>
  <c r="C167" i="1"/>
  <c r="D167" i="1"/>
  <c r="E167" i="1"/>
  <c r="F167" i="1"/>
  <c r="G167" i="1"/>
  <c r="C166" i="1"/>
  <c r="D166" i="1"/>
  <c r="E166" i="1"/>
  <c r="F166" i="1"/>
  <c r="G166" i="1"/>
  <c r="C165" i="1"/>
  <c r="D165" i="1"/>
  <c r="E165" i="1"/>
  <c r="F165" i="1"/>
  <c r="G165" i="1"/>
  <c r="C164" i="1"/>
  <c r="D164" i="1"/>
  <c r="E164" i="1"/>
  <c r="F164" i="1"/>
  <c r="G164" i="1"/>
  <c r="C163" i="1"/>
  <c r="D163" i="1"/>
  <c r="E163" i="1"/>
  <c r="F163" i="1"/>
  <c r="G163" i="1"/>
  <c r="F205" i="3"/>
  <c r="G205" i="3"/>
  <c r="H205" i="3"/>
  <c r="I205" i="3"/>
  <c r="F204" i="3"/>
  <c r="G204" i="3"/>
  <c r="H204" i="3"/>
  <c r="I204" i="3"/>
  <c r="F203" i="3"/>
  <c r="G203" i="3"/>
  <c r="H203" i="3"/>
  <c r="I203" i="3"/>
  <c r="F202" i="3"/>
  <c r="G202" i="3"/>
  <c r="H202" i="3"/>
  <c r="I202" i="3"/>
  <c r="F201" i="3"/>
  <c r="G201" i="3"/>
  <c r="H201" i="3"/>
  <c r="I201" i="3"/>
  <c r="D1436" i="2"/>
  <c r="G1436" i="2"/>
  <c r="H1436" i="2"/>
  <c r="L1436" i="2"/>
  <c r="M1436" i="2"/>
  <c r="N1436" i="2"/>
  <c r="O1436" i="2"/>
  <c r="D1435" i="2"/>
  <c r="G1435" i="2"/>
  <c r="H1435" i="2"/>
  <c r="L1435" i="2"/>
  <c r="M1435" i="2"/>
  <c r="N1435" i="2"/>
  <c r="O1435" i="2"/>
  <c r="D1434" i="2"/>
  <c r="G1434" i="2"/>
  <c r="H1434" i="2"/>
  <c r="L1434" i="2"/>
  <c r="M1434" i="2"/>
  <c r="N1434" i="2"/>
  <c r="O1434" i="2"/>
  <c r="D1433" i="2"/>
  <c r="G1433" i="2"/>
  <c r="H1433" i="2"/>
  <c r="L1433" i="2"/>
  <c r="M1433" i="2"/>
  <c r="N1433" i="2"/>
  <c r="O1433" i="2"/>
  <c r="D1432" i="2"/>
  <c r="G1432" i="2"/>
  <c r="H1432" i="2"/>
  <c r="L1432" i="2"/>
  <c r="M1432" i="2"/>
  <c r="N1432" i="2"/>
  <c r="O1432" i="2"/>
  <c r="D1431" i="2"/>
  <c r="G1431" i="2"/>
  <c r="H1431" i="2"/>
  <c r="L1431" i="2"/>
  <c r="M1431" i="2"/>
  <c r="N1431" i="2"/>
  <c r="O1431" i="2"/>
  <c r="D1430" i="2"/>
  <c r="G1430" i="2"/>
  <c r="H1430" i="2"/>
  <c r="L1430" i="2"/>
  <c r="M1430" i="2"/>
  <c r="N1430" i="2"/>
  <c r="O1430" i="2"/>
  <c r="D1429" i="2"/>
  <c r="G1429" i="2"/>
  <c r="H1429" i="2"/>
  <c r="L1429" i="2"/>
  <c r="M1429" i="2"/>
  <c r="N1429" i="2"/>
  <c r="O1429" i="2"/>
  <c r="D1428" i="2"/>
  <c r="G1428" i="2"/>
  <c r="H1428" i="2"/>
  <c r="L1428" i="2"/>
  <c r="M1428" i="2"/>
  <c r="N1428" i="2"/>
  <c r="O1428" i="2"/>
  <c r="D1427" i="2"/>
  <c r="G1427" i="2"/>
  <c r="H1427" i="2"/>
  <c r="L1427" i="2"/>
  <c r="M1427" i="2"/>
  <c r="N1427" i="2"/>
  <c r="O1427" i="2"/>
  <c r="D1426" i="2"/>
  <c r="G1426" i="2"/>
  <c r="H1426" i="2"/>
  <c r="L1426" i="2"/>
  <c r="M1426" i="2"/>
  <c r="N1426" i="2"/>
  <c r="O1426" i="2"/>
  <c r="D1425" i="2"/>
  <c r="G1425" i="2"/>
  <c r="H1425" i="2"/>
  <c r="L1425" i="2"/>
  <c r="M1425" i="2"/>
  <c r="N1425" i="2"/>
  <c r="O1425" i="2"/>
  <c r="D1424" i="2"/>
  <c r="G1424" i="2"/>
  <c r="H1424" i="2"/>
  <c r="L1424" i="2"/>
  <c r="M1424" i="2"/>
  <c r="N1424" i="2"/>
  <c r="O1424" i="2"/>
  <c r="D1423" i="2"/>
  <c r="G1423" i="2"/>
  <c r="H1423" i="2"/>
  <c r="L1423" i="2"/>
  <c r="M1423" i="2"/>
  <c r="N1423" i="2"/>
  <c r="O1423" i="2"/>
  <c r="D1422" i="2"/>
  <c r="G1422" i="2"/>
  <c r="H1422" i="2"/>
  <c r="L1422" i="2"/>
  <c r="M1422" i="2"/>
  <c r="N1422" i="2"/>
  <c r="O1422" i="2"/>
  <c r="D1421" i="2"/>
  <c r="G1421" i="2"/>
  <c r="H1421" i="2"/>
  <c r="L1421" i="2"/>
  <c r="M1421" i="2"/>
  <c r="N1421" i="2"/>
  <c r="O1421" i="2"/>
  <c r="D1420" i="2"/>
  <c r="G1420" i="2"/>
  <c r="H1420" i="2"/>
  <c r="L1420" i="2"/>
  <c r="M1420" i="2"/>
  <c r="N1420" i="2"/>
  <c r="O1420" i="2"/>
  <c r="D1419" i="2"/>
  <c r="G1419" i="2"/>
  <c r="H1419" i="2"/>
  <c r="L1419" i="2"/>
  <c r="M1419" i="2"/>
  <c r="N1419" i="2"/>
  <c r="O1419" i="2"/>
  <c r="D1418" i="2"/>
  <c r="G1418" i="2"/>
  <c r="H1418" i="2"/>
  <c r="L1418" i="2"/>
  <c r="M1418" i="2"/>
  <c r="N1418" i="2"/>
  <c r="O1418" i="2"/>
  <c r="D1417" i="2"/>
  <c r="G1417" i="2"/>
  <c r="H1417" i="2"/>
  <c r="L1417" i="2"/>
  <c r="M1417" i="2"/>
  <c r="N1417" i="2"/>
  <c r="O1417" i="2"/>
  <c r="D1416" i="2"/>
  <c r="G1416" i="2"/>
  <c r="H1416" i="2"/>
  <c r="L1416" i="2"/>
  <c r="M1416" i="2"/>
  <c r="N1416" i="2"/>
  <c r="O1416" i="2"/>
  <c r="D1415" i="2"/>
  <c r="G1415" i="2"/>
  <c r="H1415" i="2"/>
  <c r="L1415" i="2"/>
  <c r="M1415" i="2"/>
  <c r="N1415" i="2"/>
  <c r="O1415" i="2"/>
  <c r="F200" i="3"/>
  <c r="G200" i="3"/>
  <c r="H200" i="3"/>
  <c r="I200" i="3"/>
  <c r="F199" i="3"/>
  <c r="G199" i="3"/>
  <c r="H199" i="3"/>
  <c r="I199" i="3"/>
  <c r="F198" i="3"/>
  <c r="G198" i="3"/>
  <c r="H198" i="3"/>
  <c r="I198" i="3"/>
  <c r="D1414" i="2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E162" i="1" s="1"/>
  <c r="H1407" i="2"/>
  <c r="F162" i="1" s="1"/>
  <c r="L1407" i="2"/>
  <c r="M1407" i="2"/>
  <c r="N1407" i="2"/>
  <c r="O1407" i="2"/>
  <c r="D1406" i="2"/>
  <c r="G1406" i="2"/>
  <c r="E161" i="1" s="1"/>
  <c r="H1406" i="2"/>
  <c r="F161" i="1" s="1"/>
  <c r="L1406" i="2"/>
  <c r="M1406" i="2"/>
  <c r="N1406" i="2"/>
  <c r="O1406" i="2"/>
  <c r="D1405" i="2"/>
  <c r="G1405" i="2"/>
  <c r="E160" i="1" s="1"/>
  <c r="H1405" i="2"/>
  <c r="F160" i="1" s="1"/>
  <c r="L1405" i="2"/>
  <c r="M1405" i="2"/>
  <c r="N1405" i="2"/>
  <c r="O1405" i="2"/>
  <c r="D1404" i="2"/>
  <c r="G1404" i="2"/>
  <c r="E159" i="1" s="1"/>
  <c r="H1404" i="2"/>
  <c r="F159" i="1" s="1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G162" i="1"/>
  <c r="C161" i="1"/>
  <c r="D161" i="1"/>
  <c r="G161" i="1"/>
  <c r="C160" i="1"/>
  <c r="D160" i="1"/>
  <c r="G160" i="1"/>
  <c r="C159" i="1"/>
  <c r="D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H1355" i="2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51" i="1" l="1"/>
  <c r="E151" i="1"/>
  <c r="E152" i="1"/>
  <c r="F152" i="1"/>
  <c r="F130" i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<sst xmlns="http://schemas.openxmlformats.org/spreadsheetml/2006/main" count="1880" uniqueCount="216">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</sst>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77" totalsRowShown="0" headerRowDxfId="10" headerRowBorderDxfId="8" tableBorderDxfId="9" totalsRowBorderDxfId="7">
  <autoFilter ref="A1:G177" xr:uid="{CC58E8C5-7B8B-42F7-9BFF-85AAC284233D}"/>
  <tableColumns count="7">
    <tableColumn id="1" xr3:uid="{72D5507B-3E56-45F9-949A-1B810B89614D}" name="player_id" dataDxfId="6"/>
    <tableColumn id="2" xr3:uid="{9B600E03-F10C-49A9-BD9C-050BEA58FF6E}" name="player_name" dataDxfId="5"/>
    <tableColumn id="3" xr3:uid="{8F857898-2667-4829-90AD-3A28B8E44AF3}" name="goals" dataDxfId="4">
      <calculatedColumnFormula>SUMIFS(_stats[goals_on_date],_stats[player_id],_players[[#This Row],[player_id]])</calculatedColumnFormula>
    </tableColumn>
    <tableColumn id="4" xr3:uid="{81B9F6B2-D5CC-4D13-9EE3-73B39091AD58}" name="assists" dataDxfId="3">
      <calculatedColumnFormula>SUMIFS(_stats[assists_on_date],_stats[player_id],_players[[#This Row],[player_id]])</calculatedColumnFormula>
    </tableColumn>
    <tableColumn id="5" xr3:uid="{1C26950D-761D-4C94-B228-1824773DE1A0}" name="wins" dataDxfId="2">
      <calculatedColumnFormula>SUMIFS(_stats[wins_on_date],_stats[player_id],_players[[#This Row],[player_id]])</calculatedColumnFormula>
    </tableColumn>
    <tableColumn id="7" xr3:uid="{7B92C955-C277-4BCF-B8AB-BC8A08DD3F98}" name="draws" dataDxfId="1">
      <calculatedColumnFormula>SUMIFS(_stats[draws_on_date],_stats[player_id],_players[[#This Row],[player_id]])</calculatedColumnFormula>
    </tableColumn>
    <tableColumn id="8" xr3:uid="{83A39928-DADF-478C-8EEB-8BB7EDD9B3F6}" name="foul" dataDxfId="0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473" totalsRowShown="0" headerRowDxfId="59" dataDxfId="57" headerRowBorderDxfId="58" tableBorderDxfId="56" totalsRowBorderDxfId="55">
  <autoFilter ref="A1:O1473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54"/>
    <tableColumn id="2" xr3:uid="{686C940A-87F8-43A1-ADFF-9CF607E801B5}" name="team_number" dataDxfId="53"/>
    <tableColumn id="3" xr3:uid="{1C13D6CA-8B0C-4849-B32C-A77EF9C52B42}" name="player_id" dataDxfId="52"/>
    <tableColumn id="4" xr3:uid="{C2384479-71AA-40DA-A7B2-E30ECBA1AF99}" name="player_name" dataDxfId="51">
      <calculatedColumnFormula>IFERROR(VLOOKUP(_stats[[#This Row],[player_id]],_players[[player_id]:[player_name]],2,0),"")</calculatedColumnFormula>
    </tableColumn>
    <tableColumn id="5" xr3:uid="{09AE1D8B-DCB8-4F87-ABB5-372822B0D6BF}" name="goals_on_date" dataDxfId="50"/>
    <tableColumn id="6" xr3:uid="{7FD24496-81EB-47BB-8B89-26AB97C686CA}" name="assists_on_date" dataDxfId="49"/>
    <tableColumn id="7" xr3:uid="{39F202A0-49EF-45EE-9054-882F18FBDF31}" name="wins_on_date" dataDxfId="48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47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46"/>
    <tableColumn id="11" xr3:uid="{F63E3F90-CE47-4270-AB10-578EF27B95D4}" name="foul_on_date" dataDxfId="45"/>
    <tableColumn id="10" xr3:uid="{60255463-9C5A-4356-83C8-4B8F5C0D84CC}" name="tournament" dataDxfId="44"/>
    <tableColumn id="15" xr3:uid="{7F376ADC-280C-4F2A-9A32-E1868B930ACF}" name="check_tournament_name" dataDxfId="43">
      <calculatedColumnFormula>VLOOKUP(_stats[[#This Row],[tournament]],tournaments_n_rules[],2,0)</calculatedColumnFormula>
    </tableColumn>
    <tableColumn id="16" xr3:uid="{FD462710-B233-41D3-A7F4-D0A7C67E8BD7}" name="check_tournament_season" dataDxfId="42">
      <calculatedColumnFormula>VLOOKUP(_stats[[#This Row],[tournament]],tournaments_n_rules[],3,0)</calculatedColumnFormula>
    </tableColumn>
    <tableColumn id="17" xr3:uid="{FC392FCF-0703-4BAE-A849-B5A17D89FC21}" name="check_tournament_start" dataDxfId="41">
      <calculatedColumnFormula>VLOOKUP(_stats[[#This Row],[tournament]],tournaments_n_rules[],4,0)</calculatedColumnFormula>
    </tableColumn>
    <tableColumn id="18" xr3:uid="{27C989FF-B801-496B-AC34-686429C3CF2E}" name="check_tournament_stop" dataDxfId="40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205" totalsRowShown="0" headerRowDxfId="39" dataDxfId="37" headerRowBorderDxfId="38" tableBorderDxfId="36" totalsRowBorderDxfId="35">
  <autoFilter ref="A1:I205" xr:uid="{B6423DC2-EC3F-4914-9E08-BC4E7C6626C9}"/>
  <tableColumns count="9">
    <tableColumn id="1" xr3:uid="{92BE0DCE-EF0C-43B2-937D-640EBFF087A6}" name="date" dataDxfId="34"/>
    <tableColumn id="2" xr3:uid="{B497FB59-180E-4B72-9ECD-E25C88173489}" name="team_number" dataDxfId="33"/>
    <tableColumn id="3" xr3:uid="{02A8A062-9D85-4980-948F-E89B2B2D08DF}" name="wins_on_date" dataDxfId="32"/>
    <tableColumn id="4" xr3:uid="{E0D3B2C4-0D10-4724-9583-EAA87E6A8BF5}" name="draws_on_date" dataDxfId="31"/>
    <tableColumn id="5" xr3:uid="{767C7E87-2BC0-427C-9555-EA488841AAAB}" name="tournament" dataDxfId="30"/>
    <tableColumn id="6" xr3:uid="{66D67E98-3764-4ECA-9F20-5B5D73B509B6}" name="check_tournament_name" dataDxfId="29">
      <calculatedColumnFormula>VLOOKUP(_teams[[#This Row],[tournament]],tournaments_n_rules[],2,0)</calculatedColumnFormula>
    </tableColumn>
    <tableColumn id="7" xr3:uid="{CA9C9E4C-39CD-4FED-BE6B-DC0186C66D05}" name="check_tournament_season" dataDxfId="28">
      <calculatedColumnFormula>VLOOKUP(_teams[[#This Row],[tournament]],tournaments_n_rules[],3,0)</calculatedColumnFormula>
    </tableColumn>
    <tableColumn id="8" xr3:uid="{C7ABE14A-A328-40B7-B865-90403A3A0555}" name="check_tournament_start" dataDxfId="27">
      <calculatedColumnFormula>VLOOKUP(_teams[[#This Row],[tournament]],tournaments_n_rules[],4,0)</calculatedColumnFormula>
    </tableColumn>
    <tableColumn id="9" xr3:uid="{7927A572-D944-4B6E-A2B5-383C0CB0B713}" name="check_tournament_stop" dataDxfId="26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25" headerRowBorderDxfId="24" tableBorderDxfId="23" totalsRowBorderDxfId="22">
  <autoFilter ref="A1:K8" xr:uid="{BF253B66-23E6-43E6-B434-6BE21AA4DEBC}"/>
  <tableColumns count="11">
    <tableColumn id="1" xr3:uid="{6B933049-D090-4881-8423-76EBCF6F9C40}" name="tournament_id" dataDxfId="21">
      <calculatedColumnFormula>ROW()-1</calculatedColumnFormula>
    </tableColumn>
    <tableColumn id="2" xr3:uid="{37DDB493-473B-438A-BF16-ED5571D93B2D}" name="tournament_name" dataDxfId="20"/>
    <tableColumn id="11" xr3:uid="{93E7381D-185A-4B0F-836F-832791C984B4}" name="season" dataDxfId="19"/>
    <tableColumn id="3" xr3:uid="{FAAF31D4-70DC-4EA5-875C-04AC9E3A568F}" name="start" dataDxfId="18"/>
    <tableColumn id="4" xr3:uid="{FF338632-27CE-4F49-93E5-BE847FEFCCF1}" name="end" dataDxfId="17"/>
    <tableColumn id="5" xr3:uid="{B187E53B-A67C-4710-AC44-00CC5126A08C}" name="goals_coefficient" dataDxfId="16"/>
    <tableColumn id="6" xr3:uid="{A685A3A6-3568-4BFF-BC83-901416CF1337}" name="assists_coefficient" dataDxfId="15"/>
    <tableColumn id="7" xr3:uid="{AE1B915D-DCF6-4C2F-A613-11C35813F72E}" name="wins_coefficient" dataDxfId="14"/>
    <tableColumn id="8" xr3:uid="{48B0E9A3-3641-4038-A405-0616D787B749}" name="draws_coefficient" dataDxfId="13"/>
    <tableColumn id="9" xr3:uid="{4F4FCB37-77EB-4A98-90B5-C2DEF39A70C5}" name="saves_coefficient" dataDxfId="12"/>
    <tableColumn id="10" xr3:uid="{055A30D6-329F-4585-8DE1-892A0C6A60F7}" name="foul_coefficient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77"/>
  <sheetViews>
    <sheetView tabSelected="1" topLeftCell="A136" workbookViewId="0">
      <selection activeCell="C177" sqref="C177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71</v>
      </c>
      <c r="D3" s="11">
        <f>SUMIFS(_stats[assists_on_date],_stats[player_id],_players[[#This Row],[player_id]])</f>
        <v>46</v>
      </c>
      <c r="E3" s="11">
        <f>SUMIFS(_stats[wins_on_date],_stats[player_id],_players[[#This Row],[player_id]])</f>
        <v>192</v>
      </c>
      <c r="F3" s="12">
        <f>SUMIFS(_stats[draws_on_date],_stats[player_id],_players[[#This Row],[player_id]])</f>
        <v>45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32</v>
      </c>
      <c r="E5" s="21">
        <f>SUMIFS(_stats[wins_on_date],_stats[player_id],_players[[#This Row],[player_id]])</f>
        <v>115</v>
      </c>
      <c r="F5" s="22">
        <f>SUMIFS(_stats[draws_on_date],_stats[player_id],_players[[#This Row],[player_id]])</f>
        <v>21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33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207</v>
      </c>
      <c r="F6" s="17">
        <f>SUMIFS(_stats[draws_on_date],_stats[player_id],_players[[#This Row],[player_id]])</f>
        <v>53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63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108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44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163</v>
      </c>
      <c r="F8" s="12">
        <f>SUMIFS(_stats[draws_on_date],_stats[player_id],_players[[#This Row],[player_id]])</f>
        <v>47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76</v>
      </c>
      <c r="F10" s="17">
        <f>SUMIFS(_stats[draws_on_date],_stats[player_id],_players[[#This Row],[player_id]])</f>
        <v>19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19</v>
      </c>
      <c r="D16" s="11">
        <f>SUMIFS(_stats[assists_on_date],_stats[player_id],_players[[#This Row],[player_id]])</f>
        <v>33</v>
      </c>
      <c r="E16" s="11">
        <f>SUMIFS(_stats[wins_on_date],_stats[player_id],_players[[#This Row],[player_id]])</f>
        <v>67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20</v>
      </c>
      <c r="E17" s="11">
        <f>SUMIFS(_stats[wins_on_date],_stats[player_id],_players[[#This Row],[player_id]])</f>
        <v>66</v>
      </c>
      <c r="F17" s="12">
        <f>SUMIFS(_stats[draws_on_date],_stats[player_id],_players[[#This Row],[player_id]])</f>
        <v>16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121</v>
      </c>
      <c r="F20" s="12">
        <f>SUMIFS(_stats[draws_on_date],_stats[player_id],_players[[#This Row],[player_id]])</f>
        <v>26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139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128</v>
      </c>
      <c r="F22" s="17">
        <f>SUMIFS(_stats[draws_on_date],_stats[player_id],_players[[#This Row],[player_id]])</f>
        <v>28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14</v>
      </c>
      <c r="D27" s="11">
        <f>SUMIFS(_stats[assists_on_date],_stats[player_id],_players[[#This Row],[player_id]])</f>
        <v>21</v>
      </c>
      <c r="E27" s="11">
        <f>SUMIFS(_stats[wins_on_date],_stats[player_id],_players[[#This Row],[player_id]])</f>
        <v>93</v>
      </c>
      <c r="F27" s="12">
        <f>SUMIFS(_stats[draws_on_date],_stats[player_id],_players[[#This Row],[player_id]])</f>
        <v>18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69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50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16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74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162</v>
      </c>
      <c r="F39" s="12">
        <f>SUMIFS(_stats[draws_on_date],_stats[player_id],_players[[#This Row],[player_id]])</f>
        <v>60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17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71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50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6</v>
      </c>
      <c r="E45" s="16">
        <f>SUMIFS(_stats[wins_on_date],_stats[player_id],_players[[#This Row],[player_id]])</f>
        <v>25</v>
      </c>
      <c r="F45" s="17">
        <f>SUMIFS(_stats[draws_on_date],_stats[player_id],_players[[#This Row],[player_id]])</f>
        <v>5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6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14</v>
      </c>
      <c r="F60" s="18">
        <f>SUMIFS(_stats[draws_on_date],_stats[player_id],_players[[#This Row],[player_id]])</f>
        <v>3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115</v>
      </c>
      <c r="F64" s="18">
        <f>SUMIFS(_stats[draws_on_date],_stats[player_id],_players[[#This Row],[player_id]])</f>
        <v>35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15</v>
      </c>
      <c r="D66" s="10">
        <f>SUMIFS(_stats[assists_on_date],_stats[player_id],_players[[#This Row],[player_id]])</f>
        <v>9</v>
      </c>
      <c r="E66" s="10">
        <f>SUMIFS(_stats[wins_on_date],_stats[player_id],_players[[#This Row],[player_id]])</f>
        <v>19</v>
      </c>
      <c r="F66" s="18">
        <f>SUMIFS(_stats[draws_on_date],_stats[player_id],_players[[#This Row],[player_id]])</f>
        <v>4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48</v>
      </c>
      <c r="F68" s="8">
        <f>SUMIFS(_stats[draws_on_date],_stats[player_id],_players[[#This Row],[player_id]])</f>
        <v>11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11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46</v>
      </c>
      <c r="F120" s="18">
        <f>SUMIFS(_stats[draws_on_date],_stats[player_id],_players[[#This Row],[player_id]])</f>
        <v>19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11</v>
      </c>
      <c r="D126" s="10">
        <f>SUMIFS(_stats[assists_on_date],_stats[player_id],_players[[#This Row],[player_id]])</f>
        <v>5</v>
      </c>
      <c r="E126" s="10">
        <f>SUMIFS(_stats[wins_on_date],_stats[player_id],_players[[#This Row],[player_id]])</f>
        <v>26</v>
      </c>
      <c r="F126" s="18">
        <f>SUMIFS(_stats[draws_on_date],_stats[player_id],_players[[#This Row],[player_id]])</f>
        <v>13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23</v>
      </c>
      <c r="F137" s="18">
        <f>SUMIFS(_stats[draws_on_date],_stats[player_id],_players[[#This Row],[player_id]])</f>
        <v>7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7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7</v>
      </c>
      <c r="F140" s="18">
        <f>SUMIFS(_stats[draws_on_date],_stats[player_id],_players[[#This Row],[player_id]])</f>
        <v>9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13</v>
      </c>
      <c r="F148" s="18">
        <f>SUMIFS(_stats[draws_on_date],_stats[player_id],_players[[#This Row],[player_id]])</f>
        <v>10</v>
      </c>
      <c r="G148" s="18">
        <f>SUMIFS(_stats[foul_on_date],_stats[player_id],_players[[#This Row],[player_id]])</f>
        <v>2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6</v>
      </c>
      <c r="D152" s="10">
        <f>SUMIFS(_stats[assists_on_date],_stats[player_id],_players[[#This Row],[player_id]])</f>
        <v>2</v>
      </c>
      <c r="E152" s="10">
        <f>SUMIFS(_stats[wins_on_date],_stats[player_id],_players[[#This Row],[player_id]])</f>
        <v>19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201</v>
      </c>
      <c r="B163" s="36" t="s">
        <v>201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202</v>
      </c>
      <c r="B164" s="36" t="s">
        <v>202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203</v>
      </c>
      <c r="B165" s="36" t="s">
        <v>203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204</v>
      </c>
      <c r="B166" s="36" t="s">
        <v>204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205</v>
      </c>
      <c r="B167" s="36" t="s">
        <v>205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206</v>
      </c>
      <c r="B168" s="36" t="s">
        <v>206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207</v>
      </c>
      <c r="B169" s="36" t="s">
        <v>207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208</v>
      </c>
      <c r="B170" s="36" t="s">
        <v>208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209</v>
      </c>
      <c r="B171" s="36" t="s">
        <v>209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210</v>
      </c>
      <c r="B172" s="36" t="s">
        <v>210</v>
      </c>
      <c r="C172" s="10">
        <f>SUMIFS(_stats[goals_on_date],_stats[player_id],_players[[#This Row],[player_id]])</f>
        <v>0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1</v>
      </c>
      <c r="F172" s="18">
        <f>SUMIFS(_stats[draws_on_date],_stats[player_id],_players[[#This Row],[player_id]])</f>
        <v>0</v>
      </c>
      <c r="G172" s="18">
        <f>SUMIFS(_stats[foul_on_date],_stats[player_id],_players[[#This Row],[player_id]])</f>
        <v>0</v>
      </c>
    </row>
    <row r="173" spans="1:7" x14ac:dyDescent="0.25">
      <c r="A173" s="36" t="s">
        <v>211</v>
      </c>
      <c r="B173" s="36" t="s">
        <v>211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212</v>
      </c>
      <c r="B174" s="36" t="s">
        <v>212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213</v>
      </c>
      <c r="B175" s="36" t="s">
        <v>213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214</v>
      </c>
      <c r="B176" s="36" t="s">
        <v>214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215</v>
      </c>
      <c r="B177" s="36" t="s">
        <v>215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473"/>
  <sheetViews>
    <sheetView topLeftCell="A1422" zoomScale="85" zoomScaleNormal="85" workbookViewId="0">
      <selection activeCell="E1470" sqref="E1470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64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31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79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59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10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25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42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18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22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63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17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28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134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19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82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41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52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38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152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190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189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76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140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19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18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185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63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201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47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25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27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94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69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22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182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42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79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75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134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202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203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51</v>
      </c>
      <c r="D1456" s="10" t="str">
        <f>IFERROR(VLOOKUP(_stats[[#This Row],[player_id]],_players[[player_id]:[player_name]],2,0),"")</f>
        <v>Егор (АК+1)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21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17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49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204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205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213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214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215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206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207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208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209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210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211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57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212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80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/>
      <c r="L1473" s="55" t="e">
        <f>VLOOKUP(_stats[[#This Row],[tournament]],tournaments_n_rules[],2,0)</f>
        <v>#N/A</v>
      </c>
      <c r="M1473" s="55" t="e">
        <f>VLOOKUP(_stats[[#This Row],[tournament]],tournaments_n_rules[],3,0)</f>
        <v>#N/A</v>
      </c>
      <c r="N1473" s="56" t="e">
        <f>VLOOKUP(_stats[[#This Row],[tournament]],tournaments_n_rules[],4,0)</f>
        <v>#N/A</v>
      </c>
      <c r="O1473" s="56" t="e">
        <f>VLOOKUP(_stats[[#This Row],[tournament]],tournaments_n_rules[],5,0)</f>
        <v>#N/A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205"/>
  <sheetViews>
    <sheetView topLeftCell="A176" workbookViewId="0">
      <selection activeCell="D204" sqref="D204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0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2026-07-09T20:03:09Z</dcterms:modified>
</cp:coreProperties>
</file>