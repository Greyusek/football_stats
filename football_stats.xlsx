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D719CFAF-7B17-48D2-B05F-F1495A556AE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68" i="2" l="1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E115" i="1" s="1"/>
  <c r="G888" i="2"/>
  <c r="G889" i="2"/>
  <c r="G890" i="2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E114" i="1"/>
  <c r="E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4" i="1" l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G104" i="1" s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7" i="1" l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<sst xmlns="http://schemas.openxmlformats.org/spreadsheetml/2006/main" count="2165" uniqueCount="133">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</sst>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16" totalsRowShown="0" headerRowDxfId="35" headerRowBorderDxfId="34" tableBorderDxfId="33" totalsRowBorderDxfId="32">
  <autoFilter ref="A1:G116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893" totalsRowShown="0" headerRowDxfId="24" dataDxfId="22" headerRowBorderDxfId="23" tableBorderDxfId="21" totalsRowBorderDxfId="20">
  <autoFilter ref="A1:J893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30" totalsRowShown="0" headerRowDxfId="9" dataDxfId="7" headerRowBorderDxfId="8" tableBorderDxfId="6" totalsRowBorderDxfId="5">
  <autoFilter ref="A1:E130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16"/>
  <sheetViews>
    <sheetView tabSelected="1" topLeftCell="A89" workbookViewId="0">
      <selection activeCell="B121" sqref="B121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68</v>
      </c>
      <c r="D2" s="19">
        <f>SUMIFS(_stats[assists_on_date],_stats[player_id],_players[[#This Row],[player_id]])</f>
        <v>29</v>
      </c>
      <c r="E2" s="19">
        <f>SUMIFS(_stats[wins_on_date],_stats[player_id],_players[[#This Row],[player_id]])</f>
        <v>81</v>
      </c>
      <c r="F2" s="20">
        <f>SUMIFS(_stats[draws_on_date],_stats[player_id],_players[[#This Row],[player_id]])</f>
        <v>5</v>
      </c>
      <c r="G2" s="20">
        <f>SUM(_players[[#This Row],[goals]:[draws]])</f>
        <v>183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51</v>
      </c>
      <c r="D3" s="11">
        <f>SUMIFS(_stats[assists_on_date],_stats[player_id],_players[[#This Row],[player_id]])</f>
        <v>39</v>
      </c>
      <c r="E3" s="11">
        <f>SUMIFS(_stats[wins_on_date],_stats[player_id],_players[[#This Row],[player_id]])</f>
        <v>136</v>
      </c>
      <c r="F3" s="12">
        <f>SUMIFS(_stats[draws_on_date],_stats[player_id],_players[[#This Row],[player_id]])</f>
        <v>22</v>
      </c>
      <c r="G3" s="12">
        <f>SUM(_players[[#This Row],[goals]:[draws]])</f>
        <v>248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76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145</v>
      </c>
      <c r="F4" s="17">
        <f>SUMIFS(_stats[draws_on_date],_stats[player_id],_players[[#This Row],[player_id]])</f>
        <v>24</v>
      </c>
      <c r="G4" s="17">
        <f>SUM(_players[[#This Row],[goals]:[draws]])</f>
        <v>269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15</v>
      </c>
      <c r="D5" s="21">
        <f>SUMIFS(_stats[assists_on_date],_stats[player_id],_players[[#This Row],[player_id]])</f>
        <v>23</v>
      </c>
      <c r="E5" s="21">
        <f>SUMIFS(_stats[wins_on_date],_stats[player_id],_players[[#This Row],[player_id]])</f>
        <v>77</v>
      </c>
      <c r="F5" s="22">
        <f>SUMIFS(_stats[draws_on_date],_stats[player_id],_players[[#This Row],[player_id]])</f>
        <v>3</v>
      </c>
      <c r="G5" s="22">
        <f>SUM(_players[[#This Row],[goals]:[draws]])</f>
        <v>118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19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148</v>
      </c>
      <c r="F6" s="17">
        <f>SUMIFS(_stats[draws_on_date],_stats[player_id],_players[[#This Row],[player_id]])</f>
        <v>23</v>
      </c>
      <c r="G6" s="17">
        <f>SUM(_players[[#This Row],[goals]:[draws]])</f>
        <v>205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50</v>
      </c>
      <c r="D7" s="11">
        <f>SUMIFS(_stats[assists_on_date],_stats[player_id],_players[[#This Row],[player_id]])</f>
        <v>35</v>
      </c>
      <c r="E7" s="11">
        <f>SUMIFS(_stats[wins_on_date],_stats[player_id],_players[[#This Row],[player_id]])</f>
        <v>84</v>
      </c>
      <c r="F7" s="12">
        <f>SUMIFS(_stats[draws_on_date],_stats[player_id],_players[[#This Row],[player_id]])</f>
        <v>20</v>
      </c>
      <c r="G7" s="12">
        <f>SUM(_players[[#This Row],[goals]:[draws]])</f>
        <v>189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20</v>
      </c>
      <c r="E8" s="11">
        <f>SUMIFS(_stats[wins_on_date],_stats[player_id],_players[[#This Row],[player_id]])</f>
        <v>108</v>
      </c>
      <c r="F8" s="12">
        <f>SUMIFS(_stats[draws_on_date],_stats[player_id],_players[[#This Row],[player_id]])</f>
        <v>19</v>
      </c>
      <c r="G8" s="12">
        <f>SUM(_players[[#This Row],[goals]:[draws]])</f>
        <v>173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29</v>
      </c>
      <c r="D11" s="21">
        <f>SUMIFS(_stats[assists_on_date],_stats[player_id],_players[[#This Row],[player_id]])</f>
        <v>19</v>
      </c>
      <c r="E11" s="21">
        <f>SUMIFS(_stats[wins_on_date],_stats[player_id],_players[[#This Row],[player_id]])</f>
        <v>58</v>
      </c>
      <c r="F11" s="22">
        <f>SUMIFS(_stats[draws_on_date],_stats[player_id],_players[[#This Row],[player_id]])</f>
        <v>4</v>
      </c>
      <c r="G11" s="22">
        <f>SUM(_players[[#This Row],[goals]:[draws]])</f>
        <v>110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41</v>
      </c>
      <c r="D12" s="16">
        <f>SUMIFS(_stats[assists_on_date],_stats[player_id],_players[[#This Row],[player_id]])</f>
        <v>51</v>
      </c>
      <c r="E12" s="16">
        <f>SUMIFS(_stats[wins_on_date],_stats[player_id],_players[[#This Row],[player_id]])</f>
        <v>83</v>
      </c>
      <c r="F12" s="17">
        <f>SUMIFS(_stats[draws_on_date],_stats[player_id],_players[[#This Row],[player_id]])</f>
        <v>25</v>
      </c>
      <c r="G12" s="17">
        <f>SUM(_players[[#This Row],[goals]:[draws]])</f>
        <v>200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6</v>
      </c>
      <c r="D14" s="11">
        <f>SUMIFS(_stats[assists_on_date],_stats[player_id],_players[[#This Row],[player_id]])</f>
        <v>7</v>
      </c>
      <c r="E14" s="11">
        <f>SUMIFS(_stats[wins_on_date],_stats[player_id],_players[[#This Row],[player_id]])</f>
        <v>112</v>
      </c>
      <c r="F14" s="12">
        <f>SUMIFS(_stats[draws_on_date],_stats[player_id],_players[[#This Row],[player_id]])</f>
        <v>18</v>
      </c>
      <c r="G14" s="12">
        <f>SUM(_players[[#This Row],[goals]:[draws]])</f>
        <v>143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14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53</v>
      </c>
      <c r="F15" s="12">
        <f>SUMIFS(_stats[draws_on_date],_stats[player_id],_players[[#This Row],[player_id]])</f>
        <v>2</v>
      </c>
      <c r="G15" s="12">
        <f>SUM(_players[[#This Row],[goals]:[draws]])</f>
        <v>95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21</v>
      </c>
      <c r="E16" s="11">
        <f>SUMIFS(_stats[wins_on_date],_stats[player_id],_players[[#This Row],[player_id]])</f>
        <v>41</v>
      </c>
      <c r="F16" s="12">
        <f>SUMIFS(_stats[draws_on_date],_stats[player_id],_players[[#This Row],[player_id]])</f>
        <v>1</v>
      </c>
      <c r="G16" s="12">
        <f>SUM(_players[[#This Row],[goals]:[draws]])</f>
        <v>78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14</v>
      </c>
      <c r="E17" s="11">
        <f>SUMIFS(_stats[wins_on_date],_stats[player_id],_players[[#This Row],[player_id]])</f>
        <v>37</v>
      </c>
      <c r="F17" s="12">
        <f>SUMIFS(_stats[draws_on_date],_stats[player_id],_players[[#This Row],[player_id]])</f>
        <v>2</v>
      </c>
      <c r="G17" s="12">
        <f>SUM(_players[[#This Row],[goals]:[draws]])</f>
        <v>60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25</v>
      </c>
      <c r="F19" s="17">
        <f>SUMIFS(_stats[draws_on_date],_stats[player_id],_players[[#This Row],[player_id]])</f>
        <v>2</v>
      </c>
      <c r="G19" s="17">
        <f>SUM(_players[[#This Row],[goals]:[draws]])</f>
        <v>42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17</v>
      </c>
      <c r="D20" s="11">
        <f>SUMIFS(_stats[assists_on_date],_stats[player_id],_players[[#This Row],[player_id]])</f>
        <v>14</v>
      </c>
      <c r="E20" s="11">
        <f>SUMIFS(_stats[wins_on_date],_stats[player_id],_players[[#This Row],[player_id]])</f>
        <v>76</v>
      </c>
      <c r="F20" s="12">
        <f>SUMIFS(_stats[draws_on_date],_stats[player_id],_players[[#This Row],[player_id]])</f>
        <v>7</v>
      </c>
      <c r="G20" s="12">
        <f>SUM(_players[[#This Row],[goals]:[draws]])</f>
        <v>114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27</v>
      </c>
      <c r="D21" s="11">
        <f>SUMIFS(_stats[assists_on_date],_stats[player_id],_players[[#This Row],[player_id]])</f>
        <v>35</v>
      </c>
      <c r="E21" s="11">
        <f>SUMIFS(_stats[wins_on_date],_stats[player_id],_players[[#This Row],[player_id]])</f>
        <v>90</v>
      </c>
      <c r="F21" s="12">
        <f>SUMIFS(_stats[draws_on_date],_stats[player_id],_players[[#This Row],[player_id]])</f>
        <v>21</v>
      </c>
      <c r="G21" s="12">
        <f>SUM(_players[[#This Row],[goals]:[draws]])</f>
        <v>173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1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81</v>
      </c>
      <c r="F22" s="17">
        <f>SUMIFS(_stats[draws_on_date],_stats[player_id],_players[[#This Row],[player_id]])</f>
        <v>10</v>
      </c>
      <c r="G22" s="17">
        <f>SUM(_players[[#This Row],[goals]:[draws]])</f>
        <v>96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26</v>
      </c>
      <c r="D23" s="11">
        <f>SUMIFS(_stats[assists_on_date],_stats[player_id],_players[[#This Row],[player_id]])</f>
        <v>29</v>
      </c>
      <c r="E23" s="11">
        <f>SUMIFS(_stats[wins_on_date],_stats[player_id],_players[[#This Row],[player_id]])</f>
        <v>99</v>
      </c>
      <c r="F23" s="12">
        <f>SUMIFS(_stats[draws_on_date],_stats[player_id],_players[[#This Row],[player_id]])</f>
        <v>19</v>
      </c>
      <c r="G23" s="12">
        <f>SUM(_players[[#This Row],[goals]:[draws]])</f>
        <v>173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12</v>
      </c>
      <c r="D25" s="11">
        <f>SUMIFS(_stats[assists_on_date],_stats[player_id],_players[[#This Row],[player_id]])</f>
        <v>15</v>
      </c>
      <c r="E25" s="11">
        <f>SUMIFS(_stats[wins_on_date],_stats[player_id],_players[[#This Row],[player_id]])</f>
        <v>75</v>
      </c>
      <c r="F25" s="12">
        <f>SUMIFS(_stats[draws_on_date],_stats[player_id],_players[[#This Row],[player_id]])</f>
        <v>20</v>
      </c>
      <c r="G25" s="12">
        <f>SUM(_players[[#This Row],[goals]:[draws]])</f>
        <v>122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4</v>
      </c>
      <c r="E26" s="16">
        <f>SUMIFS(_stats[wins_on_date],_stats[player_id],_players[[#This Row],[player_id]])</f>
        <v>28</v>
      </c>
      <c r="F26" s="17">
        <f>SUMIFS(_stats[draws_on_date],_stats[player_id],_players[[#This Row],[player_id]])</f>
        <v>6</v>
      </c>
      <c r="G26" s="17">
        <f>SUM(_players[[#This Row],[goals]:[draws]])</f>
        <v>43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11</v>
      </c>
      <c r="D27" s="11">
        <f>SUMIFS(_stats[assists_on_date],_stats[player_id],_players[[#This Row],[player_id]])</f>
        <v>14</v>
      </c>
      <c r="E27" s="11">
        <f>SUMIFS(_stats[wins_on_date],_stats[player_id],_players[[#This Row],[player_id]])</f>
        <v>75</v>
      </c>
      <c r="F27" s="12">
        <f>SUMIFS(_stats[draws_on_date],_stats[player_id],_players[[#This Row],[player_id]])</f>
        <v>13</v>
      </c>
      <c r="G27" s="12">
        <f>SUM(_players[[#This Row],[goals]:[draws]])</f>
        <v>113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2</v>
      </c>
      <c r="E28" s="11">
        <f>SUMIFS(_stats[wins_on_date],_stats[player_id],_players[[#This Row],[player_id]])</f>
        <v>58</v>
      </c>
      <c r="F28" s="12">
        <f>SUMIFS(_stats[draws_on_date],_stats[player_id],_players[[#This Row],[player_id]])</f>
        <v>19</v>
      </c>
      <c r="G28" s="12">
        <f>SUM(_players[[#This Row],[goals]:[draws]])</f>
        <v>80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8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35</v>
      </c>
      <c r="F30" s="17">
        <f>SUMIFS(_stats[draws_on_date],_stats[player_id],_players[[#This Row],[player_id]])</f>
        <v>2</v>
      </c>
      <c r="G30" s="17">
        <f>SUM(_players[[#This Row],[goals]:[draws]])</f>
        <v>48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49</v>
      </c>
      <c r="F31" s="17">
        <f>SUMIFS(_stats[draws_on_date],_stats[player_id],_players[[#This Row],[player_id]])</f>
        <v>2</v>
      </c>
      <c r="G31" s="17">
        <f>SUM(_players[[#This Row],[goals]:[draws]])</f>
        <v>65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4</v>
      </c>
      <c r="D32" s="11">
        <f>SUMIFS(_stats[assists_on_date],_stats[player_id],_players[[#This Row],[player_id]])</f>
        <v>9</v>
      </c>
      <c r="E32" s="11">
        <f>SUMIFS(_stats[wins_on_date],_stats[player_id],_players[[#This Row],[player_id]])</f>
        <v>21</v>
      </c>
      <c r="F32" s="12">
        <f>SUMIFS(_stats[draws_on_date],_stats[player_id],_players[[#This Row],[player_id]])</f>
        <v>5</v>
      </c>
      <c r="G32" s="12">
        <f>SUM(_players[[#This Row],[goals]:[draws]])</f>
        <v>39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4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18</v>
      </c>
      <c r="F33" s="12">
        <f>SUMIFS(_stats[draws_on_date],_stats[player_id],_players[[#This Row],[player_id]])</f>
        <v>5</v>
      </c>
      <c r="G33" s="12">
        <f>SUM(_players[[#This Row],[goals]:[draws]])</f>
        <v>33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8</v>
      </c>
      <c r="D35" s="16">
        <f>SUMIFS(_stats[assists_on_date],_stats[player_id],_players[[#This Row],[player_id]])</f>
        <v>8</v>
      </c>
      <c r="E35" s="16">
        <f>SUMIFS(_stats[wins_on_date],_stats[player_id],_players[[#This Row],[player_id]])</f>
        <v>57</v>
      </c>
      <c r="F35" s="17">
        <f>SUMIFS(_stats[draws_on_date],_stats[player_id],_players[[#This Row],[player_id]])</f>
        <v>13</v>
      </c>
      <c r="G35" s="17">
        <f>SUM(_players[[#This Row],[goals]:[draws]])</f>
        <v>86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3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41</v>
      </c>
      <c r="F37" s="12">
        <f>SUMIFS(_stats[draws_on_date],_stats[player_id],_players[[#This Row],[player_id]])</f>
        <v>9</v>
      </c>
      <c r="G37" s="12">
        <f>SUM(_players[[#This Row],[goals]:[draws]])</f>
        <v>55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9</v>
      </c>
      <c r="D38" s="11">
        <f>SUMIFS(_stats[assists_on_date],_stats[player_id],_players[[#This Row],[player_id]])</f>
        <v>13</v>
      </c>
      <c r="E38" s="11">
        <f>SUMIFS(_stats[wins_on_date],_stats[player_id],_players[[#This Row],[player_id]])</f>
        <v>46</v>
      </c>
      <c r="F38" s="12">
        <f>SUMIFS(_stats[draws_on_date],_stats[player_id],_players[[#This Row],[player_id]])</f>
        <v>14</v>
      </c>
      <c r="G38" s="12">
        <f>SUM(_players[[#This Row],[goals]:[draws]])</f>
        <v>82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1</v>
      </c>
      <c r="E39" s="11">
        <f>SUMIFS(_stats[wins_on_date],_stats[player_id],_players[[#This Row],[player_id]])</f>
        <v>109</v>
      </c>
      <c r="F39" s="12">
        <f>SUMIFS(_stats[draws_on_date],_stats[player_id],_players[[#This Row],[player_id]])</f>
        <v>30</v>
      </c>
      <c r="G39" s="12">
        <f>SUM(_players[[#This Row],[goals]:[draws]])</f>
        <v>140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21</v>
      </c>
      <c r="D41" s="11">
        <f>SUMIFS(_stats[assists_on_date],_stats[player_id],_players[[#This Row],[player_id]])</f>
        <v>11</v>
      </c>
      <c r="E41" s="11">
        <f>SUMIFS(_stats[wins_on_date],_stats[player_id],_players[[#This Row],[player_id]])</f>
        <v>65</v>
      </c>
      <c r="F41" s="12">
        <f>SUMIFS(_stats[draws_on_date],_stats[player_id],_players[[#This Row],[player_id]])</f>
        <v>17</v>
      </c>
      <c r="G41" s="12">
        <f>SUM(_players[[#This Row],[goals]:[draws]])</f>
        <v>114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6</v>
      </c>
      <c r="D42" s="16">
        <f>SUMIFS(_stats[assists_on_date],_stats[player_id],_players[[#This Row],[player_id]])</f>
        <v>6</v>
      </c>
      <c r="E42" s="16">
        <f>SUMIFS(_stats[wins_on_date],_stats[player_id],_players[[#This Row],[player_id]])</f>
        <v>26</v>
      </c>
      <c r="F42" s="17">
        <f>SUMIFS(_stats[draws_on_date],_stats[player_id],_players[[#This Row],[player_id]])</f>
        <v>2</v>
      </c>
      <c r="G42" s="17">
        <f>SUM(_players[[#This Row],[goals]:[draws]])</f>
        <v>40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4</v>
      </c>
      <c r="D43" s="11">
        <f>SUMIFS(_stats[assists_on_date],_stats[player_id],_players[[#This Row],[player_id]])</f>
        <v>4</v>
      </c>
      <c r="E43" s="11">
        <f>SUMIFS(_stats[wins_on_date],_stats[player_id],_players[[#This Row],[player_id]])</f>
        <v>20</v>
      </c>
      <c r="F43" s="12">
        <f>SUMIFS(_stats[draws_on_date],_stats[player_id],_players[[#This Row],[player_id]])</f>
        <v>0</v>
      </c>
      <c r="G43" s="12">
        <f>SUM(_players[[#This Row],[goals]:[draws]])</f>
        <v>28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56</v>
      </c>
      <c r="F48" s="17">
        <f>SUMIFS(_stats[draws_on_date],_stats[player_id],_players[[#This Row],[player_id]])</f>
        <v>15</v>
      </c>
      <c r="G48" s="17">
        <f>SUM(_players[[#This Row],[goals]:[draws]])</f>
        <v>75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25</v>
      </c>
      <c r="F50" s="12">
        <f>SUMIFS(_stats[draws_on_date],_stats[player_id],_players[[#This Row],[player_id]])</f>
        <v>0</v>
      </c>
      <c r="G50" s="12">
        <f>SUM(_players[[#This Row],[goals]:[draws]])</f>
        <v>26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4</v>
      </c>
      <c r="F55" s="8">
        <f>SUMIFS(_stats[draws_on_date],_stats[player_id],_players[[#This Row],[player_id]])</f>
        <v>0</v>
      </c>
      <c r="G55" s="8">
        <f>SUM(_players[[#This Row],[goals]:[draws]])</f>
        <v>6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11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32</v>
      </c>
      <c r="F59" s="18">
        <f>SUMIFS(_stats[draws_on_date],_stats[player_id],_players[[#This Row],[player_id]])</f>
        <v>5</v>
      </c>
      <c r="G59" s="18">
        <f>SUM(_players[[#This Row],[goals]:[draws]])</f>
        <v>52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13</v>
      </c>
      <c r="D64" s="10">
        <f>SUMIFS(_stats[assists_on_date],_stats[player_id],_players[[#This Row],[player_id]])</f>
        <v>12</v>
      </c>
      <c r="E64" s="10">
        <f>SUMIFS(_stats[wins_on_date],_stats[player_id],_players[[#This Row],[player_id]])</f>
        <v>54</v>
      </c>
      <c r="F64" s="18">
        <f>SUMIFS(_stats[draws_on_date],_stats[player_id],_players[[#This Row],[player_id]])</f>
        <v>14</v>
      </c>
      <c r="G64" s="18">
        <f>SUM(_players[[#This Row],[goals]:[draws]])</f>
        <v>93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3</v>
      </c>
      <c r="F67" s="18">
        <f>SUMIFS(_stats[draws_on_date],_stats[player_id],_players[[#This Row],[player_id]])</f>
        <v>0</v>
      </c>
      <c r="G67" s="18">
        <f>SUM(_players[[#This Row],[goals]:[draws]])</f>
        <v>3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14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35</v>
      </c>
      <c r="F68" s="8">
        <f>SUMIFS(_stats[draws_on_date],_stats[player_id],_players[[#This Row],[player_id]])</f>
        <v>5</v>
      </c>
      <c r="G68" s="8">
        <f>SUM(_players[[#This Row],[goals]:[draws]])</f>
        <v>70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0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2</v>
      </c>
      <c r="F69" s="8">
        <f>SUMIFS(_stats[draws_on_date],_stats[player_id],_players[[#This Row],[player_id]])</f>
        <v>0</v>
      </c>
      <c r="G69" s="8">
        <f>SUM(_players[[#This Row],[goals]:[draws]])</f>
        <v>2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30</v>
      </c>
      <c r="D76" s="10">
        <f>SUMIFS(_stats[assists_on_date],_stats[player_id],_players[[#This Row],[player_id]])</f>
        <v>18</v>
      </c>
      <c r="E76" s="10">
        <f>SUMIFS(_stats[wins_on_date],_stats[player_id],_players[[#This Row],[player_id]])</f>
        <v>33</v>
      </c>
      <c r="F76" s="18">
        <f>SUMIFS(_stats[draws_on_date],_stats[player_id],_players[[#This Row],[player_id]])</f>
        <v>6</v>
      </c>
      <c r="G76" s="18">
        <f>SUM(_players[[#This Row],[goals]:[draws]])</f>
        <v>87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41</v>
      </c>
      <c r="D79" s="10">
        <f>SUMIFS(_stats[assists_on_date],_stats[player_id],_players[[#This Row],[player_id]])</f>
        <v>15</v>
      </c>
      <c r="E79" s="10">
        <f>SUMIFS(_stats[wins_on_date],_stats[player_id],_players[[#This Row],[player_id]])</f>
        <v>58</v>
      </c>
      <c r="F79" s="18">
        <f>SUMIFS(_stats[draws_on_date],_stats[player_id],_players[[#This Row],[player_id]])</f>
        <v>13</v>
      </c>
      <c r="G79" s="18">
        <f>SUM(_players[[#This Row],[goals]:[draws]])</f>
        <v>127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7</v>
      </c>
      <c r="D83" s="10">
        <f>SUMIFS(_stats[assists_on_date],_stats[player_id],_players[[#This Row],[player_id]])</f>
        <v>5</v>
      </c>
      <c r="E83" s="10">
        <f>SUMIFS(_stats[wins_on_date],_stats[player_id],_players[[#This Row],[player_id]])</f>
        <v>21</v>
      </c>
      <c r="F83" s="18">
        <f>SUMIFS(_stats[draws_on_date],_stats[player_id],_players[[#This Row],[player_id]])</f>
        <v>1</v>
      </c>
      <c r="G83" s="18">
        <f>SUM(_players[[#This Row],[goals]:[draws]])</f>
        <v>34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12</v>
      </c>
      <c r="D87" s="10">
        <f>SUMIFS(_stats[assists_on_date],_stats[player_id],_players[[#This Row],[player_id]])</f>
        <v>6</v>
      </c>
      <c r="E87" s="10">
        <f>SUMIFS(_stats[wins_on_date],_stats[player_id],_players[[#This Row],[player_id]])</f>
        <v>22</v>
      </c>
      <c r="F87" s="18">
        <f>SUMIFS(_stats[draws_on_date],_stats[player_id],_players[[#This Row],[player_id]])</f>
        <v>7</v>
      </c>
      <c r="G87" s="18">
        <f>SUM(_players[[#This Row],[goals]:[draws]])</f>
        <v>47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10</v>
      </c>
      <c r="F93" s="18">
        <f>SUMIFS(_stats[draws_on_date],_stats[player_id],_players[[#This Row],[player_id]])</f>
        <v>1</v>
      </c>
      <c r="G93" s="17">
        <f>SUM(_players[[#This Row],[goals]:[draws]])</f>
        <v>17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4</v>
      </c>
      <c r="D106" s="10">
        <f>SUMIFS(_stats[assists_on_date],_stats[player_id],_players[[#This Row],[player_id]])</f>
        <v>0</v>
      </c>
      <c r="E106" s="10">
        <f>SUMIFS(_stats[wins_on_date],_stats[player_id],_players[[#This Row],[player_id]])</f>
        <v>4</v>
      </c>
      <c r="F106" s="18">
        <f>SUMIFS(_stats[draws_on_date],_stats[player_id],_players[[#This Row],[player_id]])</f>
        <v>0</v>
      </c>
      <c r="G106" s="18">
        <f>SUM(_players[[#This Row],[goals]:[draws]])</f>
        <v>8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126</v>
      </c>
      <c r="B110" s="26" t="s">
        <v>126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7</v>
      </c>
      <c r="F110" s="18">
        <f>SUMIFS(_stats[draws_on_date],_stats[player_id],_players[[#This Row],[player_id]])</f>
        <v>4</v>
      </c>
      <c r="G110" s="18">
        <f>SUM(_players[[#This Row],[goals]:[draws]])</f>
        <v>11</v>
      </c>
    </row>
    <row r="111" spans="1:7" x14ac:dyDescent="0.25">
      <c r="A111" s="36" t="s">
        <v>127</v>
      </c>
      <c r="B111" s="36" t="s">
        <v>127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128</v>
      </c>
      <c r="B112" s="36" t="s">
        <v>128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129</v>
      </c>
      <c r="B113" s="36" t="s">
        <v>129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130</v>
      </c>
      <c r="B114" s="33" t="s">
        <v>130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131</v>
      </c>
      <c r="B115" s="33" t="s">
        <v>131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132</v>
      </c>
      <c r="B116" s="33" t="s">
        <v>132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893"/>
  <sheetViews>
    <sheetView topLeftCell="A864" workbookViewId="0">
      <selection activeCell="D896" sqref="D896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105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105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105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105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105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105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105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105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105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105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105</v>
      </c>
    </row>
    <row r="817" spans="1:10" x14ac:dyDescent="0.25">
      <c r="A817" s="6">
        <v>45970</v>
      </c>
      <c r="B817" s="7">
        <v>1</v>
      </c>
      <c r="C817" s="7" t="s">
        <v>89</v>
      </c>
      <c r="D817" s="10" t="str">
        <f>IFERROR(VLOOKUP(_stats[[#This Row],[player_id]],_players[[player_id]:[player_name]],2,0),"")</f>
        <v>Антон Копыч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105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105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105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105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105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105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105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105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105</v>
      </c>
    </row>
    <row r="826" spans="1:10" x14ac:dyDescent="0.25">
      <c r="A826" s="6">
        <v>45970</v>
      </c>
      <c r="B826" s="7">
        <v>1</v>
      </c>
      <c r="C826" s="7" t="s">
        <v>117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105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105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105</v>
      </c>
    </row>
    <row r="829" spans="1:10" x14ac:dyDescent="0.25">
      <c r="A829" s="6">
        <v>45970</v>
      </c>
      <c r="B829" s="7">
        <v>3</v>
      </c>
      <c r="C829" s="7" t="s">
        <v>116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105</v>
      </c>
    </row>
    <row r="830" spans="1:10" x14ac:dyDescent="0.25">
      <c r="A830" s="6">
        <v>45970</v>
      </c>
      <c r="B830" s="7">
        <v>3</v>
      </c>
      <c r="C830" s="7" t="s">
        <v>126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105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105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105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105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105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105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105</v>
      </c>
    </row>
    <row r="837" spans="1:10" x14ac:dyDescent="0.25">
      <c r="A837" s="6">
        <v>45977</v>
      </c>
      <c r="B837" s="7">
        <v>1</v>
      </c>
      <c r="C837" s="7" t="s">
        <v>89</v>
      </c>
      <c r="D837" s="10" t="str">
        <f>IFERROR(VLOOKUP(_stats[[#This Row],[player_id]],_players[[player_id]:[player_name]],2,0),"")</f>
        <v>Антон Копыч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105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105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105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105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105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105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105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105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105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105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105</v>
      </c>
    </row>
    <row r="848" spans="1:10" x14ac:dyDescent="0.25">
      <c r="A848" s="23">
        <v>45984</v>
      </c>
      <c r="B848" s="11">
        <v>3</v>
      </c>
      <c r="C848" s="11" t="s">
        <v>127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105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105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105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105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105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105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105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105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105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105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105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105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105</v>
      </c>
    </row>
    <row r="861" spans="1:10" x14ac:dyDescent="0.25">
      <c r="A861" s="23">
        <v>45984</v>
      </c>
      <c r="B861" s="11">
        <v>2</v>
      </c>
      <c r="C861" s="11" t="s">
        <v>96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105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105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105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105</v>
      </c>
    </row>
    <row r="865" spans="1:10" x14ac:dyDescent="0.25">
      <c r="A865" s="23">
        <v>45984</v>
      </c>
      <c r="B865" s="11">
        <v>3</v>
      </c>
      <c r="C865" s="11" t="s">
        <v>128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105</v>
      </c>
    </row>
    <row r="866" spans="1:10" x14ac:dyDescent="0.25">
      <c r="A866" s="23">
        <v>45984</v>
      </c>
      <c r="B866" s="11">
        <v>3</v>
      </c>
      <c r="C866" s="11" t="s">
        <v>126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105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105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105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105</v>
      </c>
    </row>
    <row r="870" spans="1:10" x14ac:dyDescent="0.25">
      <c r="A870" s="23">
        <v>45998</v>
      </c>
      <c r="B870" s="11">
        <v>1</v>
      </c>
      <c r="C870" s="11" t="s">
        <v>89</v>
      </c>
      <c r="D870" s="16" t="str">
        <f>IFERROR(VLOOKUP(_stats[[#This Row],[player_id]],_players[[player_id]:[player_name]],2,0),"")</f>
        <v>Антон Копыч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105</v>
      </c>
    </row>
    <row r="871" spans="1:10" x14ac:dyDescent="0.25">
      <c r="A871" s="23">
        <v>45998</v>
      </c>
      <c r="B871" s="11">
        <v>1</v>
      </c>
      <c r="C871" s="11" t="s">
        <v>129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105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105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105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105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105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105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105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105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105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105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105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105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105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105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105</v>
      </c>
    </row>
    <row r="886" spans="1:10" x14ac:dyDescent="0.25">
      <c r="A886" s="23">
        <v>45998</v>
      </c>
      <c r="B886" s="11">
        <v>1</v>
      </c>
      <c r="C886" s="11" t="s">
        <v>130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105</v>
      </c>
    </row>
    <row r="887" spans="1:10" x14ac:dyDescent="0.25">
      <c r="A887" s="23">
        <v>45998</v>
      </c>
      <c r="B887" s="11">
        <v>1</v>
      </c>
      <c r="C887" s="11" t="s">
        <v>131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105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105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105</v>
      </c>
    </row>
    <row r="890" spans="1:10" x14ac:dyDescent="0.25">
      <c r="A890" s="23">
        <v>45998</v>
      </c>
      <c r="B890" s="11">
        <v>2</v>
      </c>
      <c r="C890" s="11" t="s">
        <v>132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105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105</v>
      </c>
    </row>
    <row r="892" spans="1:10" x14ac:dyDescent="0.25">
      <c r="A892" s="23">
        <v>45998</v>
      </c>
      <c r="B892" s="11">
        <v>3</v>
      </c>
      <c r="C892" s="11" t="s">
        <v>126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105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105</v>
      </c>
    </row>
  </sheetData>
  <phoneticPr fontId="5" type="noConversion"/>
  <dataValidations count="1">
    <dataValidation type="list" allowBlank="1" showInputMessage="1" showErrorMessage="1" sqref="C2:C893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30"/>
  <sheetViews>
    <sheetView topLeftCell="A110" workbookViewId="0">
      <selection activeCell="H124" sqref="H124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105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105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105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105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105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105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105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105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105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105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105</v>
      </c>
    </row>
  </sheetData>
  <dataValidations count="1">
    <dataValidation type="list" allowBlank="1" showInputMessage="1" showErrorMessage="1" sqref="B2:B130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2025-12-07T14:00:11Z</dcterms:modified>
</cp:coreProperties>
</file>