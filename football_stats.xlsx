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B786F910-3EFA-4CD2-8AE9-99061683C10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62" i="2" l="1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C108" i="1"/>
  <c r="D108" i="1"/>
  <c r="E108" i="1"/>
  <c r="F108" i="1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F106" i="1" s="1"/>
  <c r="H755" i="2"/>
  <c r="H756" i="2"/>
  <c r="H757" i="2"/>
  <c r="H758" i="2"/>
  <c r="H759" i="2"/>
  <c r="H760" i="2"/>
  <c r="D742" i="2"/>
  <c r="G742" i="2"/>
  <c r="H742" i="2"/>
  <c r="C107" i="1"/>
  <c r="D107" i="1"/>
  <c r="E107" i="1"/>
  <c r="F107" i="1"/>
  <c r="C106" i="1"/>
  <c r="D106" i="1"/>
  <c r="E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E104" i="1" s="1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F105" i="1" s="1"/>
  <c r="H727" i="2"/>
  <c r="H728" i="2"/>
  <c r="H729" i="2"/>
  <c r="H730" i="2"/>
  <c r="D709" i="2"/>
  <c r="G709" i="2"/>
  <c r="H709" i="2"/>
  <c r="C105" i="1"/>
  <c r="D105" i="1"/>
  <c r="C104" i="1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C103" i="1"/>
  <c r="D103" i="1"/>
  <c r="G108" i="1" l="1"/>
  <c r="G107" i="1"/>
  <c r="G106" i="1"/>
  <c r="G105" i="1"/>
  <c r="G104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3" i="1" l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<sst xmlns="http://schemas.openxmlformats.org/spreadsheetml/2006/main" count="1917" uniqueCount="125">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</sst>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08" totalsRowShown="0" headerRowDxfId="35" headerRowBorderDxfId="34" tableBorderDxfId="33" totalsRowBorderDxfId="32">
  <autoFilter ref="A1:G108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784" totalsRowShown="0" headerRowDxfId="24" dataDxfId="22" headerRowBorderDxfId="23" tableBorderDxfId="21" totalsRowBorderDxfId="20">
  <autoFilter ref="A1:J784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16" totalsRowShown="0" headerRowDxfId="9" dataDxfId="7" headerRowBorderDxfId="8" tableBorderDxfId="6" totalsRowBorderDxfId="5">
  <autoFilter ref="A1:E116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08"/>
  <sheetViews>
    <sheetView topLeftCell="A84" workbookViewId="0">
      <selection activeCell="D114" sqref="D11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43</v>
      </c>
      <c r="D3" s="11">
        <f>SUMIFS(_stats[assists_on_date],_stats[player_id],_players[[#This Row],[player_id]])</f>
        <v>34</v>
      </c>
      <c r="E3" s="11">
        <f>SUMIFS(_stats[wins_on_date],_stats[player_id],_players[[#This Row],[player_id]])</f>
        <v>120</v>
      </c>
      <c r="F3" s="12">
        <f>SUMIFS(_stats[draws_on_date],_stats[player_id],_players[[#This Row],[player_id]])</f>
        <v>15</v>
      </c>
      <c r="G3" s="12">
        <f>SUM(_players[[#This Row],[goals]:[draws]])</f>
        <v>212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69</v>
      </c>
      <c r="D4" s="16">
        <f>SUMIFS(_stats[assists_on_date],_stats[player_id],_players[[#This Row],[player_id]])</f>
        <v>20</v>
      </c>
      <c r="E4" s="16">
        <f>SUMIFS(_stats[wins_on_date],_stats[player_id],_players[[#This Row],[player_id]])</f>
        <v>125</v>
      </c>
      <c r="F4" s="17">
        <f>SUMIFS(_stats[draws_on_date],_stats[player_id],_players[[#This Row],[player_id]])</f>
        <v>14</v>
      </c>
      <c r="G4" s="17">
        <f>SUM(_players[[#This Row],[goals]:[draws]])</f>
        <v>228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73</v>
      </c>
      <c r="F5" s="22">
        <f>SUMIFS(_stats[draws_on_date],_stats[player_id],_players[[#This Row],[player_id]])</f>
        <v>0</v>
      </c>
      <c r="G5" s="22">
        <f>SUM(_players[[#This Row],[goals]:[draws]])</f>
        <v>111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17</v>
      </c>
      <c r="D6" s="16">
        <f>SUMIFS(_stats[assists_on_date],_stats[player_id],_players[[#This Row],[player_id]])</f>
        <v>14</v>
      </c>
      <c r="E6" s="16">
        <f>SUMIFS(_stats[wins_on_date],_stats[player_id],_players[[#This Row],[player_id]])</f>
        <v>123</v>
      </c>
      <c r="F6" s="17">
        <f>SUMIFS(_stats[draws_on_date],_stats[player_id],_players[[#This Row],[player_id]])</f>
        <v>15</v>
      </c>
      <c r="G6" s="17">
        <f>SUM(_players[[#This Row],[goals]:[draws]])</f>
        <v>169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39</v>
      </c>
      <c r="D7" s="11">
        <f>SUMIFS(_stats[assists_on_date],_stats[player_id],_players[[#This Row],[player_id]])</f>
        <v>26</v>
      </c>
      <c r="E7" s="11">
        <f>SUMIFS(_stats[wins_on_date],_stats[player_id],_players[[#This Row],[player_id]])</f>
        <v>66</v>
      </c>
      <c r="F7" s="12">
        <f>SUMIFS(_stats[draws_on_date],_stats[player_id],_players[[#This Row],[player_id]])</f>
        <v>10</v>
      </c>
      <c r="G7" s="12">
        <f>SUM(_players[[#This Row],[goals]:[draws]])</f>
        <v>141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104</v>
      </c>
      <c r="F8" s="12">
        <f>SUMIFS(_stats[draws_on_date],_stats[player_id],_players[[#This Row],[player_id]])</f>
        <v>17</v>
      </c>
      <c r="G8" s="12">
        <f>SUM(_players[[#This Row],[goals]:[draws]])</f>
        <v>167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33</v>
      </c>
      <c r="D12" s="16">
        <f>SUMIFS(_stats[assists_on_date],_stats[player_id],_players[[#This Row],[player_id]])</f>
        <v>38</v>
      </c>
      <c r="E12" s="16">
        <f>SUMIFS(_stats[wins_on_date],_stats[player_id],_players[[#This Row],[player_id]])</f>
        <v>58</v>
      </c>
      <c r="F12" s="17">
        <f>SUMIFS(_stats[draws_on_date],_stats[player_id],_players[[#This Row],[player_id]])</f>
        <v>12</v>
      </c>
      <c r="G12" s="17">
        <f>SUM(_players[[#This Row],[goals]:[draws]])</f>
        <v>141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95</v>
      </c>
      <c r="F14" s="12">
        <f>SUMIFS(_stats[draws_on_date],_stats[player_id],_players[[#This Row],[player_id]])</f>
        <v>10</v>
      </c>
      <c r="G14" s="12">
        <f>SUM(_players[[#This Row],[goals]:[draws]])</f>
        <v>118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11</v>
      </c>
      <c r="D16" s="11">
        <f>SUMIFS(_stats[assists_on_date],_stats[player_id],_players[[#This Row],[player_id]])</f>
        <v>15</v>
      </c>
      <c r="E16" s="11">
        <f>SUMIFS(_stats[wins_on_date],_stats[player_id],_players[[#This Row],[player_id]])</f>
        <v>31</v>
      </c>
      <c r="F16" s="12">
        <f>SUMIFS(_stats[draws_on_date],_stats[player_id],_players[[#This Row],[player_id]])</f>
        <v>0</v>
      </c>
      <c r="G16" s="12">
        <f>SUM(_players[[#This Row],[goals]:[draws]])</f>
        <v>57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33</v>
      </c>
      <c r="F17" s="12">
        <f>SUMIFS(_stats[draws_on_date],_stats[player_id],_players[[#This Row],[player_id]])</f>
        <v>0</v>
      </c>
      <c r="G17" s="12">
        <f>SUM(_players[[#This Row],[goals]:[draws]])</f>
        <v>54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28</v>
      </c>
      <c r="D18" s="11">
        <f>SUMIFS(_stats[assists_on_date],_stats[player_id],_players[[#This Row],[player_id]])</f>
        <v>27</v>
      </c>
      <c r="E18" s="11">
        <f>SUMIFS(_stats[wins_on_date],_stats[player_id],_players[[#This Row],[player_id]])</f>
        <v>69</v>
      </c>
      <c r="F18" s="12">
        <f>SUMIFS(_stats[draws_on_date],_stats[player_id],_players[[#This Row],[player_id]])</f>
        <v>6</v>
      </c>
      <c r="G18" s="12">
        <f>SUM(_players[[#This Row],[goals]:[draws]])</f>
        <v>130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3</v>
      </c>
      <c r="D19" s="16">
        <f>SUMIFS(_stats[assists_on_date],_stats[player_id],_players[[#This Row],[player_id]])</f>
        <v>9</v>
      </c>
      <c r="E19" s="16">
        <f>SUMIFS(_stats[wins_on_date],_stats[player_id],_players[[#This Row],[player_id]])</f>
        <v>17</v>
      </c>
      <c r="F19" s="17">
        <f>SUMIFS(_stats[draws_on_date],_stats[player_id],_players[[#This Row],[player_id]])</f>
        <v>1</v>
      </c>
      <c r="G19" s="17">
        <f>SUM(_players[[#This Row],[goals]:[draws]])</f>
        <v>30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16</v>
      </c>
      <c r="D20" s="11">
        <f>SUMIFS(_stats[assists_on_date],_stats[player_id],_players[[#This Row],[player_id]])</f>
        <v>13</v>
      </c>
      <c r="E20" s="11">
        <f>SUMIFS(_stats[wins_on_date],_stats[player_id],_players[[#This Row],[player_id]])</f>
        <v>68</v>
      </c>
      <c r="F20" s="12">
        <f>SUMIFS(_stats[draws_on_date],_stats[player_id],_players[[#This Row],[player_id]])</f>
        <v>6</v>
      </c>
      <c r="G20" s="12">
        <f>SUM(_players[[#This Row],[goals]:[draws]])</f>
        <v>103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21</v>
      </c>
      <c r="D21" s="11">
        <f>SUMIFS(_stats[assists_on_date],_stats[player_id],_players[[#This Row],[player_id]])</f>
        <v>29</v>
      </c>
      <c r="E21" s="11">
        <f>SUMIFS(_stats[wins_on_date],_stats[player_id],_players[[#This Row],[player_id]])</f>
        <v>65</v>
      </c>
      <c r="F21" s="12">
        <f>SUMIFS(_stats[draws_on_date],_stats[player_id],_players[[#This Row],[player_id]])</f>
        <v>9</v>
      </c>
      <c r="G21" s="12">
        <f>SUM(_players[[#This Row],[goals]:[draws]])</f>
        <v>124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68</v>
      </c>
      <c r="F22" s="17">
        <f>SUMIFS(_stats[draws_on_date],_stats[player_id],_players[[#This Row],[player_id]])</f>
        <v>4</v>
      </c>
      <c r="G22" s="17">
        <f>SUM(_players[[#This Row],[goals]:[draws]])</f>
        <v>77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22</v>
      </c>
      <c r="D23" s="11">
        <f>SUMIFS(_stats[assists_on_date],_stats[player_id],_players[[#This Row],[player_id]])</f>
        <v>26</v>
      </c>
      <c r="E23" s="11">
        <f>SUMIFS(_stats[wins_on_date],_stats[player_id],_players[[#This Row],[player_id]])</f>
        <v>80</v>
      </c>
      <c r="F23" s="12">
        <f>SUMIFS(_stats[draws_on_date],_stats[player_id],_players[[#This Row],[player_id]])</f>
        <v>14</v>
      </c>
      <c r="G23" s="12">
        <f>SUM(_players[[#This Row],[goals]:[draws]])</f>
        <v>142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11</v>
      </c>
      <c r="D25" s="11">
        <f>SUMIFS(_stats[assists_on_date],_stats[player_id],_players[[#This Row],[player_id]])</f>
        <v>14</v>
      </c>
      <c r="E25" s="11">
        <f>SUMIFS(_stats[wins_on_date],_stats[player_id],_players[[#This Row],[player_id]])</f>
        <v>65</v>
      </c>
      <c r="F25" s="12">
        <f>SUMIFS(_stats[draws_on_date],_stats[player_id],_players[[#This Row],[player_id]])</f>
        <v>14</v>
      </c>
      <c r="G25" s="12">
        <f>SUM(_players[[#This Row],[goals]:[draws]])</f>
        <v>104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10</v>
      </c>
      <c r="E27" s="11">
        <f>SUMIFS(_stats[wins_on_date],_stats[player_id],_players[[#This Row],[player_id]])</f>
        <v>67</v>
      </c>
      <c r="F27" s="12">
        <f>SUMIFS(_stats[draws_on_date],_stats[player_id],_players[[#This Row],[player_id]])</f>
        <v>7</v>
      </c>
      <c r="G27" s="12">
        <f>SUM(_players[[#This Row],[goals]:[draws]])</f>
        <v>95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44</v>
      </c>
      <c r="F28" s="12">
        <f>SUMIFS(_stats[draws_on_date],_stats[player_id],_players[[#This Row],[player_id]])</f>
        <v>9</v>
      </c>
      <c r="G28" s="12">
        <f>SUM(_players[[#This Row],[goals]:[draws]])</f>
        <v>56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55</v>
      </c>
      <c r="F29" s="17">
        <f>SUMIFS(_stats[draws_on_date],_stats[player_id],_players[[#This Row],[player_id]])</f>
        <v>4</v>
      </c>
      <c r="G29" s="17">
        <f>SUM(_players[[#This Row],[goals]:[draws]])</f>
        <v>73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1</v>
      </c>
      <c r="D32" s="11">
        <f>SUMIFS(_stats[assists_on_date],_stats[player_id],_players[[#This Row],[player_id]])</f>
        <v>7</v>
      </c>
      <c r="E32" s="11">
        <f>SUMIFS(_stats[wins_on_date],_stats[player_id],_players[[#This Row],[player_id]])</f>
        <v>16</v>
      </c>
      <c r="F32" s="12">
        <f>SUMIFS(_stats[draws_on_date],_stats[player_id],_players[[#This Row],[player_id]])</f>
        <v>0</v>
      </c>
      <c r="G32" s="12">
        <f>SUM(_players[[#This Row],[goals]:[draws]])</f>
        <v>24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3</v>
      </c>
      <c r="D33" s="11">
        <f>SUMIFS(_stats[assists_on_date],_stats[player_id],_players[[#This Row],[player_id]])</f>
        <v>5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0</v>
      </c>
      <c r="G33" s="12">
        <f>SUM(_players[[#This Row],[goals]:[draws]])</f>
        <v>21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6</v>
      </c>
      <c r="D35" s="16">
        <f>SUMIFS(_stats[assists_on_date],_stats[player_id],_players[[#This Row],[player_id]])</f>
        <v>7</v>
      </c>
      <c r="E35" s="16">
        <f>SUMIFS(_stats[wins_on_date],_stats[player_id],_players[[#This Row],[player_id]])</f>
        <v>48</v>
      </c>
      <c r="F35" s="17">
        <f>SUMIFS(_stats[draws_on_date],_stats[player_id],_players[[#This Row],[player_id]])</f>
        <v>6</v>
      </c>
      <c r="G35" s="17">
        <f>SUM(_players[[#This Row],[goals]:[draws]])</f>
        <v>67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42</v>
      </c>
      <c r="F36" s="12">
        <f>SUMIFS(_stats[draws_on_date],_stats[player_id],_players[[#This Row],[player_id]])</f>
        <v>6</v>
      </c>
      <c r="G36" s="12">
        <f>SUM(_players[[#This Row],[goals]:[draws]])</f>
        <v>69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1</v>
      </c>
      <c r="E37" s="11">
        <f>SUMIFS(_stats[wins_on_date],_stats[player_id],_players[[#This Row],[player_id]])</f>
        <v>32</v>
      </c>
      <c r="F37" s="12">
        <f>SUMIFS(_stats[draws_on_date],_stats[player_id],_players[[#This Row],[player_id]])</f>
        <v>2</v>
      </c>
      <c r="G37" s="12">
        <f>SUM(_players[[#This Row],[goals]:[draws]])</f>
        <v>38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7</v>
      </c>
      <c r="D38" s="11">
        <f>SUMIFS(_stats[assists_on_date],_stats[player_id],_players[[#This Row],[player_id]])</f>
        <v>12</v>
      </c>
      <c r="E38" s="11">
        <f>SUMIFS(_stats[wins_on_date],_stats[player_id],_players[[#This Row],[player_id]])</f>
        <v>40</v>
      </c>
      <c r="F38" s="12">
        <f>SUMIFS(_stats[draws_on_date],_stats[player_id],_players[[#This Row],[player_id]])</f>
        <v>7</v>
      </c>
      <c r="G38" s="12">
        <f>SUM(_players[[#This Row],[goals]:[draws]])</f>
        <v>66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0</v>
      </c>
      <c r="E39" s="11">
        <f>SUMIFS(_stats[wins_on_date],_stats[player_id],_players[[#This Row],[player_id]])</f>
        <v>83</v>
      </c>
      <c r="F39" s="12">
        <f>SUMIFS(_stats[draws_on_date],_stats[player_id],_players[[#This Row],[player_id]])</f>
        <v>17</v>
      </c>
      <c r="G39" s="12">
        <f>SUM(_players[[#This Row],[goals]:[draws]])</f>
        <v>100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15</v>
      </c>
      <c r="D41" s="11">
        <f>SUMIFS(_stats[assists_on_date],_stats[player_id],_players[[#This Row],[player_id]])</f>
        <v>10</v>
      </c>
      <c r="E41" s="11">
        <f>SUMIFS(_stats[wins_on_date],_stats[player_id],_players[[#This Row],[player_id]])</f>
        <v>55</v>
      </c>
      <c r="F41" s="12">
        <f>SUMIFS(_stats[draws_on_date],_stats[player_id],_players[[#This Row],[player_id]])</f>
        <v>9</v>
      </c>
      <c r="G41" s="12">
        <f>SUM(_players[[#This Row],[goals]:[draws]])</f>
        <v>89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1</v>
      </c>
      <c r="D45" s="16">
        <f>SUMIFS(_stats[assists_on_date],_stats[player_id],_players[[#This Row],[player_id]])</f>
        <v>2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21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35</v>
      </c>
      <c r="F48" s="17">
        <f>SUMIFS(_stats[draws_on_date],_stats[player_id],_players[[#This Row],[player_id]])</f>
        <v>9</v>
      </c>
      <c r="G48" s="17">
        <f>SUM(_players[[#This Row],[goals]:[draws]])</f>
        <v>48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1</v>
      </c>
      <c r="E54" s="10">
        <f>SUMIFS(_stats[wins_on_date],_stats[player_id],_players[[#This Row],[player_id]])</f>
        <v>13</v>
      </c>
      <c r="F54" s="18">
        <f>SUMIFS(_stats[draws_on_date],_stats[player_id],_players[[#This Row],[player_id]])</f>
        <v>4</v>
      </c>
      <c r="G54" s="18">
        <f>SUM(_players[[#This Row],[goals]:[draws]])</f>
        <v>18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4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23</v>
      </c>
      <c r="F59" s="18">
        <f>SUMIFS(_stats[draws_on_date],_stats[player_id],_players[[#This Row],[player_id]])</f>
        <v>2</v>
      </c>
      <c r="G59" s="18">
        <f>SUM(_players[[#This Row],[goals]:[draws]])</f>
        <v>33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6</v>
      </c>
      <c r="D64" s="10">
        <f>SUMIFS(_stats[assists_on_date],_stats[player_id],_players[[#This Row],[player_id]])</f>
        <v>6</v>
      </c>
      <c r="E64" s="10">
        <f>SUMIFS(_stats[wins_on_date],_stats[player_id],_players[[#This Row],[player_id]])</f>
        <v>31</v>
      </c>
      <c r="F64" s="18">
        <f>SUMIFS(_stats[draws_on_date],_stats[player_id],_players[[#This Row],[player_id]])</f>
        <v>5</v>
      </c>
      <c r="G64" s="18">
        <f>SUM(_players[[#This Row],[goals]:[draws]])</f>
        <v>48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10</v>
      </c>
      <c r="D66" s="10">
        <f>SUMIFS(_stats[assists_on_date],_stats[player_id],_players[[#This Row],[player_id]])</f>
        <v>5</v>
      </c>
      <c r="E66" s="10">
        <f>SUMIFS(_stats[wins_on_date],_stats[player_id],_players[[#This Row],[player_id]])</f>
        <v>13</v>
      </c>
      <c r="F66" s="18">
        <f>SUMIFS(_stats[draws_on_date],_stats[player_id],_players[[#This Row],[player_id]])</f>
        <v>2</v>
      </c>
      <c r="G66" s="18">
        <f>SUM(_players[[#This Row],[goals]:[draws]])</f>
        <v>30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8</v>
      </c>
      <c r="D68" s="7">
        <f>SUMIFS(_stats[assists_on_date],_stats[player_id],_players[[#This Row],[player_id]])</f>
        <v>12</v>
      </c>
      <c r="E68" s="7">
        <f>SUMIFS(_stats[wins_on_date],_stats[player_id],_players[[#This Row],[player_id]])</f>
        <v>25</v>
      </c>
      <c r="F68" s="8">
        <f>SUMIFS(_stats[draws_on_date],_stats[player_id],_players[[#This Row],[player_id]])</f>
        <v>1</v>
      </c>
      <c r="G68" s="8">
        <f>SUM(_players[[#This Row],[goals]:[draws]])</f>
        <v>46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34</v>
      </c>
      <c r="D79" s="10">
        <f>SUMIFS(_stats[assists_on_date],_stats[player_id],_players[[#This Row],[player_id]])</f>
        <v>13</v>
      </c>
      <c r="E79" s="10">
        <f>SUMIFS(_stats[wins_on_date],_stats[player_id],_players[[#This Row],[player_id]])</f>
        <v>46</v>
      </c>
      <c r="F79" s="18">
        <f>SUMIFS(_stats[draws_on_date],_stats[player_id],_players[[#This Row],[player_id]])</f>
        <v>10</v>
      </c>
      <c r="G79" s="18">
        <f>SUM(_players[[#This Row],[goals]:[draws]])</f>
        <v>103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11</v>
      </c>
      <c r="D87" s="10">
        <f>SUMIFS(_stats[assists_on_date],_stats[player_id],_players[[#This Row],[player_id]])</f>
        <v>4</v>
      </c>
      <c r="E87" s="10">
        <f>SUMIFS(_stats[wins_on_date],_stats[player_id],_players[[#This Row],[player_id]])</f>
        <v>19</v>
      </c>
      <c r="F87" s="18">
        <f>SUMIFS(_stats[draws_on_date],_stats[player_id],_players[[#This Row],[player_id]])</f>
        <v>3</v>
      </c>
      <c r="G87" s="18">
        <f>SUM(_players[[#This Row],[goals]:[draws]])</f>
        <v>37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10</v>
      </c>
      <c r="F100" s="18">
        <f>SUMIFS(_stats[draws_on_date],_stats[player_id],_players[[#This Row],[player_id]])</f>
        <v>5</v>
      </c>
      <c r="G100" s="17">
        <f>SUM(_players[[#This Row],[goals]:[draws]])</f>
        <v>20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12</v>
      </c>
      <c r="F101" s="18">
        <f>SUMIFS(_stats[draws_on_date],_stats[player_id],_players[[#This Row],[player_id]])</f>
        <v>4</v>
      </c>
      <c r="G101" s="17">
        <f>SUM(_players[[#This Row],[goals]:[draws]])</f>
        <v>19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0</v>
      </c>
      <c r="F108" s="18">
        <f>SUMIFS(_stats[draws_on_date],_stats[player_id],_players[[#This Row],[player_id]])</f>
        <v>0</v>
      </c>
      <c r="G108" s="18">
        <f>SUM(_players[[#This Row],[goals]:[draws]])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784"/>
  <sheetViews>
    <sheetView tabSelected="1" topLeftCell="A750" workbookViewId="0">
      <selection activeCell="G765" sqref="G765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45964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0</v>
      </c>
      <c r="H761" s="10">
        <f>SUMIFS(_teams[draws_on_date],_teams[date],_stats[[#This Row],[date]],_teams[team_number],_stats[[#This Row],[team_number]])</f>
        <v>0</v>
      </c>
      <c r="I761" s="10">
        <v>0</v>
      </c>
      <c r="J761" s="10" t="s">
        <v>105</v>
      </c>
    </row>
    <row r="762" spans="1:10" x14ac:dyDescent="0.25">
      <c r="A762" s="6">
        <v>45964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0</v>
      </c>
      <c r="H762" s="10">
        <f>SUMIFS(_teams[draws_on_date],_teams[date],_stats[[#This Row],[date]],_teams[team_number],_stats[[#This Row],[team_number]])</f>
        <v>0</v>
      </c>
      <c r="I762" s="10">
        <v>0</v>
      </c>
      <c r="J762" s="10" t="s">
        <v>105</v>
      </c>
    </row>
    <row r="763" spans="1:10" x14ac:dyDescent="0.25">
      <c r="A763" s="6">
        <v>45964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0</v>
      </c>
      <c r="H763" s="10">
        <f>SUMIFS(_teams[draws_on_date],_teams[date],_stats[[#This Row],[date]],_teams[team_number],_stats[[#This Row],[team_number]])</f>
        <v>0</v>
      </c>
      <c r="I763" s="10">
        <v>5</v>
      </c>
      <c r="J763" s="10" t="s">
        <v>105</v>
      </c>
    </row>
    <row r="764" spans="1:10" x14ac:dyDescent="0.25">
      <c r="A764" s="6">
        <v>45964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0</v>
      </c>
      <c r="H764" s="10">
        <f>SUMIFS(_teams[draws_on_date],_teams[date],_stats[[#This Row],[date]],_teams[team_number],_stats[[#This Row],[team_number]])</f>
        <v>0</v>
      </c>
      <c r="I764" s="10">
        <v>0</v>
      </c>
      <c r="J764" s="10" t="s">
        <v>105</v>
      </c>
    </row>
    <row r="765" spans="1:10" x14ac:dyDescent="0.25">
      <c r="A765" s="6">
        <v>45964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0</v>
      </c>
      <c r="H765" s="10">
        <f>SUMIFS(_teams[draws_on_date],_teams[date],_stats[[#This Row],[date]],_teams[team_number],_stats[[#This Row],[team_number]])</f>
        <v>0</v>
      </c>
      <c r="I765" s="10">
        <v>0</v>
      </c>
      <c r="J765" s="10" t="s">
        <v>105</v>
      </c>
    </row>
    <row r="766" spans="1:10" x14ac:dyDescent="0.25">
      <c r="A766" s="6">
        <v>45964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0</v>
      </c>
      <c r="H766" s="10">
        <f>SUMIFS(_teams[draws_on_date],_teams[date],_stats[[#This Row],[date]],_teams[team_number],_stats[[#This Row],[team_number]])</f>
        <v>0</v>
      </c>
      <c r="I766" s="10">
        <v>0</v>
      </c>
      <c r="J766" s="10" t="s">
        <v>105</v>
      </c>
    </row>
    <row r="767" spans="1:10" x14ac:dyDescent="0.25">
      <c r="A767" s="6">
        <v>45964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0</v>
      </c>
      <c r="H767" s="10">
        <f>SUMIFS(_teams[draws_on_date],_teams[date],_stats[[#This Row],[date]],_teams[team_number],_stats[[#This Row],[team_number]])</f>
        <v>0</v>
      </c>
      <c r="I767" s="10">
        <v>1</v>
      </c>
      <c r="J767" s="10" t="s">
        <v>105</v>
      </c>
    </row>
    <row r="768" spans="1:10" x14ac:dyDescent="0.25">
      <c r="A768" s="6">
        <v>45964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0</v>
      </c>
      <c r="H768" s="10">
        <f>SUMIFS(_teams[draws_on_date],_teams[date],_stats[[#This Row],[date]],_teams[team_number],_stats[[#This Row],[team_number]])</f>
        <v>0</v>
      </c>
      <c r="I768" s="10">
        <v>0</v>
      </c>
      <c r="J768" s="10" t="s">
        <v>105</v>
      </c>
    </row>
    <row r="769" spans="1:10" x14ac:dyDescent="0.25">
      <c r="A769" s="6">
        <v>45964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0</v>
      </c>
      <c r="H769" s="10">
        <f>SUMIFS(_teams[draws_on_date],_teams[date],_stats[[#This Row],[date]],_teams[team_number],_stats[[#This Row],[team_number]])</f>
        <v>0</v>
      </c>
      <c r="I769" s="10">
        <v>1</v>
      </c>
      <c r="J769" s="10" t="s">
        <v>105</v>
      </c>
    </row>
    <row r="770" spans="1:10" x14ac:dyDescent="0.25">
      <c r="A770" s="6">
        <v>45964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0</v>
      </c>
      <c r="H770" s="10">
        <f>SUMIFS(_teams[draws_on_date],_teams[date],_stats[[#This Row],[date]],_teams[team_number],_stats[[#This Row],[team_number]])</f>
        <v>0</v>
      </c>
      <c r="I770" s="10">
        <v>1</v>
      </c>
      <c r="J770" s="10" t="s">
        <v>105</v>
      </c>
    </row>
    <row r="771" spans="1:10" x14ac:dyDescent="0.25">
      <c r="A771" s="6">
        <v>45964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0</v>
      </c>
      <c r="H771" s="10">
        <f>SUMIFS(_teams[draws_on_date],_teams[date],_stats[[#This Row],[date]],_teams[team_number],_stats[[#This Row],[team_number]])</f>
        <v>0</v>
      </c>
      <c r="I771" s="10">
        <v>0</v>
      </c>
      <c r="J771" s="10" t="s">
        <v>105</v>
      </c>
    </row>
    <row r="772" spans="1:10" x14ac:dyDescent="0.25">
      <c r="A772" s="6">
        <v>45964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0</v>
      </c>
      <c r="H772" s="10">
        <f>SUMIFS(_teams[draws_on_date],_teams[date],_stats[[#This Row],[date]],_teams[team_number],_stats[[#This Row],[team_number]])</f>
        <v>0</v>
      </c>
      <c r="I772" s="10">
        <v>0</v>
      </c>
      <c r="J772" s="10" t="s">
        <v>105</v>
      </c>
    </row>
    <row r="773" spans="1:10" x14ac:dyDescent="0.25">
      <c r="A773" s="6">
        <v>45964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0</v>
      </c>
      <c r="H773" s="10">
        <f>SUMIFS(_teams[draws_on_date],_teams[date],_stats[[#This Row],[date]],_teams[team_number],_stats[[#This Row],[team_number]])</f>
        <v>0</v>
      </c>
      <c r="I773" s="10">
        <v>0</v>
      </c>
      <c r="J773" s="10" t="s">
        <v>105</v>
      </c>
    </row>
    <row r="774" spans="1:10" x14ac:dyDescent="0.25">
      <c r="A774" s="6">
        <v>45964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0</v>
      </c>
      <c r="H774" s="10">
        <f>SUMIFS(_teams[draws_on_date],_teams[date],_stats[[#This Row],[date]],_teams[team_number],_stats[[#This Row],[team_number]])</f>
        <v>0</v>
      </c>
      <c r="I774" s="10">
        <v>0</v>
      </c>
      <c r="J774" s="10" t="s">
        <v>105</v>
      </c>
    </row>
    <row r="775" spans="1:10" x14ac:dyDescent="0.25">
      <c r="A775" s="6">
        <v>45964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0</v>
      </c>
      <c r="H775" s="10">
        <f>SUMIFS(_teams[draws_on_date],_teams[date],_stats[[#This Row],[date]],_teams[team_number],_stats[[#This Row],[team_number]])</f>
        <v>0</v>
      </c>
      <c r="I775" s="10">
        <v>0</v>
      </c>
      <c r="J775" s="10" t="s">
        <v>105</v>
      </c>
    </row>
    <row r="776" spans="1:10" x14ac:dyDescent="0.25">
      <c r="A776" s="6">
        <v>45964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0</v>
      </c>
      <c r="H776" s="10">
        <f>SUMIFS(_teams[draws_on_date],_teams[date],_stats[[#This Row],[date]],_teams[team_number],_stats[[#This Row],[team_number]])</f>
        <v>0</v>
      </c>
      <c r="I776" s="10">
        <v>0</v>
      </c>
      <c r="J776" s="10" t="s">
        <v>105</v>
      </c>
    </row>
    <row r="777" spans="1:10" x14ac:dyDescent="0.25">
      <c r="A777" s="6">
        <v>45964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0</v>
      </c>
      <c r="H777" s="10">
        <f>SUMIFS(_teams[draws_on_date],_teams[date],_stats[[#This Row],[date]],_teams[team_number],_stats[[#This Row],[team_number]])</f>
        <v>0</v>
      </c>
      <c r="I777" s="10">
        <v>0</v>
      </c>
      <c r="J777" s="10" t="s">
        <v>105</v>
      </c>
    </row>
    <row r="778" spans="1:10" x14ac:dyDescent="0.25">
      <c r="A778" s="6">
        <v>45964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0</v>
      </c>
      <c r="H778" s="10">
        <f>SUMIFS(_teams[draws_on_date],_teams[date],_stats[[#This Row],[date]],_teams[team_number],_stats[[#This Row],[team_number]])</f>
        <v>0</v>
      </c>
      <c r="I778" s="10">
        <v>0</v>
      </c>
      <c r="J778" s="10" t="s">
        <v>105</v>
      </c>
    </row>
    <row r="779" spans="1:10" x14ac:dyDescent="0.25">
      <c r="A779" s="6">
        <v>45964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0</v>
      </c>
      <c r="H779" s="10">
        <f>SUMIFS(_teams[draws_on_date],_teams[date],_stats[[#This Row],[date]],_teams[team_number],_stats[[#This Row],[team_number]])</f>
        <v>0</v>
      </c>
      <c r="I779" s="10">
        <v>0</v>
      </c>
      <c r="J779" s="10" t="s">
        <v>105</v>
      </c>
    </row>
    <row r="780" spans="1:10" x14ac:dyDescent="0.25">
      <c r="A780" s="6">
        <v>45964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0</v>
      </c>
      <c r="H780" s="10">
        <f>SUMIFS(_teams[draws_on_date],_teams[date],_stats[[#This Row],[date]],_teams[team_number],_stats[[#This Row],[team_number]])</f>
        <v>0</v>
      </c>
      <c r="I780" s="10">
        <v>0</v>
      </c>
      <c r="J780" s="10" t="s">
        <v>105</v>
      </c>
    </row>
    <row r="781" spans="1:10" x14ac:dyDescent="0.25">
      <c r="A781" s="6">
        <v>45964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0</v>
      </c>
      <c r="H781" s="10">
        <f>SUMIFS(_teams[draws_on_date],_teams[date],_stats[[#This Row],[date]],_teams[team_number],_stats[[#This Row],[team_number]])</f>
        <v>0</v>
      </c>
      <c r="I781" s="10">
        <v>0</v>
      </c>
      <c r="J781" s="10" t="s">
        <v>105</v>
      </c>
    </row>
    <row r="782" spans="1:10" x14ac:dyDescent="0.25">
      <c r="A782" s="6">
        <v>45964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0</v>
      </c>
      <c r="H782" s="10">
        <f>SUMIFS(_teams[draws_on_date],_teams[date],_stats[[#This Row],[date]],_teams[team_number],_stats[[#This Row],[team_number]])</f>
        <v>0</v>
      </c>
      <c r="I782" s="10">
        <v>0</v>
      </c>
      <c r="J782" s="10" t="s">
        <v>105</v>
      </c>
    </row>
    <row r="783" spans="1:10" x14ac:dyDescent="0.25">
      <c r="A783" s="6">
        <v>45964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0</v>
      </c>
      <c r="H783" s="10">
        <f>SUMIFS(_teams[draws_on_date],_teams[date],_stats[[#This Row],[date]],_teams[team_number],_stats[[#This Row],[team_number]])</f>
        <v>0</v>
      </c>
      <c r="I783" s="10">
        <v>0</v>
      </c>
      <c r="J783" s="10" t="s">
        <v>105</v>
      </c>
    </row>
    <row r="784" spans="1:10" x14ac:dyDescent="0.25">
      <c r="A784" s="6">
        <v>45964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0</v>
      </c>
      <c r="H784" s="10">
        <f>SUMIFS(_teams[draws_on_date],_teams[date],_stats[[#This Row],[date]],_teams[team_number],_stats[[#This Row],[team_number]])</f>
        <v>0</v>
      </c>
      <c r="I784" s="10">
        <v>0</v>
      </c>
      <c r="J784" s="10" t="s">
        <v>105</v>
      </c>
    </row>
  </sheetData>
  <phoneticPr fontId="5" type="noConversion"/>
  <dataValidations count="1">
    <dataValidation type="list" allowBlank="1" showInputMessage="1" showErrorMessage="1" sqref="C2:C78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16"/>
  <sheetViews>
    <sheetView topLeftCell="A89" workbookViewId="0">
      <selection activeCell="C115" sqref="C11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</sheetData>
  <dataValidations count="1">
    <dataValidation type="list" allowBlank="1" showInputMessage="1" showErrorMessage="1" sqref="B2:B116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2025-11-02T21:48:58Z</dcterms:modified>
</cp:coreProperties>
</file>