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01754BC2-ED51-4782-A5B4-816504F354F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0" i="1" l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E120" i="1" s="1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F120" i="1" s="1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G120" i="1" l="1"/>
  <c r="G119" i="1"/>
  <c r="G118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E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<sst xmlns="http://schemas.openxmlformats.org/spreadsheetml/2006/main" count="2276" uniqueCount="137">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</sst>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20" totalsRowShown="0" headerRowDxfId="35" headerRowBorderDxfId="34" tableBorderDxfId="33" totalsRowBorderDxfId="32">
  <autoFilter ref="A1:G120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941" totalsRowShown="0" headerRowDxfId="24" dataDxfId="22" headerRowBorderDxfId="23" tableBorderDxfId="21" totalsRowBorderDxfId="20">
  <autoFilter ref="A1:J941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37" totalsRowShown="0" headerRowDxfId="9" dataDxfId="7" headerRowBorderDxfId="8" tableBorderDxfId="6" totalsRowBorderDxfId="5">
  <autoFilter ref="A1:E137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20"/>
  <sheetViews>
    <sheetView tabSelected="1" topLeftCell="A108" workbookViewId="0">
      <selection activeCell="D130" sqref="D130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142</v>
      </c>
      <c r="F3" s="12">
        <f>SUMIFS(_stats[draws_on_date],_stats[player_id],_players[[#This Row],[player_id]])</f>
        <v>24</v>
      </c>
      <c r="G3" s="12">
        <f>SUM(_players[[#This Row],[goals]:[draws]])</f>
        <v>263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78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152</v>
      </c>
      <c r="F4" s="17">
        <f>SUMIFS(_stats[draws_on_date],_stats[player_id],_players[[#This Row],[player_id]])</f>
        <v>26</v>
      </c>
      <c r="G4" s="17">
        <f>SUM(_players[[#This Row],[goals]:[draws]])</f>
        <v>280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24</v>
      </c>
      <c r="E5" s="21">
        <f>SUMIFS(_stats[wins_on_date],_stats[player_id],_players[[#This Row],[player_id]])</f>
        <v>83</v>
      </c>
      <c r="F5" s="22">
        <f>SUMIFS(_stats[draws_on_date],_stats[player_id],_players[[#This Row],[player_id]])</f>
        <v>3</v>
      </c>
      <c r="G5" s="22">
        <f>SUM(_players[[#This Row],[goals]:[draws]])</f>
        <v>125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20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150</v>
      </c>
      <c r="F6" s="17">
        <f>SUMIFS(_stats[draws_on_date],_stats[player_id],_players[[#This Row],[player_id]])</f>
        <v>24</v>
      </c>
      <c r="G6" s="17">
        <f>SUM(_players[[#This Row],[goals]:[draws]])</f>
        <v>209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21</v>
      </c>
      <c r="E8" s="11">
        <f>SUMIFS(_stats[wins_on_date],_stats[player_id],_players[[#This Row],[player_id]])</f>
        <v>110</v>
      </c>
      <c r="F8" s="12">
        <f>SUMIFS(_stats[draws_on_date],_stats[player_id],_players[[#This Row],[player_id]])</f>
        <v>19</v>
      </c>
      <c r="G8" s="12">
        <f>SUM(_players[[#This Row],[goals]:[draws]])</f>
        <v>176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43</v>
      </c>
      <c r="D12" s="16">
        <f>SUMIFS(_stats[assists_on_date],_stats[player_id],_players[[#This Row],[player_id]])</f>
        <v>57</v>
      </c>
      <c r="E12" s="16">
        <f>SUMIFS(_stats[wins_on_date],_stats[player_id],_players[[#This Row],[player_id]])</f>
        <v>90</v>
      </c>
      <c r="F12" s="17">
        <f>SUMIFS(_stats[draws_on_date],_stats[player_id],_players[[#This Row],[player_id]])</f>
        <v>27</v>
      </c>
      <c r="G12" s="17">
        <f>SUM(_players[[#This Row],[goals]:[draws]])</f>
        <v>217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8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120</v>
      </c>
      <c r="F14" s="12">
        <f>SUMIFS(_stats[draws_on_date],_stats[player_id],_players[[#This Row],[player_id]])</f>
        <v>20</v>
      </c>
      <c r="G14" s="12">
        <f>SUM(_players[[#This Row],[goals]:[draws]])</f>
        <v>156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27</v>
      </c>
      <c r="D21" s="11">
        <f>SUMIFS(_stats[assists_on_date],_stats[player_id],_players[[#This Row],[player_id]])</f>
        <v>36</v>
      </c>
      <c r="E21" s="11">
        <f>SUMIFS(_stats[wins_on_date],_stats[player_id],_players[[#This Row],[player_id]])</f>
        <v>91</v>
      </c>
      <c r="F21" s="12">
        <f>SUMIFS(_stats[draws_on_date],_stats[player_id],_players[[#This Row],[player_id]])</f>
        <v>21</v>
      </c>
      <c r="G21" s="12">
        <f>SUM(_players[[#This Row],[goals]:[draws]])</f>
        <v>175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3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89</v>
      </c>
      <c r="F22" s="17">
        <f>SUMIFS(_stats[draws_on_date],_stats[player_id],_players[[#This Row],[player_id]])</f>
        <v>12</v>
      </c>
      <c r="G22" s="17">
        <f>SUM(_players[[#This Row],[goals]:[draws]])</f>
        <v>108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29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100</v>
      </c>
      <c r="F23" s="12">
        <f>SUMIFS(_stats[draws_on_date],_stats[player_id],_players[[#This Row],[player_id]])</f>
        <v>20</v>
      </c>
      <c r="G23" s="12">
        <f>SUM(_players[[#This Row],[goals]:[draws]])</f>
        <v>180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75</v>
      </c>
      <c r="F25" s="12">
        <f>SUMIFS(_stats[draws_on_date],_stats[player_id],_players[[#This Row],[player_id]])</f>
        <v>20</v>
      </c>
      <c r="G25" s="12">
        <f>SUM(_players[[#This Row],[goals]:[draws]])</f>
        <v>122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30</v>
      </c>
      <c r="F26" s="17">
        <f>SUMIFS(_stats[draws_on_date],_stats[player_id],_players[[#This Row],[player_id]])</f>
        <v>6</v>
      </c>
      <c r="G26" s="17">
        <f>SUM(_players[[#This Row],[goals]:[draws]])</f>
        <v>45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77</v>
      </c>
      <c r="F27" s="12">
        <f>SUMIFS(_stats[draws_on_date],_stats[player_id],_players[[#This Row],[player_id]])</f>
        <v>13</v>
      </c>
      <c r="G27" s="12">
        <f>SUM(_players[[#This Row],[goals]:[draws]])</f>
        <v>115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60</v>
      </c>
      <c r="F28" s="12">
        <f>SUMIFS(_stats[draws_on_date],_stats[player_id],_players[[#This Row],[player_id]])</f>
        <v>21</v>
      </c>
      <c r="G28" s="12">
        <f>SUM(_players[[#This Row],[goals]:[draws]])</f>
        <v>85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4</v>
      </c>
      <c r="D32" s="11">
        <f>SUMIFS(_stats[assists_on_date],_stats[player_id],_players[[#This Row],[player_id]])</f>
        <v>9</v>
      </c>
      <c r="E32" s="11">
        <f>SUMIFS(_stats[wins_on_date],_stats[player_id],_players[[#This Row],[player_id]])</f>
        <v>22</v>
      </c>
      <c r="F32" s="12">
        <f>SUMIFS(_stats[draws_on_date],_stats[player_id],_players[[#This Row],[player_id]])</f>
        <v>5</v>
      </c>
      <c r="G32" s="12">
        <f>SUM(_players[[#This Row],[goals]:[draws]])</f>
        <v>40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19</v>
      </c>
      <c r="F33" s="12">
        <f>SUMIFS(_stats[draws_on_date],_stats[player_id],_players[[#This Row],[player_id]])</f>
        <v>6</v>
      </c>
      <c r="G33" s="12">
        <f>SUM(_players[[#This Row],[goals]:[draws]])</f>
        <v>35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59</v>
      </c>
      <c r="F35" s="17">
        <f>SUMIFS(_stats[draws_on_date],_stats[player_id],_players[[#This Row],[player_id]])</f>
        <v>14</v>
      </c>
      <c r="G35" s="17">
        <f>SUM(_players[[#This Row],[goals]:[draws]])</f>
        <v>90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4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43</v>
      </c>
      <c r="F37" s="12">
        <f>SUMIFS(_stats[draws_on_date],_stats[player_id],_players[[#This Row],[player_id]])</f>
        <v>11</v>
      </c>
      <c r="G37" s="12">
        <f>SUM(_players[[#This Row],[goals]:[draws]])</f>
        <v>60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9</v>
      </c>
      <c r="D38" s="11">
        <f>SUMIFS(_stats[assists_on_date],_stats[player_id],_players[[#This Row],[player_id]])</f>
        <v>13</v>
      </c>
      <c r="E38" s="11">
        <f>SUMIFS(_stats[wins_on_date],_stats[player_id],_players[[#This Row],[player_id]])</f>
        <v>48</v>
      </c>
      <c r="F38" s="12">
        <f>SUMIFS(_stats[draws_on_date],_stats[player_id],_players[[#This Row],[player_id]])</f>
        <v>15</v>
      </c>
      <c r="G38" s="12">
        <f>SUM(_players[[#This Row],[goals]:[draws]])</f>
        <v>85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113</v>
      </c>
      <c r="F39" s="12">
        <f>SUMIFS(_stats[draws_on_date],_stats[player_id],_players[[#This Row],[player_id]])</f>
        <v>32</v>
      </c>
      <c r="G39" s="12">
        <f>SUM(_players[[#This Row],[goals]:[draws]])</f>
        <v>147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23</v>
      </c>
      <c r="D41" s="11">
        <f>SUMIFS(_stats[assists_on_date],_stats[player_id],_players[[#This Row],[player_id]])</f>
        <v>11</v>
      </c>
      <c r="E41" s="11">
        <f>SUMIFS(_stats[wins_on_date],_stats[player_id],_players[[#This Row],[player_id]])</f>
        <v>66</v>
      </c>
      <c r="F41" s="12">
        <f>SUMIFS(_stats[draws_on_date],_stats[player_id],_players[[#This Row],[player_id]])</f>
        <v>17</v>
      </c>
      <c r="G41" s="12">
        <f>SUM(_players[[#This Row],[goals]:[draws]])</f>
        <v>117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9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29</v>
      </c>
      <c r="F42" s="17">
        <f>SUMIFS(_stats[draws_on_date],_stats[player_id],_players[[#This Row],[player_id]])</f>
        <v>4</v>
      </c>
      <c r="G42" s="17">
        <f>SUM(_players[[#This Row],[goals]:[draws]])</f>
        <v>48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6</v>
      </c>
      <c r="E43" s="11">
        <f>SUMIFS(_stats[wins_on_date],_stats[player_id],_players[[#This Row],[player_id]])</f>
        <v>28</v>
      </c>
      <c r="F43" s="12">
        <f>SUMIFS(_stats[draws_on_date],_stats[player_id],_players[[#This Row],[player_id]])</f>
        <v>2</v>
      </c>
      <c r="G43" s="12">
        <f>SUM(_players[[#This Row],[goals]:[draws]])</f>
        <v>42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32</v>
      </c>
      <c r="F59" s="18">
        <f>SUMIFS(_stats[draws_on_date],_stats[player_id],_players[[#This Row],[player_id]])</f>
        <v>5</v>
      </c>
      <c r="G59" s="18">
        <f>SUM(_players[[#This Row],[goals]:[draws]])</f>
        <v>52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15</v>
      </c>
      <c r="D64" s="10">
        <f>SUMIFS(_stats[assists_on_date],_stats[player_id],_players[[#This Row],[player_id]])</f>
        <v>13</v>
      </c>
      <c r="E64" s="10">
        <f>SUMIFS(_stats[wins_on_date],_stats[player_id],_players[[#This Row],[player_id]])</f>
        <v>60</v>
      </c>
      <c r="F64" s="18">
        <f>SUMIFS(_stats[draws_on_date],_stats[player_id],_players[[#This Row],[player_id]])</f>
        <v>14</v>
      </c>
      <c r="G64" s="18">
        <f>SUM(_players[[#This Row],[goals]:[draws]])</f>
        <v>102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35</v>
      </c>
      <c r="F68" s="8">
        <f>SUMIFS(_stats[draws_on_date],_stats[player_id],_players[[#This Row],[player_id]])</f>
        <v>5</v>
      </c>
      <c r="G68" s="8">
        <f>SUM(_players[[#This Row],[goals]:[draws]])</f>
        <v>70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31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34</v>
      </c>
      <c r="F76" s="18">
        <f>SUMIFS(_stats[draws_on_date],_stats[player_id],_players[[#This Row],[player_id]])</f>
        <v>6</v>
      </c>
      <c r="G76" s="18">
        <f>SUM(_players[[#This Row],[goals]:[draws]])</f>
        <v>89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41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58</v>
      </c>
      <c r="F79" s="18">
        <f>SUMIFS(_stats[draws_on_date],_stats[player_id],_players[[#This Row],[player_id]])</f>
        <v>13</v>
      </c>
      <c r="G79" s="18">
        <f>SUM(_players[[#This Row],[goals]:[draws]])</f>
        <v>127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6</v>
      </c>
      <c r="E87" s="10">
        <f>SUMIFS(_stats[wins_on_date],_stats[player_id],_players[[#This Row],[player_id]])</f>
        <v>22</v>
      </c>
      <c r="F87" s="18">
        <f>SUMIFS(_stats[draws_on_date],_stats[player_id],_players[[#This Row],[player_id]])</f>
        <v>7</v>
      </c>
      <c r="G87" s="18">
        <f>SUM(_players[[#This Row],[goals]:[draws]])</f>
        <v>47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9</v>
      </c>
      <c r="F110" s="18">
        <f>SUMIFS(_stats[draws_on_date],_stats[player_id],_players[[#This Row],[player_id]])</f>
        <v>5</v>
      </c>
      <c r="G110" s="18">
        <f>SUM(_players[[#This Row],[goals]:[draws]])</f>
        <v>14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2</v>
      </c>
      <c r="D120" s="10">
        <f>SUMIFS(_stats[assists_on_date],_stats[player_id],_players[[#This Row],[player_id]])</f>
        <v>3</v>
      </c>
      <c r="E120" s="10">
        <f>SUMIFS(_stats[wins_on_date],_stats[player_id],_players[[#This Row],[player_id]])</f>
        <v>6</v>
      </c>
      <c r="F120" s="18">
        <f>SUMIFS(_stats[draws_on_date],_stats[player_id],_players[[#This Row],[player_id]])</f>
        <v>0</v>
      </c>
      <c r="G120" s="18">
        <f>SUM(_players[[#This Row],[goals]:[draws]])</f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941"/>
  <sheetViews>
    <sheetView topLeftCell="A909" workbookViewId="0">
      <selection activeCell="D932" sqref="D932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103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103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103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103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103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103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103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103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103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103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103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103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103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103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103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103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103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103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103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103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103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103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103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103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103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103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103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37"/>
  <sheetViews>
    <sheetView topLeftCell="A110" workbookViewId="0">
      <selection activeCell="C135" sqref="C13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103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103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103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103</v>
      </c>
    </row>
  </sheetData>
  <dataValidations count="1">
    <dataValidation type="list" allowBlank="1" showInputMessage="1" showErrorMessage="1" sqref="B2:B13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2026-03-29T11:37:19Z</dcterms:modified>
</cp:coreProperties>
</file>