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231626FD-D60D-4CEF-9C20-6BB9EC8E0560}" xr6:coauthVersionLast="47" xr6:coauthVersionMax="47" xr10:uidLastSave="{00000000-0000-0000-0000-000000000000}"/>
  <bookViews>
    <workbookView xWindow="14340" yWindow="0" windowWidth="14205" windowHeight="14775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D894" i="2"/>
  <c r="G894" i="2"/>
  <c r="H894" i="2"/>
  <c r="C117" i="1"/>
  <c r="D117" i="1"/>
  <c r="E117" i="1"/>
  <c r="F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E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G104" i="1" s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7" i="1" l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<sst xmlns="http://schemas.openxmlformats.org/spreadsheetml/2006/main" count="2212" uniqueCount="134">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</sst>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17" totalsRowShown="0" headerRowDxfId="35" headerRowBorderDxfId="34" tableBorderDxfId="33" totalsRowBorderDxfId="32">
  <autoFilter ref="A1:G117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914" totalsRowShown="0" headerRowDxfId="24" dataDxfId="22" headerRowBorderDxfId="23" tableBorderDxfId="21" totalsRowBorderDxfId="20">
  <autoFilter ref="A1:J914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33" totalsRowShown="0" headerRowDxfId="9" dataDxfId="7" headerRowBorderDxfId="8" tableBorderDxfId="6" totalsRowBorderDxfId="5">
  <autoFilter ref="A1:E133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17"/>
  <sheetViews>
    <sheetView tabSelected="1" topLeftCell="A89" workbookViewId="0">
      <selection activeCell="B112" sqref="B11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142</v>
      </c>
      <c r="F3" s="12">
        <f>SUMIFS(_stats[draws_on_date],_stats[player_id],_players[[#This Row],[player_id]])</f>
        <v>24</v>
      </c>
      <c r="G3" s="12">
        <f>SUM(_players[[#This Row],[goals]:[draws]])</f>
        <v>263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78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151</v>
      </c>
      <c r="F4" s="17">
        <f>SUMIFS(_stats[draws_on_date],_stats[player_id],_players[[#This Row],[player_id]])</f>
        <v>26</v>
      </c>
      <c r="G4" s="17">
        <f>SUM(_players[[#This Row],[goals]:[draws]])</f>
        <v>279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20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149</v>
      </c>
      <c r="F6" s="17">
        <f>SUMIFS(_stats[draws_on_date],_stats[player_id],_players[[#This Row],[player_id]])</f>
        <v>24</v>
      </c>
      <c r="G6" s="17">
        <f>SUM(_players[[#This Row],[goals]:[draws]])</f>
        <v>208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42</v>
      </c>
      <c r="D12" s="16">
        <f>SUMIFS(_stats[assists_on_date],_stats[player_id],_players[[#This Row],[player_id]])</f>
        <v>56</v>
      </c>
      <c r="E12" s="16">
        <f>SUMIFS(_stats[wins_on_date],_stats[player_id],_players[[#This Row],[player_id]])</f>
        <v>89</v>
      </c>
      <c r="F12" s="17">
        <f>SUMIFS(_stats[draws_on_date],_stats[player_id],_players[[#This Row],[player_id]])</f>
        <v>27</v>
      </c>
      <c r="G12" s="17">
        <f>SUM(_players[[#This Row],[goals]:[draws]])</f>
        <v>214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114</v>
      </c>
      <c r="F14" s="12">
        <f>SUMIFS(_stats[draws_on_date],_stats[player_id],_players[[#This Row],[player_id]])</f>
        <v>20</v>
      </c>
      <c r="G14" s="12">
        <f>SUM(_players[[#This Row],[goals]:[draws]])</f>
        <v>147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25</v>
      </c>
      <c r="F19" s="17">
        <f>SUMIFS(_stats[draws_on_date],_stats[player_id],_players[[#This Row],[player_id]])</f>
        <v>2</v>
      </c>
      <c r="G19" s="17">
        <f>SUM(_players[[#This Row],[goals]:[draws]])</f>
        <v>42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27</v>
      </c>
      <c r="D21" s="11">
        <f>SUMIFS(_stats[assists_on_date],_stats[player_id],_players[[#This Row],[player_id]])</f>
        <v>35</v>
      </c>
      <c r="E21" s="11">
        <f>SUMIFS(_stats[wins_on_date],_stats[player_id],_players[[#This Row],[player_id]])</f>
        <v>90</v>
      </c>
      <c r="F21" s="12">
        <f>SUMIFS(_stats[draws_on_date],_stats[player_id],_players[[#This Row],[player_id]])</f>
        <v>21</v>
      </c>
      <c r="G21" s="12">
        <f>SUM(_players[[#This Row],[goals]:[draws]])</f>
        <v>173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2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83</v>
      </c>
      <c r="F22" s="17">
        <f>SUMIFS(_stats[draws_on_date],_stats[player_id],_players[[#This Row],[player_id]])</f>
        <v>12</v>
      </c>
      <c r="G22" s="17">
        <f>SUM(_players[[#This Row],[goals]:[draws]])</f>
        <v>101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29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100</v>
      </c>
      <c r="F23" s="12">
        <f>SUMIFS(_stats[draws_on_date],_stats[player_id],_players[[#This Row],[player_id]])</f>
        <v>20</v>
      </c>
      <c r="G23" s="12">
        <f>SUM(_players[[#This Row],[goals]:[draws]])</f>
        <v>180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75</v>
      </c>
      <c r="F25" s="12">
        <f>SUMIFS(_stats[draws_on_date],_stats[player_id],_players[[#This Row],[player_id]])</f>
        <v>20</v>
      </c>
      <c r="G25" s="12">
        <f>SUM(_players[[#This Row],[goals]:[draws]])</f>
        <v>122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75</v>
      </c>
      <c r="F27" s="12">
        <f>SUMIFS(_stats[draws_on_date],_stats[player_id],_players[[#This Row],[player_id]])</f>
        <v>13</v>
      </c>
      <c r="G27" s="12">
        <f>SUM(_players[[#This Row],[goals]:[draws]])</f>
        <v>113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60</v>
      </c>
      <c r="F28" s="12">
        <f>SUMIFS(_stats[draws_on_date],_stats[player_id],_players[[#This Row],[player_id]])</f>
        <v>21</v>
      </c>
      <c r="G28" s="12">
        <f>SUM(_players[[#This Row],[goals]:[draws]])</f>
        <v>85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4</v>
      </c>
      <c r="D32" s="11">
        <f>SUMIFS(_stats[assists_on_date],_stats[player_id],_players[[#This Row],[player_id]])</f>
        <v>9</v>
      </c>
      <c r="E32" s="11">
        <f>SUMIFS(_stats[wins_on_date],_stats[player_id],_players[[#This Row],[player_id]])</f>
        <v>21</v>
      </c>
      <c r="F32" s="12">
        <f>SUMIFS(_stats[draws_on_date],_stats[player_id],_players[[#This Row],[player_id]])</f>
        <v>5</v>
      </c>
      <c r="G32" s="12">
        <f>SUM(_players[[#This Row],[goals]:[draws]])</f>
        <v>39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19</v>
      </c>
      <c r="F33" s="12">
        <f>SUMIFS(_stats[draws_on_date],_stats[player_id],_players[[#This Row],[player_id]])</f>
        <v>6</v>
      </c>
      <c r="G33" s="12">
        <f>SUM(_players[[#This Row],[goals]:[draws]])</f>
        <v>35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8</v>
      </c>
      <c r="E35" s="16">
        <f>SUMIFS(_stats[wins_on_date],_stats[player_id],_players[[#This Row],[player_id]])</f>
        <v>58</v>
      </c>
      <c r="F35" s="17">
        <f>SUMIFS(_stats[draws_on_date],_stats[player_id],_players[[#This Row],[player_id]])</f>
        <v>14</v>
      </c>
      <c r="G35" s="17">
        <f>SUM(_players[[#This Row],[goals]:[draws]])</f>
        <v>88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4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43</v>
      </c>
      <c r="F37" s="12">
        <f>SUMIFS(_stats[draws_on_date],_stats[player_id],_players[[#This Row],[player_id]])</f>
        <v>11</v>
      </c>
      <c r="G37" s="12">
        <f>SUM(_players[[#This Row],[goals]:[draws]])</f>
        <v>60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9</v>
      </c>
      <c r="D38" s="11">
        <f>SUMIFS(_stats[assists_on_date],_stats[player_id],_players[[#This Row],[player_id]])</f>
        <v>13</v>
      </c>
      <c r="E38" s="11">
        <f>SUMIFS(_stats[wins_on_date],_stats[player_id],_players[[#This Row],[player_id]])</f>
        <v>47</v>
      </c>
      <c r="F38" s="12">
        <f>SUMIFS(_stats[draws_on_date],_stats[player_id],_players[[#This Row],[player_id]])</f>
        <v>15</v>
      </c>
      <c r="G38" s="12">
        <f>SUM(_players[[#This Row],[goals]:[draws]])</f>
        <v>84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111</v>
      </c>
      <c r="F39" s="12">
        <f>SUMIFS(_stats[draws_on_date],_stats[player_id],_players[[#This Row],[player_id]])</f>
        <v>32</v>
      </c>
      <c r="G39" s="12">
        <f>SUM(_players[[#This Row],[goals]:[draws]])</f>
        <v>145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21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65</v>
      </c>
      <c r="F41" s="12">
        <f>SUMIFS(_stats[draws_on_date],_stats[player_id],_players[[#This Row],[player_id]])</f>
        <v>17</v>
      </c>
      <c r="G41" s="12">
        <f>SUM(_players[[#This Row],[goals]:[draws]])</f>
        <v>114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8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28</v>
      </c>
      <c r="F42" s="17">
        <f>SUMIFS(_stats[draws_on_date],_stats[player_id],_players[[#This Row],[player_id]])</f>
        <v>4</v>
      </c>
      <c r="G42" s="17">
        <f>SUM(_players[[#This Row],[goals]:[draws]])</f>
        <v>46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6</v>
      </c>
      <c r="E43" s="11">
        <f>SUMIFS(_stats[wins_on_date],_stats[player_id],_players[[#This Row],[player_id]])</f>
        <v>26</v>
      </c>
      <c r="F43" s="12">
        <f>SUMIFS(_stats[draws_on_date],_stats[player_id],_players[[#This Row],[player_id]])</f>
        <v>2</v>
      </c>
      <c r="G43" s="12">
        <f>SUM(_players[[#This Row],[goals]:[draws]])</f>
        <v>38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31</v>
      </c>
      <c r="F50" s="12">
        <f>SUMIFS(_stats[draws_on_date],_stats[player_id],_players[[#This Row],[player_id]])</f>
        <v>2</v>
      </c>
      <c r="G50" s="12">
        <f>SUM(_players[[#This Row],[goals]:[draws]])</f>
        <v>34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13</v>
      </c>
      <c r="D64" s="10">
        <f>SUMIFS(_stats[assists_on_date],_stats[player_id],_players[[#This Row],[player_id]])</f>
        <v>12</v>
      </c>
      <c r="E64" s="10">
        <f>SUMIFS(_stats[wins_on_date],_stats[player_id],_players[[#This Row],[player_id]])</f>
        <v>54</v>
      </c>
      <c r="F64" s="18">
        <f>SUMIFS(_stats[draws_on_date],_stats[player_id],_players[[#This Row],[player_id]])</f>
        <v>14</v>
      </c>
      <c r="G64" s="18">
        <f>SUM(_players[[#This Row],[goals]:[draws]])</f>
        <v>93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3</v>
      </c>
      <c r="F69" s="8">
        <f>SUMIFS(_stats[draws_on_date],_stats[player_id],_players[[#This Row],[player_id]])</f>
        <v>1</v>
      </c>
      <c r="G69" s="8">
        <f>SUM(_players[[#This Row],[goals]:[draws]])</f>
        <v>5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41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58</v>
      </c>
      <c r="F79" s="18">
        <f>SUMIFS(_stats[draws_on_date],_stats[player_id],_players[[#This Row],[player_id]])</f>
        <v>13</v>
      </c>
      <c r="G79" s="18">
        <f>SUM(_players[[#This Row],[goals]:[draws]])</f>
        <v>127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8</v>
      </c>
      <c r="F110" s="18">
        <f>SUMIFS(_stats[draws_on_date],_stats[player_id],_players[[#This Row],[player_id]])</f>
        <v>5</v>
      </c>
      <c r="G110" s="18">
        <f>SUM(_players[[#This Row],[goals]:[draws]])</f>
        <v>13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914"/>
  <sheetViews>
    <sheetView topLeftCell="A888" workbookViewId="0">
      <selection activeCell="E907" sqref="E907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33"/>
  <sheetViews>
    <sheetView topLeftCell="A110" workbookViewId="0">
      <selection activeCell="D133" sqref="D133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</sheetData>
  <dataValidations count="1">
    <dataValidation type="list" allowBlank="1" showInputMessage="1" showErrorMessage="1" sqref="B2:B133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2025-12-21T13:05:33Z</dcterms:modified>
</cp:coreProperties>
</file>