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9886194C-6D96-4418-ADA3-DDBC7C494D2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7" i="2" l="1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F121" i="1" s="1"/>
  <c r="H966" i="2"/>
  <c r="D946" i="2"/>
  <c r="G946" i="2"/>
  <c r="H946" i="2"/>
  <c r="D945" i="2"/>
  <c r="G945" i="2"/>
  <c r="H945" i="2"/>
  <c r="D944" i="2"/>
  <c r="G944" i="2"/>
  <c r="E122" i="1" s="1"/>
  <c r="H944" i="2"/>
  <c r="D943" i="2"/>
  <c r="G943" i="2"/>
  <c r="H943" i="2"/>
  <c r="D942" i="2"/>
  <c r="G942" i="2"/>
  <c r="H942" i="2"/>
  <c r="C123" i="1"/>
  <c r="D123" i="1"/>
  <c r="E123" i="1"/>
  <c r="F123" i="1"/>
  <c r="C122" i="1"/>
  <c r="D122" i="1"/>
  <c r="F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E120" i="1" s="1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23" i="1" l="1"/>
  <c r="G121" i="1"/>
  <c r="G122" i="1"/>
  <c r="G120" i="1"/>
  <c r="G119" i="1"/>
  <c r="G118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<sst xmlns="http://schemas.openxmlformats.org/spreadsheetml/2006/main" count="2335" uniqueCount="140">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</sst>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3" totalsRowShown="0" headerRowDxfId="35" headerRowBorderDxfId="34" tableBorderDxfId="33" totalsRowBorderDxfId="32">
  <autoFilter ref="A1:G123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966" totalsRowShown="0" headerRowDxfId="24" dataDxfId="22" headerRowBorderDxfId="23" tableBorderDxfId="21" totalsRowBorderDxfId="20">
  <autoFilter ref="A1:J966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40" totalsRowShown="0" headerRowDxfId="9" dataDxfId="8" headerRowBorderDxfId="6" tableBorderDxfId="7" totalsRowBorderDxfId="5">
  <autoFilter ref="A1:E140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3"/>
  <sheetViews>
    <sheetView tabSelected="1" topLeftCell="A96" workbookViewId="0">
      <selection activeCell="C126" sqref="C126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142</v>
      </c>
      <c r="F3" s="12">
        <f>SUMIFS(_stats[draws_on_date],_stats[player_id],_players[[#This Row],[player_id]])</f>
        <v>24</v>
      </c>
      <c r="G3" s="12">
        <f>SUM(_players[[#This Row],[goals]:[draws]])</f>
        <v>263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155</v>
      </c>
      <c r="F4" s="17">
        <f>SUMIFS(_stats[draws_on_date],_stats[player_id],_players[[#This Row],[player_id]])</f>
        <v>29</v>
      </c>
      <c r="G4" s="17">
        <f>SUM(_players[[#This Row],[goals]:[draws]])</f>
        <v>289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24</v>
      </c>
      <c r="E5" s="21">
        <f>SUMIFS(_stats[wins_on_date],_stats[player_id],_players[[#This Row],[player_id]])</f>
        <v>83</v>
      </c>
      <c r="F5" s="22">
        <f>SUMIFS(_stats[draws_on_date],_stats[player_id],_players[[#This Row],[player_id]])</f>
        <v>3</v>
      </c>
      <c r="G5" s="22">
        <f>SUM(_players[[#This Row],[goals]:[draws]])</f>
        <v>125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22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153</v>
      </c>
      <c r="F6" s="17">
        <f>SUMIFS(_stats[draws_on_date],_stats[player_id],_players[[#This Row],[player_id]])</f>
        <v>29</v>
      </c>
      <c r="G6" s="17">
        <f>SUM(_players[[#This Row],[goals]:[draws]])</f>
        <v>219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113</v>
      </c>
      <c r="F8" s="12">
        <f>SUMIFS(_stats[draws_on_date],_stats[player_id],_players[[#This Row],[player_id]])</f>
        <v>24</v>
      </c>
      <c r="G8" s="12">
        <f>SUM(_players[[#This Row],[goals]:[draws]])</f>
        <v>185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43</v>
      </c>
      <c r="D12" s="16">
        <f>SUMIFS(_stats[assists_on_date],_stats[player_id],_players[[#This Row],[player_id]])</f>
        <v>57</v>
      </c>
      <c r="E12" s="16">
        <f>SUMIFS(_stats[wins_on_date],_stats[player_id],_players[[#This Row],[player_id]])</f>
        <v>92</v>
      </c>
      <c r="F12" s="17">
        <f>SUMIFS(_stats[draws_on_date],_stats[player_id],_players[[#This Row],[player_id]])</f>
        <v>31</v>
      </c>
      <c r="G12" s="17">
        <f>SUM(_players[[#This Row],[goals]:[draws]])</f>
        <v>223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123</v>
      </c>
      <c r="F14" s="12">
        <f>SUMIFS(_stats[draws_on_date],_stats[player_id],_players[[#This Row],[player_id]])</f>
        <v>25</v>
      </c>
      <c r="G14" s="12">
        <f>SUM(_players[[#This Row],[goals]:[draws]])</f>
        <v>164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40</v>
      </c>
      <c r="F17" s="12">
        <f>SUMIFS(_stats[draws_on_date],_stats[player_id],_players[[#This Row],[player_id]])</f>
        <v>7</v>
      </c>
      <c r="G17" s="12">
        <f>SUM(_players[[#This Row],[goals]:[draws]])</f>
        <v>69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79</v>
      </c>
      <c r="F20" s="12">
        <f>SUMIFS(_stats[draws_on_date],_stats[player_id],_players[[#This Row],[player_id]])</f>
        <v>12</v>
      </c>
      <c r="G20" s="12">
        <f>SUM(_players[[#This Row],[goals]:[draws]])</f>
        <v>123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30</v>
      </c>
      <c r="D21" s="11">
        <f>SUMIFS(_stats[assists_on_date],_stats[player_id],_players[[#This Row],[player_id]])</f>
        <v>37</v>
      </c>
      <c r="E21" s="11">
        <f>SUMIFS(_stats[wins_on_date],_stats[player_id],_players[[#This Row],[player_id]])</f>
        <v>93</v>
      </c>
      <c r="F21" s="12">
        <f>SUMIFS(_stats[draws_on_date],_stats[player_id],_players[[#This Row],[player_id]])</f>
        <v>25</v>
      </c>
      <c r="G21" s="12">
        <f>SUM(_players[[#This Row],[goals]:[draws]])</f>
        <v>185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92</v>
      </c>
      <c r="F22" s="17">
        <f>SUMIFS(_stats[draws_on_date],_stats[player_id],_players[[#This Row],[player_id]])</f>
        <v>15</v>
      </c>
      <c r="G22" s="17">
        <f>SUM(_players[[#This Row],[goals]:[draws]])</f>
        <v>115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29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100</v>
      </c>
      <c r="F23" s="12">
        <f>SUMIFS(_stats[draws_on_date],_stats[player_id],_players[[#This Row],[player_id]])</f>
        <v>20</v>
      </c>
      <c r="G23" s="12">
        <f>SUM(_players[[#This Row],[goals]:[draws]])</f>
        <v>180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78</v>
      </c>
      <c r="F25" s="12">
        <f>SUMIFS(_stats[draws_on_date],_stats[player_id],_players[[#This Row],[player_id]])</f>
        <v>23</v>
      </c>
      <c r="G25" s="12">
        <f>SUM(_players[[#This Row],[goals]:[draws]])</f>
        <v>128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5</v>
      </c>
      <c r="E26" s="16">
        <f>SUMIFS(_stats[wins_on_date],_stats[player_id],_players[[#This Row],[player_id]])</f>
        <v>33</v>
      </c>
      <c r="F26" s="17">
        <f>SUMIFS(_stats[draws_on_date],_stats[player_id],_players[[#This Row],[player_id]])</f>
        <v>9</v>
      </c>
      <c r="G26" s="17">
        <f>SUM(_players[[#This Row],[goals]:[draws]])</f>
        <v>52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77</v>
      </c>
      <c r="F27" s="12">
        <f>SUMIFS(_stats[draws_on_date],_stats[player_id],_players[[#This Row],[player_id]])</f>
        <v>13</v>
      </c>
      <c r="G27" s="12">
        <f>SUM(_players[[#This Row],[goals]:[draws]])</f>
        <v>115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60</v>
      </c>
      <c r="F28" s="12">
        <f>SUMIFS(_stats[draws_on_date],_stats[player_id],_players[[#This Row],[player_id]])</f>
        <v>21</v>
      </c>
      <c r="G28" s="12">
        <f>SUM(_players[[#This Row],[goals]:[draws]])</f>
        <v>85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5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24</v>
      </c>
      <c r="F32" s="12">
        <f>SUMIFS(_stats[draws_on_date],_stats[player_id],_players[[#This Row],[player_id]])</f>
        <v>9</v>
      </c>
      <c r="G32" s="12">
        <f>SUM(_players[[#This Row],[goals]:[draws]])</f>
        <v>48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19</v>
      </c>
      <c r="F33" s="12">
        <f>SUMIFS(_stats[draws_on_date],_stats[player_id],_players[[#This Row],[player_id]])</f>
        <v>6</v>
      </c>
      <c r="G33" s="12">
        <f>SUM(_players[[#This Row],[goals]:[draws]])</f>
        <v>35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62</v>
      </c>
      <c r="F35" s="17">
        <f>SUMIFS(_stats[draws_on_date],_stats[player_id],_players[[#This Row],[player_id]])</f>
        <v>19</v>
      </c>
      <c r="G35" s="17">
        <f>SUM(_players[[#This Row],[goals]:[draws]])</f>
        <v>98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46</v>
      </c>
      <c r="F37" s="12">
        <f>SUMIFS(_stats[draws_on_date],_stats[player_id],_players[[#This Row],[player_id]])</f>
        <v>14</v>
      </c>
      <c r="G37" s="12">
        <f>SUM(_players[[#This Row],[goals]:[draws]])</f>
        <v>67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9</v>
      </c>
      <c r="D38" s="11">
        <f>SUMIFS(_stats[assists_on_date],_stats[player_id],_players[[#This Row],[player_id]])</f>
        <v>13</v>
      </c>
      <c r="E38" s="11">
        <f>SUMIFS(_stats[wins_on_date],_stats[player_id],_players[[#This Row],[player_id]])</f>
        <v>48</v>
      </c>
      <c r="F38" s="12">
        <f>SUMIFS(_stats[draws_on_date],_stats[player_id],_players[[#This Row],[player_id]])</f>
        <v>15</v>
      </c>
      <c r="G38" s="12">
        <f>SUM(_players[[#This Row],[goals]:[draws]])</f>
        <v>85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116</v>
      </c>
      <c r="F39" s="12">
        <f>SUMIFS(_stats[draws_on_date],_stats[player_id],_players[[#This Row],[player_id]])</f>
        <v>35</v>
      </c>
      <c r="G39" s="12">
        <f>SUM(_players[[#This Row],[goals]:[draws]])</f>
        <v>153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24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68</v>
      </c>
      <c r="F41" s="12">
        <f>SUMIFS(_stats[draws_on_date],_stats[player_id],_players[[#This Row],[player_id]])</f>
        <v>21</v>
      </c>
      <c r="G41" s="12">
        <f>SUM(_players[[#This Row],[goals]:[draws]])</f>
        <v>124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10</v>
      </c>
      <c r="D42" s="16">
        <f>SUMIFS(_stats[assists_on_date],_stats[player_id],_players[[#This Row],[player_id]])</f>
        <v>7</v>
      </c>
      <c r="E42" s="16">
        <f>SUMIFS(_stats[wins_on_date],_stats[player_id],_players[[#This Row],[player_id]])</f>
        <v>31</v>
      </c>
      <c r="F42" s="17">
        <f>SUMIFS(_stats[draws_on_date],_stats[player_id],_players[[#This Row],[player_id]])</f>
        <v>8</v>
      </c>
      <c r="G42" s="17">
        <f>SUM(_players[[#This Row],[goals]:[draws]])</f>
        <v>56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7</v>
      </c>
      <c r="E43" s="11">
        <f>SUMIFS(_stats[wins_on_date],_stats[player_id],_players[[#This Row],[player_id]])</f>
        <v>31</v>
      </c>
      <c r="F43" s="12">
        <f>SUMIFS(_stats[draws_on_date],_stats[player_id],_players[[#This Row],[player_id]])</f>
        <v>7</v>
      </c>
      <c r="G43" s="12">
        <f>SUM(_players[[#This Row],[goals]:[draws]])</f>
        <v>51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15</v>
      </c>
      <c r="D64" s="10">
        <f>SUMIFS(_stats[assists_on_date],_stats[player_id],_players[[#This Row],[player_id]])</f>
        <v>15</v>
      </c>
      <c r="E64" s="10">
        <f>SUMIFS(_stats[wins_on_date],_stats[player_id],_players[[#This Row],[player_id]])</f>
        <v>63</v>
      </c>
      <c r="F64" s="18">
        <f>SUMIFS(_stats[draws_on_date],_stats[player_id],_players[[#This Row],[player_id]])</f>
        <v>17</v>
      </c>
      <c r="G64" s="18">
        <f>SUM(_players[[#This Row],[goals]:[draws]])</f>
        <v>110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41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58</v>
      </c>
      <c r="F79" s="18">
        <f>SUMIFS(_stats[draws_on_date],_stats[player_id],_players[[#This Row],[player_id]])</f>
        <v>13</v>
      </c>
      <c r="G79" s="18">
        <f>SUM(_players[[#This Row],[goals]:[draws]])</f>
        <v>127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9</v>
      </c>
      <c r="F110" s="18">
        <f>SUMIFS(_stats[draws_on_date],_stats[player_id],_players[[#This Row],[player_id]])</f>
        <v>5</v>
      </c>
      <c r="G110" s="18">
        <f>SUM(_players[[#This Row],[goals]:[draws]])</f>
        <v>14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2</v>
      </c>
      <c r="D120" s="10">
        <f>SUMIFS(_stats[assists_on_date],_stats[player_id],_players[[#This Row],[player_id]])</f>
        <v>3</v>
      </c>
      <c r="E120" s="10">
        <f>SUMIFS(_stats[wins_on_date],_stats[player_id],_players[[#This Row],[player_id]])</f>
        <v>8</v>
      </c>
      <c r="F120" s="18">
        <f>SUMIFS(_stats[draws_on_date],_stats[player_id],_players[[#This Row],[player_id]])</f>
        <v>4</v>
      </c>
      <c r="G120" s="18">
        <f>SUM(_players[[#This Row],[goals]:[draws]])</f>
        <v>17</v>
      </c>
    </row>
    <row r="121" spans="1:7" ht="15.75" x14ac:dyDescent="0.25">
      <c r="A121" s="42" t="s">
        <v>137</v>
      </c>
      <c r="B121" s="39" t="s">
        <v>137</v>
      </c>
      <c r="C121" s="10">
        <f>SUMIFS(_stats[goals_on_date],_stats[player_id],_players[[#This Row],[player_id]])</f>
        <v>2</v>
      </c>
      <c r="D121" s="10">
        <f>SUMIFS(_stats[assists_on_date],_stats[player_id],_players[[#This Row],[player_id]])</f>
        <v>1</v>
      </c>
      <c r="E121" s="10">
        <f>SUMIFS(_stats[wins_on_date],_stats[player_id],_players[[#This Row],[player_id]])</f>
        <v>3</v>
      </c>
      <c r="F121" s="18">
        <f>SUMIFS(_stats[draws_on_date],_stats[player_id],_players[[#This Row],[player_id]])</f>
        <v>3</v>
      </c>
      <c r="G121" s="18">
        <f>SUM(_players[[#This Row],[goals]:[draws]])</f>
        <v>9</v>
      </c>
    </row>
    <row r="122" spans="1:7" ht="15.75" x14ac:dyDescent="0.25">
      <c r="A122" s="42" t="s">
        <v>138</v>
      </c>
      <c r="B122" s="39" t="s">
        <v>138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2</v>
      </c>
      <c r="F122" s="18">
        <f>SUMIFS(_stats[draws_on_date],_stats[player_id],_players[[#This Row],[player_id]])</f>
        <v>4</v>
      </c>
      <c r="G122" s="18">
        <f>SUM(_players[[#This Row],[goals]:[draws]])</f>
        <v>6</v>
      </c>
    </row>
    <row r="123" spans="1:7" ht="15.75" x14ac:dyDescent="0.25">
      <c r="A123" s="42" t="s">
        <v>139</v>
      </c>
      <c r="B123" s="39" t="s">
        <v>139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2</v>
      </c>
      <c r="F123" s="18">
        <f>SUMIFS(_stats[draws_on_date],_stats[player_id],_players[[#This Row],[player_id]])</f>
        <v>4</v>
      </c>
      <c r="G123" s="18">
        <f>SUM(_players[[#This Row],[goals]:[draws]])</f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966"/>
  <sheetViews>
    <sheetView topLeftCell="A937" workbookViewId="0">
      <selection activeCell="E950" sqref="E950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105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105</v>
      </c>
    </row>
    <row r="944" spans="1:10" ht="15.75" x14ac:dyDescent="0.25">
      <c r="A944" s="23">
        <v>46117</v>
      </c>
      <c r="B944" s="11">
        <v>3</v>
      </c>
      <c r="C944" s="40" t="s">
        <v>138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105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105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105</v>
      </c>
    </row>
    <row r="947" spans="1:10" ht="15.75" x14ac:dyDescent="0.25">
      <c r="A947" s="23">
        <v>46117</v>
      </c>
      <c r="B947" s="11">
        <v>3</v>
      </c>
      <c r="C947" s="40" t="s">
        <v>136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105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105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105</v>
      </c>
    </row>
    <row r="950" spans="1:10" ht="15.75" x14ac:dyDescent="0.25">
      <c r="A950" s="23">
        <v>46117</v>
      </c>
      <c r="B950" s="11">
        <v>3</v>
      </c>
      <c r="C950" s="40" t="s">
        <v>139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105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105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105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105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105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105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105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105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105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105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105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105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105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105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105</v>
      </c>
    </row>
    <row r="965" spans="1:10" ht="15.75" x14ac:dyDescent="0.25">
      <c r="A965" s="23">
        <v>46117</v>
      </c>
      <c r="B965" s="11">
        <v>1</v>
      </c>
      <c r="C965" s="40" t="s">
        <v>137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105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105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40"/>
  <sheetViews>
    <sheetView topLeftCell="A110" workbookViewId="0">
      <selection activeCell="E137" sqref="E137:E140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105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105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105</v>
      </c>
    </row>
  </sheetData>
  <dataValidations count="1">
    <dataValidation type="list" allowBlank="1" showInputMessage="1" showErrorMessage="1" sqref="B2:B140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2026-04-05T11:15:29Z</dcterms:modified>
</cp:coreProperties>
</file>