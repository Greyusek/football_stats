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CF7DE95E-E8C1-41E4-8E1D-BB05DFAA1DB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07" i="2" l="1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E110" i="1" s="1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F110" i="1" s="1"/>
  <c r="D806" i="2"/>
  <c r="G806" i="2"/>
  <c r="H806" i="2"/>
  <c r="C110" i="1"/>
  <c r="D110" i="1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109" i="1"/>
  <c r="E109" i="1"/>
  <c r="F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E108" i="1" s="1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F108" i="1" s="1"/>
  <c r="H777" i="2"/>
  <c r="H778" i="2"/>
  <c r="H779" i="2"/>
  <c r="H780" i="2"/>
  <c r="H781" i="2"/>
  <c r="H782" i="2"/>
  <c r="H783" i="2"/>
  <c r="H784" i="2"/>
  <c r="D761" i="2"/>
  <c r="G761" i="2"/>
  <c r="H761" i="2"/>
  <c r="C108" i="1"/>
  <c r="D108" i="1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E106" i="1" s="1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F106" i="1" s="1"/>
  <c r="H755" i="2"/>
  <c r="H756" i="2"/>
  <c r="F107" i="1" s="1"/>
  <c r="H757" i="2"/>
  <c r="H758" i="2"/>
  <c r="H759" i="2"/>
  <c r="H760" i="2"/>
  <c r="D742" i="2"/>
  <c r="G742" i="2"/>
  <c r="H742" i="2"/>
  <c r="C107" i="1"/>
  <c r="D107" i="1"/>
  <c r="E107" i="1"/>
  <c r="C106" i="1"/>
  <c r="D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E104" i="1" s="1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F105" i="1" s="1"/>
  <c r="H727" i="2"/>
  <c r="H728" i="2"/>
  <c r="H729" i="2"/>
  <c r="H730" i="2"/>
  <c r="D709" i="2"/>
  <c r="G709" i="2"/>
  <c r="H709" i="2"/>
  <c r="C105" i="1"/>
  <c r="D105" i="1"/>
  <c r="C104" i="1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C103" i="1"/>
  <c r="D103" i="1"/>
  <c r="G110" i="1" l="1"/>
  <c r="G109" i="1"/>
  <c r="G108" i="1"/>
  <c r="G107" i="1"/>
  <c r="G106" i="1"/>
  <c r="G105" i="1"/>
  <c r="G104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3" i="1" l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<sst xmlns="http://schemas.openxmlformats.org/spreadsheetml/2006/main" count="2019" uniqueCount="127">
  <si>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</si>
  <si>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</si>
  <si>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</si>
  <si>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</si>
  <si>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</si>
  <si>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</si>
  <si>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</si>
  <si>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</si>
  <si>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</si>
  <si>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</si>
  <si>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</si>
  <si>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</si>
  <si>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</si>
  <si>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</si>
  <si>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</si>
  <si>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</si>
  <si>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</si>
  <si>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</si>
  <si>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</si>
  <si>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</si>
  <si>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</si>
  <si>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</si>
  <si>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</si>
  <si>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</si>
  <si>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</si>
  <si>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</si>
  <si>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</si>
  <si>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</si>
  <si>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</si>
  <si>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</si>
  <si>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</si>
  <si>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</si>
  <si>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</si>
  <si>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</si>
  <si>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</si>
  <si>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</si>
  <si>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</si>
  <si>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</si>
  <si>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</si>
  <si>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</si>
  <si>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</si>
  <si>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</si>
  <si>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</si>
  <si>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</si>
  <si>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</si>
  <si>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</si>
  <si>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</si>
  <si>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</si>
  <si>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</si>
  <si>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</si>
  <si>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</si>
  <si>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</si>
  <si>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</si>
  <si>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</si>
  <si>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</si>
  <si>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</si>
  <si>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</si>
  <si>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</si>
  <si>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</si>
  <si>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</si>
  <si>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</si>
  <si>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</si>
  <si>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</si>
  <si>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</si>
  <si>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</si>
  <si>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</si>
  <si>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</si>
  <si>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</si>
  <si>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</si>
  <si>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</si>
  <si>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</si>
  <si>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</si>
  <si>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</si>
  <si>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</si>
  <si>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</si>
  <si>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</si>
  <si>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</si>
  <si>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</si>
  <si>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</si>
  <si>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</si>
  <si>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</si>
  <si>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</si>
  <si>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</si>
  <si>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</si>
  <si>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</si>
  <si>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</si>
  <si>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</si>
  <si>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</si>
  <si>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</si>
  <si>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</si>
  <si>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</si>
  <si>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</si>
  <si>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</si>
  <si>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</si>
  <si>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</si>
  <si>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</si>
  <si>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</si>
  <si>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</si>
  <si>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</si>
  <si>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</si>
  <si>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</si>
  <si>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</si>
  <si>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</si>
  <si>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</si>
  <si>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</si>
  <si>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</si>
  <si>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</si>
  <si>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</si>
  <si>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</si>
  <si>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</si>
  <si>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</si>
  <si>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</si>
  <si>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</si>
  <si>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</si>
  <si>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</si>
  <si>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</si>
  <si>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</si>
  <si>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</si>
  <si>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</si>
  <si>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</si>
  <si>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</si>
  <si>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</si>
  <si>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</si>
  <si>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</si>
  <si>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</si>
  <si>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</si>
  <si>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(АК+1)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</si>
</sst>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10" totalsRowShown="0" headerRowDxfId="35" headerRowBorderDxfId="34" tableBorderDxfId="33" totalsRowBorderDxfId="32">
  <autoFilter ref="A1:G110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830" totalsRowShown="0" headerRowDxfId="24" dataDxfId="22" headerRowBorderDxfId="23" tableBorderDxfId="21" totalsRowBorderDxfId="20">
  <autoFilter ref="A1:J830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22" totalsRowShown="0" headerRowDxfId="9" dataDxfId="7" headerRowBorderDxfId="8" tableBorderDxfId="6" totalsRowBorderDxfId="5">
  <autoFilter ref="A1:E122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10"/>
  <sheetViews>
    <sheetView topLeftCell="A84" workbookViewId="0">
      <selection activeCell="C110" sqref="C110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68</v>
      </c>
      <c r="D2" s="19">
        <f>SUMIFS(_stats[assists_on_date],_stats[player_id],_players[[#This Row],[player_id]])</f>
        <v>29</v>
      </c>
      <c r="E2" s="19">
        <f>SUMIFS(_stats[wins_on_date],_stats[player_id],_players[[#This Row],[player_id]])</f>
        <v>81</v>
      </c>
      <c r="F2" s="20">
        <f>SUMIFS(_stats[draws_on_date],_stats[player_id],_players[[#This Row],[player_id]])</f>
        <v>5</v>
      </c>
      <c r="G2" s="20">
        <f>SUM(_players[[#This Row],[goals]:[draws]])</f>
        <v>183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45</v>
      </c>
      <c r="D3" s="11">
        <f>SUMIFS(_stats[assists_on_date],_stats[player_id],_players[[#This Row],[player_id]])</f>
        <v>36</v>
      </c>
      <c r="E3" s="11">
        <f>SUMIFS(_stats[wins_on_date],_stats[player_id],_players[[#This Row],[player_id]])</f>
        <v>123</v>
      </c>
      <c r="F3" s="12">
        <f>SUMIFS(_stats[draws_on_date],_stats[player_id],_players[[#This Row],[player_id]])</f>
        <v>17</v>
      </c>
      <c r="G3" s="12">
        <f>SUM(_players[[#This Row],[goals]:[draws]])</f>
        <v>221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71</v>
      </c>
      <c r="D4" s="16">
        <f>SUMIFS(_stats[assists_on_date],_stats[player_id],_players[[#This Row],[player_id]])</f>
        <v>23</v>
      </c>
      <c r="E4" s="16">
        <f>SUMIFS(_stats[wins_on_date],_stats[player_id],_players[[#This Row],[player_id]])</f>
        <v>136</v>
      </c>
      <c r="F4" s="17">
        <f>SUMIFS(_stats[draws_on_date],_stats[player_id],_players[[#This Row],[player_id]])</f>
        <v>17</v>
      </c>
      <c r="G4" s="17">
        <f>SUM(_players[[#This Row],[goals]:[draws]])</f>
        <v>247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23</v>
      </c>
      <c r="E5" s="21">
        <f>SUMIFS(_stats[wins_on_date],_stats[player_id],_players[[#This Row],[player_id]])</f>
        <v>77</v>
      </c>
      <c r="F5" s="22">
        <f>SUMIFS(_stats[draws_on_date],_stats[player_id],_players[[#This Row],[player_id]])</f>
        <v>3</v>
      </c>
      <c r="G5" s="22">
        <f>SUM(_players[[#This Row],[goals]:[draws]])</f>
        <v>118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18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138</v>
      </c>
      <c r="F6" s="17">
        <f>SUMIFS(_stats[draws_on_date],_stats[player_id],_players[[#This Row],[player_id]])</f>
        <v>20</v>
      </c>
      <c r="G6" s="17">
        <f>SUM(_players[[#This Row],[goals]:[draws]])</f>
        <v>191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44</v>
      </c>
      <c r="D7" s="11">
        <f>SUMIFS(_stats[assists_on_date],_stats[player_id],_players[[#This Row],[player_id]])</f>
        <v>30</v>
      </c>
      <c r="E7" s="11">
        <f>SUMIFS(_stats[wins_on_date],_stats[player_id],_players[[#This Row],[player_id]])</f>
        <v>74</v>
      </c>
      <c r="F7" s="12">
        <f>SUMIFS(_stats[draws_on_date],_stats[player_id],_players[[#This Row],[player_id]])</f>
        <v>13</v>
      </c>
      <c r="G7" s="12">
        <f>SUM(_players[[#This Row],[goals]:[draws]])</f>
        <v>161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20</v>
      </c>
      <c r="E8" s="11">
        <f>SUMIFS(_stats[wins_on_date],_stats[player_id],_players[[#This Row],[player_id]])</f>
        <v>108</v>
      </c>
      <c r="F8" s="12">
        <f>SUMIFS(_stats[draws_on_date],_stats[player_id],_players[[#This Row],[player_id]])</f>
        <v>19</v>
      </c>
      <c r="G8" s="12">
        <f>SUM(_players[[#This Row],[goals]:[draws]])</f>
        <v>173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29</v>
      </c>
      <c r="D11" s="21">
        <f>SUMIFS(_stats[assists_on_date],_stats[player_id],_players[[#This Row],[player_id]])</f>
        <v>19</v>
      </c>
      <c r="E11" s="21">
        <f>SUMIFS(_stats[wins_on_date],_stats[player_id],_players[[#This Row],[player_id]])</f>
        <v>58</v>
      </c>
      <c r="F11" s="22">
        <f>SUMIFS(_stats[draws_on_date],_stats[player_id],_players[[#This Row],[player_id]])</f>
        <v>4</v>
      </c>
      <c r="G11" s="22">
        <f>SUM(_players[[#This Row],[goals]:[draws]])</f>
        <v>110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34</v>
      </c>
      <c r="D12" s="16">
        <f>SUMIFS(_stats[assists_on_date],_stats[player_id],_players[[#This Row],[player_id]])</f>
        <v>39</v>
      </c>
      <c r="E12" s="16">
        <f>SUMIFS(_stats[wins_on_date],_stats[player_id],_players[[#This Row],[player_id]])</f>
        <v>65</v>
      </c>
      <c r="F12" s="17">
        <f>SUMIFS(_stats[draws_on_date],_stats[player_id],_players[[#This Row],[player_id]])</f>
        <v>16</v>
      </c>
      <c r="G12" s="17">
        <f>SUM(_players[[#This Row],[goals]:[draws]])</f>
        <v>154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6</v>
      </c>
      <c r="D14" s="11">
        <f>SUMIFS(_stats[assists_on_date],_stats[player_id],_players[[#This Row],[player_id]])</f>
        <v>7</v>
      </c>
      <c r="E14" s="11">
        <f>SUMIFS(_stats[wins_on_date],_stats[player_id],_players[[#This Row],[player_id]])</f>
        <v>98</v>
      </c>
      <c r="F14" s="12">
        <f>SUMIFS(_stats[draws_on_date],_stats[player_id],_players[[#This Row],[player_id]])</f>
        <v>13</v>
      </c>
      <c r="G14" s="12">
        <f>SUM(_players[[#This Row],[goals]:[draws]])</f>
        <v>124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14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53</v>
      </c>
      <c r="F15" s="12">
        <f>SUMIFS(_stats[draws_on_date],_stats[player_id],_players[[#This Row],[player_id]])</f>
        <v>2</v>
      </c>
      <c r="G15" s="12">
        <f>SUM(_players[[#This Row],[goals]:[draws]])</f>
        <v>95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14</v>
      </c>
      <c r="D16" s="11">
        <f>SUMIFS(_stats[assists_on_date],_stats[player_id],_players[[#This Row],[player_id]])</f>
        <v>18</v>
      </c>
      <c r="E16" s="11">
        <f>SUMIFS(_stats[wins_on_date],_stats[player_id],_players[[#This Row],[player_id]])</f>
        <v>38</v>
      </c>
      <c r="F16" s="12">
        <f>SUMIFS(_stats[draws_on_date],_stats[player_id],_players[[#This Row],[player_id]])</f>
        <v>1</v>
      </c>
      <c r="G16" s="12">
        <f>SUM(_players[[#This Row],[goals]:[draws]])</f>
        <v>71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14</v>
      </c>
      <c r="E17" s="11">
        <f>SUMIFS(_stats[wins_on_date],_stats[player_id],_players[[#This Row],[player_id]])</f>
        <v>37</v>
      </c>
      <c r="F17" s="12">
        <f>SUMIFS(_stats[draws_on_date],_stats[player_id],_players[[#This Row],[player_id]])</f>
        <v>2</v>
      </c>
      <c r="G17" s="12">
        <f>SUM(_players[[#This Row],[goals]:[draws]])</f>
        <v>60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25</v>
      </c>
      <c r="F19" s="17">
        <f>SUMIFS(_stats[draws_on_date],_stats[player_id],_players[[#This Row],[player_id]])</f>
        <v>2</v>
      </c>
      <c r="G19" s="17">
        <f>SUM(_players[[#This Row],[goals]:[draws]])</f>
        <v>42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17</v>
      </c>
      <c r="D20" s="11">
        <f>SUMIFS(_stats[assists_on_date],_stats[player_id],_players[[#This Row],[player_id]])</f>
        <v>14</v>
      </c>
      <c r="E20" s="11">
        <f>SUMIFS(_stats[wins_on_date],_stats[player_id],_players[[#This Row],[player_id]])</f>
        <v>76</v>
      </c>
      <c r="F20" s="12">
        <f>SUMIFS(_stats[draws_on_date],_stats[player_id],_players[[#This Row],[player_id]])</f>
        <v>7</v>
      </c>
      <c r="G20" s="12">
        <f>SUM(_players[[#This Row],[goals]:[draws]])</f>
        <v>114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21</v>
      </c>
      <c r="D21" s="11">
        <f>SUMIFS(_stats[assists_on_date],_stats[player_id],_players[[#This Row],[player_id]])</f>
        <v>30</v>
      </c>
      <c r="E21" s="11">
        <f>SUMIFS(_stats[wins_on_date],_stats[player_id],_players[[#This Row],[player_id]])</f>
        <v>72</v>
      </c>
      <c r="F21" s="12">
        <f>SUMIFS(_stats[draws_on_date],_stats[player_id],_players[[#This Row],[player_id]])</f>
        <v>12</v>
      </c>
      <c r="G21" s="12">
        <f>SUM(_players[[#This Row],[goals]:[draws]])</f>
        <v>135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1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77</v>
      </c>
      <c r="F22" s="17">
        <f>SUMIFS(_stats[draws_on_date],_stats[player_id],_players[[#This Row],[player_id]])</f>
        <v>7</v>
      </c>
      <c r="G22" s="17">
        <f>SUM(_players[[#This Row],[goals]:[draws]])</f>
        <v>89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24</v>
      </c>
      <c r="D23" s="11">
        <f>SUMIFS(_stats[assists_on_date],_stats[player_id],_players[[#This Row],[player_id]])</f>
        <v>27</v>
      </c>
      <c r="E23" s="11">
        <f>SUMIFS(_stats[wins_on_date],_stats[player_id],_players[[#This Row],[player_id]])</f>
        <v>91</v>
      </c>
      <c r="F23" s="12">
        <f>SUMIFS(_stats[draws_on_date],_stats[player_id],_players[[#This Row],[player_id]])</f>
        <v>18</v>
      </c>
      <c r="G23" s="12">
        <f>SUM(_players[[#This Row],[goals]:[draws]])</f>
        <v>160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11</v>
      </c>
      <c r="D25" s="11">
        <f>SUMIFS(_stats[assists_on_date],_stats[player_id],_players[[#This Row],[player_id]])</f>
        <v>14</v>
      </c>
      <c r="E25" s="11">
        <f>SUMIFS(_stats[wins_on_date],_stats[player_id],_players[[#This Row],[player_id]])</f>
        <v>69</v>
      </c>
      <c r="F25" s="12">
        <f>SUMIFS(_stats[draws_on_date],_stats[player_id],_players[[#This Row],[player_id]])</f>
        <v>16</v>
      </c>
      <c r="G25" s="12">
        <f>SUM(_players[[#This Row],[goals]:[draws]])</f>
        <v>110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4</v>
      </c>
      <c r="E26" s="16">
        <f>SUMIFS(_stats[wins_on_date],_stats[player_id],_players[[#This Row],[player_id]])</f>
        <v>28</v>
      </c>
      <c r="F26" s="17">
        <f>SUMIFS(_stats[draws_on_date],_stats[player_id],_players[[#This Row],[player_id]])</f>
        <v>6</v>
      </c>
      <c r="G26" s="17">
        <f>SUM(_players[[#This Row],[goals]:[draws]])</f>
        <v>43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11</v>
      </c>
      <c r="E27" s="11">
        <f>SUMIFS(_stats[wins_on_date],_stats[player_id],_players[[#This Row],[player_id]])</f>
        <v>71</v>
      </c>
      <c r="F27" s="12">
        <f>SUMIFS(_stats[draws_on_date],_stats[player_id],_players[[#This Row],[player_id]])</f>
        <v>10</v>
      </c>
      <c r="G27" s="12">
        <f>SUM(_players[[#This Row],[goals]:[draws]])</f>
        <v>103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2</v>
      </c>
      <c r="E28" s="11">
        <f>SUMIFS(_stats[wins_on_date],_stats[player_id],_players[[#This Row],[player_id]])</f>
        <v>48</v>
      </c>
      <c r="F28" s="12">
        <f>SUMIFS(_stats[draws_on_date],_stats[player_id],_players[[#This Row],[player_id]])</f>
        <v>12</v>
      </c>
      <c r="G28" s="12">
        <f>SUM(_players[[#This Row],[goals]:[draws]])</f>
        <v>63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8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35</v>
      </c>
      <c r="F30" s="17">
        <f>SUMIFS(_stats[draws_on_date],_stats[player_id],_players[[#This Row],[player_id]])</f>
        <v>2</v>
      </c>
      <c r="G30" s="17">
        <f>SUM(_players[[#This Row],[goals]:[draws]])</f>
        <v>48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2</v>
      </c>
      <c r="D32" s="11">
        <f>SUMIFS(_stats[assists_on_date],_stats[player_id],_players[[#This Row],[player_id]])</f>
        <v>8</v>
      </c>
      <c r="E32" s="11">
        <f>SUMIFS(_stats[wins_on_date],_stats[player_id],_players[[#This Row],[player_id]])</f>
        <v>16</v>
      </c>
      <c r="F32" s="12">
        <f>SUMIFS(_stats[draws_on_date],_stats[player_id],_players[[#This Row],[player_id]])</f>
        <v>1</v>
      </c>
      <c r="G32" s="12">
        <f>SUM(_players[[#This Row],[goals]:[draws]])</f>
        <v>27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3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13</v>
      </c>
      <c r="F33" s="12">
        <f>SUMIFS(_stats[draws_on_date],_stats[player_id],_players[[#This Row],[player_id]])</f>
        <v>1</v>
      </c>
      <c r="G33" s="12">
        <f>SUM(_players[[#This Row],[goals]:[draws]])</f>
        <v>23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7</v>
      </c>
      <c r="D35" s="16">
        <f>SUMIFS(_stats[assists_on_date],_stats[player_id],_players[[#This Row],[player_id]])</f>
        <v>7</v>
      </c>
      <c r="E35" s="16">
        <f>SUMIFS(_stats[wins_on_date],_stats[player_id],_players[[#This Row],[player_id]])</f>
        <v>55</v>
      </c>
      <c r="F35" s="17">
        <f>SUMIFS(_stats[draws_on_date],_stats[player_id],_players[[#This Row],[player_id]])</f>
        <v>11</v>
      </c>
      <c r="G35" s="17">
        <f>SUM(_players[[#This Row],[goals]:[draws]])</f>
        <v>80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3</v>
      </c>
      <c r="D37" s="11">
        <f>SUMIFS(_stats[assists_on_date],_stats[player_id],_players[[#This Row],[player_id]])</f>
        <v>1</v>
      </c>
      <c r="E37" s="11">
        <f>SUMIFS(_stats[wins_on_date],_stats[player_id],_players[[#This Row],[player_id]])</f>
        <v>32</v>
      </c>
      <c r="F37" s="12">
        <f>SUMIFS(_stats[draws_on_date],_stats[player_id],_players[[#This Row],[player_id]])</f>
        <v>2</v>
      </c>
      <c r="G37" s="12">
        <f>SUM(_players[[#This Row],[goals]:[draws]])</f>
        <v>38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8</v>
      </c>
      <c r="D38" s="11">
        <f>SUMIFS(_stats[assists_on_date],_stats[player_id],_players[[#This Row],[player_id]])</f>
        <v>12</v>
      </c>
      <c r="E38" s="11">
        <f>SUMIFS(_stats[wins_on_date],_stats[player_id],_players[[#This Row],[player_id]])</f>
        <v>41</v>
      </c>
      <c r="F38" s="12">
        <f>SUMIFS(_stats[draws_on_date],_stats[player_id],_players[[#This Row],[player_id]])</f>
        <v>10</v>
      </c>
      <c r="G38" s="12">
        <f>SUM(_players[[#This Row],[goals]:[draws]])</f>
        <v>71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1</v>
      </c>
      <c r="E39" s="11">
        <f>SUMIFS(_stats[wins_on_date],_stats[player_id],_players[[#This Row],[player_id]])</f>
        <v>98</v>
      </c>
      <c r="F39" s="12">
        <f>SUMIFS(_stats[draws_on_date],_stats[player_id],_players[[#This Row],[player_id]])</f>
        <v>22</v>
      </c>
      <c r="G39" s="12">
        <f>SUM(_players[[#This Row],[goals]:[draws]])</f>
        <v>121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17</v>
      </c>
      <c r="D41" s="11">
        <f>SUMIFS(_stats[assists_on_date],_stats[player_id],_players[[#This Row],[player_id]])</f>
        <v>10</v>
      </c>
      <c r="E41" s="11">
        <f>SUMIFS(_stats[wins_on_date],_stats[player_id],_players[[#This Row],[player_id]])</f>
        <v>59</v>
      </c>
      <c r="F41" s="12">
        <f>SUMIFS(_stats[draws_on_date],_stats[player_id],_players[[#This Row],[player_id]])</f>
        <v>13</v>
      </c>
      <c r="G41" s="12">
        <f>SUM(_players[[#This Row],[goals]:[draws]])</f>
        <v>99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6</v>
      </c>
      <c r="D42" s="16">
        <f>SUMIFS(_stats[assists_on_date],_stats[player_id],_players[[#This Row],[player_id]])</f>
        <v>6</v>
      </c>
      <c r="E42" s="16">
        <f>SUMIFS(_stats[wins_on_date],_stats[player_id],_players[[#This Row],[player_id]])</f>
        <v>26</v>
      </c>
      <c r="F42" s="17">
        <f>SUMIFS(_stats[draws_on_date],_stats[player_id],_players[[#This Row],[player_id]])</f>
        <v>2</v>
      </c>
      <c r="G42" s="17">
        <f>SUM(_players[[#This Row],[goals]:[draws]])</f>
        <v>40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4</v>
      </c>
      <c r="D43" s="11">
        <f>SUMIFS(_stats[assists_on_date],_stats[player_id],_players[[#This Row],[player_id]])</f>
        <v>4</v>
      </c>
      <c r="E43" s="11">
        <f>SUMIFS(_stats[wins_on_date],_stats[player_id],_players[[#This Row],[player_id]])</f>
        <v>20</v>
      </c>
      <c r="F43" s="12">
        <f>SUMIFS(_stats[draws_on_date],_stats[player_id],_players[[#This Row],[player_id]])</f>
        <v>0</v>
      </c>
      <c r="G43" s="12">
        <f>SUM(_players[[#This Row],[goals]:[draws]])</f>
        <v>28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1</v>
      </c>
      <c r="D45" s="16">
        <f>SUMIFS(_stats[assists_on_date],_stats[player_id],_players[[#This Row],[player_id]])</f>
        <v>2</v>
      </c>
      <c r="E45" s="16">
        <f>SUMIFS(_stats[wins_on_date],_stats[player_id],_players[[#This Row],[player_id]])</f>
        <v>17</v>
      </c>
      <c r="F45" s="17">
        <f>SUMIFS(_stats[draws_on_date],_stats[player_id],_players[[#This Row],[player_id]])</f>
        <v>1</v>
      </c>
      <c r="G45" s="17">
        <f>SUM(_players[[#This Row],[goals]:[draws]])</f>
        <v>21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52</v>
      </c>
      <c r="F48" s="17">
        <f>SUMIFS(_stats[draws_on_date],_stats[player_id],_players[[#This Row],[player_id]])</f>
        <v>13</v>
      </c>
      <c r="G48" s="17">
        <f>SUM(_players[[#This Row],[goals]:[draws]])</f>
        <v>69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25</v>
      </c>
      <c r="F50" s="12">
        <f>SUMIFS(_stats[draws_on_date],_stats[player_id],_players[[#This Row],[player_id]])</f>
        <v>0</v>
      </c>
      <c r="G50" s="12">
        <f>SUM(_players[[#This Row],[goals]:[draws]])</f>
        <v>26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1</v>
      </c>
      <c r="E54" s="10">
        <f>SUMIFS(_stats[wins_on_date],_stats[player_id],_players[[#This Row],[player_id]])</f>
        <v>15</v>
      </c>
      <c r="F54" s="18">
        <f>SUMIFS(_stats[draws_on_date],_stats[player_id],_players[[#This Row],[player_id]])</f>
        <v>5</v>
      </c>
      <c r="G54" s="18">
        <f>SUM(_players[[#This Row],[goals]:[draws]])</f>
        <v>21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4</v>
      </c>
      <c r="F55" s="8">
        <f>SUMIFS(_stats[draws_on_date],_stats[player_id],_players[[#This Row],[player_id]])</f>
        <v>0</v>
      </c>
      <c r="G55" s="8">
        <f>SUM(_players[[#This Row],[goals]:[draws]])</f>
        <v>6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7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28</v>
      </c>
      <c r="F59" s="18">
        <f>SUMIFS(_stats[draws_on_date],_stats[player_id],_players[[#This Row],[player_id]])</f>
        <v>2</v>
      </c>
      <c r="G59" s="18">
        <f>SUM(_players[[#This Row],[goals]:[draws]])</f>
        <v>41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6</v>
      </c>
      <c r="D64" s="10">
        <f>SUMIFS(_stats[assists_on_date],_stats[player_id],_players[[#This Row],[player_id]])</f>
        <v>7</v>
      </c>
      <c r="E64" s="10">
        <f>SUMIFS(_stats[wins_on_date],_stats[player_id],_players[[#This Row],[player_id]])</f>
        <v>40</v>
      </c>
      <c r="F64" s="18">
        <f>SUMIFS(_stats[draws_on_date],_stats[player_id],_players[[#This Row],[player_id]])</f>
        <v>9</v>
      </c>
      <c r="G64" s="18">
        <f>SUM(_players[[#This Row],[goals]:[draws]])</f>
        <v>62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3</v>
      </c>
      <c r="F67" s="18">
        <f>SUMIFS(_stats[draws_on_date],_stats[player_id],_players[[#This Row],[player_id]])</f>
        <v>0</v>
      </c>
      <c r="G67" s="18">
        <f>SUM(_players[[#This Row],[goals]:[draws]])</f>
        <v>3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10</v>
      </c>
      <c r="D68" s="7">
        <f>SUMIFS(_stats[assists_on_date],_stats[player_id],_players[[#This Row],[player_id]])</f>
        <v>12</v>
      </c>
      <c r="E68" s="7">
        <f>SUMIFS(_stats[wins_on_date],_stats[player_id],_players[[#This Row],[player_id]])</f>
        <v>28</v>
      </c>
      <c r="F68" s="8">
        <f>SUMIFS(_stats[draws_on_date],_stats[player_id],_players[[#This Row],[player_id]])</f>
        <v>2</v>
      </c>
      <c r="G68" s="8">
        <f>SUM(_players[[#This Row],[goals]:[draws]])</f>
        <v>52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0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2</v>
      </c>
      <c r="F69" s="8">
        <f>SUMIFS(_stats[draws_on_date],_stats[player_id],_players[[#This Row],[player_id]])</f>
        <v>0</v>
      </c>
      <c r="G69" s="8">
        <f>SUM(_players[[#This Row],[goals]:[draws]])</f>
        <v>2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30</v>
      </c>
      <c r="D76" s="10">
        <f>SUMIFS(_stats[assists_on_date],_stats[player_id],_players[[#This Row],[player_id]])</f>
        <v>18</v>
      </c>
      <c r="E76" s="10">
        <f>SUMIFS(_stats[wins_on_date],_stats[player_id],_players[[#This Row],[player_id]])</f>
        <v>33</v>
      </c>
      <c r="F76" s="18">
        <f>SUMIFS(_stats[draws_on_date],_stats[player_id],_players[[#This Row],[player_id]])</f>
        <v>6</v>
      </c>
      <c r="G76" s="18">
        <f>SUM(_players[[#This Row],[goals]:[draws]])</f>
        <v>87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36</v>
      </c>
      <c r="D79" s="10">
        <f>SUMIFS(_stats[assists_on_date],_stats[player_id],_players[[#This Row],[player_id]])</f>
        <v>15</v>
      </c>
      <c r="E79" s="10">
        <f>SUMIFS(_stats[wins_on_date],_stats[player_id],_players[[#This Row],[player_id]])</f>
        <v>54</v>
      </c>
      <c r="F79" s="18">
        <f>SUMIFS(_stats[draws_on_date],_stats[player_id],_players[[#This Row],[player_id]])</f>
        <v>11</v>
      </c>
      <c r="G79" s="18">
        <f>SUM(_players[[#This Row],[goals]:[draws]])</f>
        <v>116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7</v>
      </c>
      <c r="D83" s="10">
        <f>SUMIFS(_stats[assists_on_date],_stats[player_id],_players[[#This Row],[player_id]])</f>
        <v>5</v>
      </c>
      <c r="E83" s="10">
        <f>SUMIFS(_stats[wins_on_date],_stats[player_id],_players[[#This Row],[player_id]])</f>
        <v>21</v>
      </c>
      <c r="F83" s="18">
        <f>SUMIFS(_stats[draws_on_date],_stats[player_id],_players[[#This Row],[player_id]])</f>
        <v>1</v>
      </c>
      <c r="G83" s="18">
        <f>SUM(_players[[#This Row],[goals]:[draws]])</f>
        <v>34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11</v>
      </c>
      <c r="D87" s="10">
        <f>SUMIFS(_stats[assists_on_date],_stats[player_id],_players[[#This Row],[player_id]])</f>
        <v>4</v>
      </c>
      <c r="E87" s="10">
        <f>SUMIFS(_stats[wins_on_date],_stats[player_id],_players[[#This Row],[player_id]])</f>
        <v>19</v>
      </c>
      <c r="F87" s="18">
        <f>SUMIFS(_stats[draws_on_date],_stats[player_id],_players[[#This Row],[player_id]])</f>
        <v>3</v>
      </c>
      <c r="G87" s="18">
        <f>SUM(_players[[#This Row],[goals]:[draws]])</f>
        <v>37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10</v>
      </c>
      <c r="F93" s="18">
        <f>SUMIFS(_stats[draws_on_date],_stats[player_id],_players[[#This Row],[player_id]])</f>
        <v>1</v>
      </c>
      <c r="G93" s="17">
        <f>SUM(_players[[#This Row],[goals]:[draws]])</f>
        <v>17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4</v>
      </c>
      <c r="D106" s="10">
        <f>SUMIFS(_stats[assists_on_date],_stats[player_id],_players[[#This Row],[player_id]])</f>
        <v>0</v>
      </c>
      <c r="E106" s="10">
        <f>SUMIFS(_stats[wins_on_date],_stats[player_id],_players[[#This Row],[player_id]])</f>
        <v>4</v>
      </c>
      <c r="F106" s="18">
        <f>SUMIFS(_stats[draws_on_date],_stats[player_id],_players[[#This Row],[player_id]])</f>
        <v>0</v>
      </c>
      <c r="G106" s="18">
        <f>SUM(_players[[#This Row],[goals]:[draws]])</f>
        <v>8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x14ac:dyDescent="0.25">
      <c r="A110" s="36" t="s">
        <v>126</v>
      </c>
      <c r="B110" s="3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2</v>
      </c>
      <c r="F110" s="18">
        <f>SUMIFS(_stats[draws_on_date],_stats[player_id],_players[[#This Row],[player_id]])</f>
        <v>1</v>
      </c>
      <c r="G110" s="18">
        <f>SUM(_players[[#This Row],[goals]:[draws]])</f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830"/>
  <sheetViews>
    <sheetView tabSelected="1" topLeftCell="A798" workbookViewId="0">
      <selection activeCell="G820" sqref="G820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(АК+1)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</sheetData>
  <phoneticPr fontId="5" type="noConversion"/>
  <dataValidations count="1">
    <dataValidation type="list" allowBlank="1" showInputMessage="1" showErrorMessage="1" sqref="C2:C830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22"/>
  <sheetViews>
    <sheetView topLeftCell="A101" workbookViewId="0">
      <selection activeCell="E121" sqref="E121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</sheetData>
  <dataValidations count="1">
    <dataValidation type="list" allowBlank="1" showInputMessage="1" showErrorMessage="1" sqref="B2:B122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2025-11-09T20:59:51Z</dcterms:modified>
</cp:coreProperties>
</file>