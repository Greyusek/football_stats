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F1412B8A-BA0E-46D5-BA7F-EA2ED4CF0B2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8" i="1" l="1"/>
  <c r="D138" i="1"/>
  <c r="C137" i="1"/>
  <c r="D137" i="1"/>
  <c r="F137" i="1"/>
  <c r="C136" i="1"/>
  <c r="D136" i="1"/>
  <c r="F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E137" i="1" s="1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F134" i="1" s="1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E133" i="1" s="1"/>
  <c r="H1070" i="2"/>
  <c r="F133" i="1" s="1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E126" i="1" s="1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37" i="1" l="1"/>
  <c r="F124" i="1"/>
  <c r="G124" i="1" s="1"/>
  <c r="G138" i="1"/>
  <c r="G136" i="1"/>
  <c r="G135" i="1"/>
  <c r="F125" i="1"/>
  <c r="G125" i="1" s="1"/>
  <c r="G134" i="1"/>
  <c r="G133" i="1"/>
  <c r="G132" i="1"/>
  <c r="E121" i="1"/>
  <c r="F123" i="1"/>
  <c r="E123" i="1"/>
  <c r="G131" i="1"/>
  <c r="G130" i="1"/>
  <c r="G129" i="1"/>
  <c r="F121" i="1"/>
  <c r="F126" i="1"/>
  <c r="G126" i="1" s="1"/>
  <c r="F120" i="1"/>
  <c r="F122" i="1"/>
  <c r="E122" i="1"/>
  <c r="G128" i="1"/>
  <c r="G127" i="1"/>
  <c r="E120" i="1"/>
  <c r="G119" i="1"/>
  <c r="G118" i="1"/>
  <c r="G121" i="1" l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<sst xmlns="http://schemas.openxmlformats.org/spreadsheetml/2006/main" count="2735" uniqueCount="155">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</sst>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38" totalsRowShown="0" headerRowDxfId="35" headerRowBorderDxfId="34" tableBorderDxfId="33" totalsRowBorderDxfId="32">
  <autoFilter ref="A1:G138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140" totalsRowShown="0" headerRowDxfId="24" dataDxfId="22" headerRowBorderDxfId="23" tableBorderDxfId="21" totalsRowBorderDxfId="20">
  <autoFilter ref="A1:J1140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62" totalsRowShown="0" headerRowDxfId="9" dataDxfId="7" headerRowBorderDxfId="8" tableBorderDxfId="6" totalsRowBorderDxfId="5">
  <autoFilter ref="A1:E162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38"/>
  <sheetViews>
    <sheetView topLeftCell="A21" workbookViewId="0">
      <selection activeCell="A21" sqref="A21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79</v>
      </c>
      <c r="D2" s="19">
        <f>SUMIFS(_stats[assists_on_date],_stats[player_id],_players[[#This Row],[player_id]])</f>
        <v>33</v>
      </c>
      <c r="E2" s="19">
        <f>SUMIFS(_stats[wins_on_date],_stats[player_id],_players[[#This Row],[player_id]])</f>
        <v>98</v>
      </c>
      <c r="F2" s="20">
        <f>SUMIFS(_stats[draws_on_date],_stats[player_id],_players[[#This Row],[player_id]])</f>
        <v>10</v>
      </c>
      <c r="G2" s="20">
        <f>SUM(_players[[#This Row],[goals]:[draws]])</f>
        <v>220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151</v>
      </c>
      <c r="F3" s="12">
        <f>SUMIFS(_stats[draws_on_date],_stats[player_id],_players[[#This Row],[player_id]])</f>
        <v>32</v>
      </c>
      <c r="G3" s="12">
        <f>SUM(_players[[#This Row],[goals]:[draws]])</f>
        <v>280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165</v>
      </c>
      <c r="F4" s="17">
        <f>SUMIFS(_stats[draws_on_date],_stats[player_id],_players[[#This Row],[player_id]])</f>
        <v>35</v>
      </c>
      <c r="G4" s="17">
        <f>SUM(_players[[#This Row],[goals]:[draws]])</f>
        <v>306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26</v>
      </c>
      <c r="E5" s="21">
        <f>SUMIFS(_stats[wins_on_date],_stats[player_id],_players[[#This Row],[player_id]])</f>
        <v>92</v>
      </c>
      <c r="F5" s="22">
        <f>SUMIFS(_stats[draws_on_date],_stats[player_id],_players[[#This Row],[player_id]])</f>
        <v>7</v>
      </c>
      <c r="G5" s="22">
        <f>SUM(_players[[#This Row],[goals]:[draws]])</f>
        <v>141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25</v>
      </c>
      <c r="D6" s="16">
        <f>SUMIFS(_stats[assists_on_date],_stats[player_id],_players[[#This Row],[player_id]])</f>
        <v>16</v>
      </c>
      <c r="E6" s="16">
        <f>SUMIFS(_stats[wins_on_date],_stats[player_id],_players[[#This Row],[player_id]])</f>
        <v>171</v>
      </c>
      <c r="F6" s="17">
        <f>SUMIFS(_stats[draws_on_date],_stats[player_id],_players[[#This Row],[player_id]])</f>
        <v>36</v>
      </c>
      <c r="G6" s="17">
        <f>SUM(_players[[#This Row],[goals]:[draws]])</f>
        <v>248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36</v>
      </c>
      <c r="D8" s="11">
        <f>SUMIFS(_stats[assists_on_date],_stats[player_id],_players[[#This Row],[player_id]])</f>
        <v>25</v>
      </c>
      <c r="E8" s="11">
        <f>SUMIFS(_stats[wins_on_date],_stats[player_id],_players[[#This Row],[player_id]])</f>
        <v>138</v>
      </c>
      <c r="F8" s="12">
        <f>SUMIFS(_stats[draws_on_date],_stats[player_id],_players[[#This Row],[player_id]])</f>
        <v>33</v>
      </c>
      <c r="G8" s="12">
        <f>SUM(_players[[#This Row],[goals]:[draws]])</f>
        <v>232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59</v>
      </c>
      <c r="D12" s="16">
        <f>SUMIFS(_stats[assists_on_date],_stats[player_id],_players[[#This Row],[player_id]])</f>
        <v>69</v>
      </c>
      <c r="E12" s="16">
        <f>SUMIFS(_stats[wins_on_date],_stats[player_id],_players[[#This Row],[player_id]])</f>
        <v>119</v>
      </c>
      <c r="F12" s="17">
        <f>SUMIFS(_stats[draws_on_date],_stats[player_id],_players[[#This Row],[player_id]])</f>
        <v>35</v>
      </c>
      <c r="G12" s="17">
        <f>SUM(_players[[#This Row],[goals]:[draws]])</f>
        <v>282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131</v>
      </c>
      <c r="F14" s="12">
        <f>SUMIFS(_stats[draws_on_date],_stats[player_id],_players[[#This Row],[player_id]])</f>
        <v>31</v>
      </c>
      <c r="G14" s="12">
        <f>SUM(_players[[#This Row],[goals]:[draws]])</f>
        <v>179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4</v>
      </c>
      <c r="G15" s="12">
        <f>SUM(_players[[#This Row],[goals]:[draws]])</f>
        <v>102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16</v>
      </c>
      <c r="D16" s="11">
        <f>SUMIFS(_stats[assists_on_date],_stats[player_id],_players[[#This Row],[player_id]])</f>
        <v>24</v>
      </c>
      <c r="E16" s="11">
        <f>SUMIFS(_stats[wins_on_date],_stats[player_id],_players[[#This Row],[player_id]])</f>
        <v>53</v>
      </c>
      <c r="F16" s="12">
        <f>SUMIFS(_stats[draws_on_date],_stats[player_id],_players[[#This Row],[player_id]])</f>
        <v>4</v>
      </c>
      <c r="G16" s="12">
        <f>SUM(_players[[#This Row],[goals]:[draws]])</f>
        <v>97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53</v>
      </c>
      <c r="F17" s="12">
        <f>SUMIFS(_stats[draws_on_date],_stats[player_id],_players[[#This Row],[player_id]])</f>
        <v>11</v>
      </c>
      <c r="G17" s="12">
        <f>SUM(_players[[#This Row],[goals]:[draws]])</f>
        <v>89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35</v>
      </c>
      <c r="D18" s="11">
        <f>SUMIFS(_stats[assists_on_date],_stats[player_id],_players[[#This Row],[player_id]])</f>
        <v>31</v>
      </c>
      <c r="E18" s="11">
        <f>SUMIFS(_stats[wins_on_date],_stats[player_id],_players[[#This Row],[player_id]])</f>
        <v>90</v>
      </c>
      <c r="F18" s="12">
        <f>SUMIFS(_stats[draws_on_date],_stats[player_id],_players[[#This Row],[player_id]])</f>
        <v>9</v>
      </c>
      <c r="G18" s="12">
        <f>SUM(_players[[#This Row],[goals]:[draws]])</f>
        <v>165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SUM(_players[[#This Row],[goals]:[draws]])</f>
        <v>44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101</v>
      </c>
      <c r="F20" s="12">
        <f>SUMIFS(_stats[draws_on_date],_stats[player_id],_players[[#This Row],[player_id]])</f>
        <v>20</v>
      </c>
      <c r="G20" s="12">
        <f>SUM(_players[[#This Row],[goals]:[draws]])</f>
        <v>157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35</v>
      </c>
      <c r="D21" s="11">
        <f>SUMIFS(_stats[assists_on_date],_stats[player_id],_players[[#This Row],[player_id]])</f>
        <v>42</v>
      </c>
      <c r="E21" s="11">
        <f>SUMIFS(_stats[wins_on_date],_stats[player_id],_players[[#This Row],[player_id]])</f>
        <v>110</v>
      </c>
      <c r="F21" s="12">
        <f>SUMIFS(_stats[draws_on_date],_stats[player_id],_players[[#This Row],[player_id]])</f>
        <v>28</v>
      </c>
      <c r="G21" s="12">
        <f>SUM(_players[[#This Row],[goals]:[draws]])</f>
        <v>215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101</v>
      </c>
      <c r="F22" s="17">
        <f>SUMIFS(_stats[draws_on_date],_stats[player_id],_players[[#This Row],[player_id]])</f>
        <v>18</v>
      </c>
      <c r="G22" s="17">
        <f>SUM(_players[[#This Row],[goals]:[draws]])</f>
        <v>128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31</v>
      </c>
      <c r="D23" s="11">
        <f>SUMIFS(_stats[assists_on_date],_stats[player_id],_players[[#This Row],[player_id]])</f>
        <v>35</v>
      </c>
      <c r="E23" s="11">
        <f>SUMIFS(_stats[wins_on_date],_stats[player_id],_players[[#This Row],[player_id]])</f>
        <v>107</v>
      </c>
      <c r="F23" s="12">
        <f>SUMIFS(_stats[draws_on_date],_stats[player_id],_players[[#This Row],[player_id]])</f>
        <v>23</v>
      </c>
      <c r="G23" s="12">
        <f>SUM(_players[[#This Row],[goals]:[draws]])</f>
        <v>196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14</v>
      </c>
      <c r="D25" s="11">
        <f>SUMIFS(_stats[assists_on_date],_stats[player_id],_players[[#This Row],[player_id]])</f>
        <v>20</v>
      </c>
      <c r="E25" s="11">
        <f>SUMIFS(_stats[wins_on_date],_stats[player_id],_players[[#This Row],[player_id]])</f>
        <v>96</v>
      </c>
      <c r="F25" s="12">
        <f>SUMIFS(_stats[draws_on_date],_stats[player_id],_players[[#This Row],[player_id]])</f>
        <v>29</v>
      </c>
      <c r="G25" s="12">
        <f>SUM(_players[[#This Row],[goals]:[draws]])</f>
        <v>159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5</v>
      </c>
      <c r="G31" s="17">
        <f>SUM(_players[[#This Row],[goals]:[draws]])</f>
        <v>70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SUM(_players[[#This Row],[goals]:[draws]])</f>
        <v>71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12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72</v>
      </c>
      <c r="F35" s="17">
        <f>SUMIFS(_stats[draws_on_date],_stats[player_id],_players[[#This Row],[player_id]])</f>
        <v>23</v>
      </c>
      <c r="G35" s="17">
        <f>SUM(_players[[#This Row],[goals]:[draws]])</f>
        <v>117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56</v>
      </c>
      <c r="F38" s="12">
        <f>SUMIFS(_stats[draws_on_date],_stats[player_id],_players[[#This Row],[player_id]])</f>
        <v>19</v>
      </c>
      <c r="G38" s="12">
        <f>SUM(_players[[#This Row],[goals]:[draws]])</f>
        <v>102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134</v>
      </c>
      <c r="F39" s="12">
        <f>SUMIFS(_stats[draws_on_date],_stats[player_id],_players[[#This Row],[player_id]])</f>
        <v>43</v>
      </c>
      <c r="G39" s="12">
        <f>SUM(_players[[#This Row],[goals]:[draws]])</f>
        <v>179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24</v>
      </c>
      <c r="G41" s="12">
        <f>SUM(_players[[#This Row],[goals]:[draws]])</f>
        <v>134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10</v>
      </c>
      <c r="E42" s="16">
        <f>SUMIFS(_stats[wins_on_date],_stats[player_id],_players[[#This Row],[player_id]])</f>
        <v>46</v>
      </c>
      <c r="F42" s="17">
        <f>SUMIFS(_stats[draws_on_date],_stats[player_id],_players[[#This Row],[player_id]])</f>
        <v>11</v>
      </c>
      <c r="G42" s="17">
        <f>SUM(_players[[#This Row],[goals]:[draws]])</f>
        <v>80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34</v>
      </c>
      <c r="F43" s="12">
        <f>SUMIFS(_stats[draws_on_date],_stats[player_id],_players[[#This Row],[player_id]])</f>
        <v>10</v>
      </c>
      <c r="G43" s="12">
        <f>SUM(_players[[#This Row],[goals]:[draws]])</f>
        <v>59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SUM(_players[[#This Row],[goals]:[draws]])</f>
        <v>91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SUM(_players[[#This Row],[goals]:[draws]])</f>
        <v>13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SUM(_players[[#This Row],[goals]:[draws]])</f>
        <v>19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12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35</v>
      </c>
      <c r="F59" s="18">
        <f>SUMIFS(_stats[draws_on_date],_stats[player_id],_players[[#This Row],[player_id]])</f>
        <v>7</v>
      </c>
      <c r="G59" s="18">
        <f>SUM(_players[[#This Row],[goals]:[draws]])</f>
        <v>58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19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81</v>
      </c>
      <c r="F64" s="18">
        <f>SUMIFS(_stats[draws_on_date],_stats[player_id],_players[[#This Row],[player_id]])</f>
        <v>22</v>
      </c>
      <c r="G64" s="18">
        <f>SUM(_players[[#This Row],[goals]:[draws]])</f>
        <v>139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8</v>
      </c>
      <c r="G68" s="8">
        <f>SUM(_players[[#This Row],[goals]:[draws]])</f>
        <v>76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SUM(_players[[#This Row],[goals]:[draws]])</f>
        <v>9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37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SUM(_players[[#This Row],[goals]:[draws]])</f>
        <v>105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2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12</v>
      </c>
      <c r="F84" s="18">
        <f>SUMIFS(_stats[draws_on_date],_stats[player_id],_players[[#This Row],[player_id]])</f>
        <v>1</v>
      </c>
      <c r="G84" s="18">
        <f>SUM(_players[[#This Row],[goals]:[draws]])</f>
        <v>18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SUM(_players[[#This Row],[goals]:[draws]])</f>
        <v>65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SUM(_players[[#This Row],[goals]:[draws]])</f>
        <v>39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25</v>
      </c>
      <c r="F110" s="18">
        <f>SUMIFS(_stats[draws_on_date],_stats[player_id],_players[[#This Row],[player_id]])</f>
        <v>10</v>
      </c>
      <c r="G110" s="18">
        <f>SUM(_players[[#This Row],[goals]:[draws]])</f>
        <v>35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17</v>
      </c>
      <c r="F120" s="18">
        <f>SUMIFS(_stats[draws_on_date],_stats[player_id],_players[[#This Row],[player_id]])</f>
        <v>7</v>
      </c>
      <c r="G120" s="18">
        <f>SUM(_players[[#This Row],[goals]:[draws]])</f>
        <v>34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9</v>
      </c>
      <c r="D121" s="10">
        <f>SUMIFS(_stats[assists_on_date],_stats[player_id],_players[[#This Row],[player_id]])</f>
        <v>6</v>
      </c>
      <c r="E121" s="10">
        <f>SUMIFS(_stats[wins_on_date],_stats[player_id],_players[[#This Row],[player_id]])</f>
        <v>32</v>
      </c>
      <c r="F121" s="18">
        <f>SUMIFS(_stats[draws_on_date],_stats[player_id],_players[[#This Row],[player_id]])</f>
        <v>11</v>
      </c>
      <c r="G121" s="18">
        <f>SUM(_players[[#This Row],[goals]:[draws]])</f>
        <v>58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SUM(_players[[#This Row],[goals]:[draws]])</f>
        <v>12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SUM(_players[[#This Row],[goals]:[draws]])</f>
        <v>15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2</v>
      </c>
      <c r="E126" s="10">
        <f>SUMIFS(_stats[wins_on_date],_stats[player_id],_players[[#This Row],[player_id]])</f>
        <v>7</v>
      </c>
      <c r="F126" s="18">
        <f>SUMIFS(_stats[draws_on_date],_stats[player_id],_players[[#This Row],[player_id]])</f>
        <v>3</v>
      </c>
      <c r="G126" s="18">
        <f>SUM(_players[[#This Row],[goals]:[draws]])</f>
        <v>16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SUM(_players[[#This Row],[goals]:[draws]])</f>
        <v>18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7</v>
      </c>
      <c r="F134" s="18">
        <f>SUMIFS(_stats[draws_on_date],_stats[player_id],_players[[#This Row],[player_id]])</f>
        <v>2</v>
      </c>
      <c r="G134" s="18">
        <f>SUM(_players[[#This Row],[goals]:[draws]])</f>
        <v>9</v>
      </c>
    </row>
    <row r="135" spans="1:7" x14ac:dyDescent="0.25">
      <c r="A135" s="36" t="s">
        <v>151</v>
      </c>
      <c r="B135" s="36" t="s">
        <v>151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SUM(_players[[#This Row],[goals]:[draws]])</f>
        <v>1</v>
      </c>
    </row>
    <row r="136" spans="1:7" x14ac:dyDescent="0.25">
      <c r="A136" s="36" t="s">
        <v>152</v>
      </c>
      <c r="B136" s="36" t="s">
        <v>152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SUM(_players[[#This Row],[goals]:[draws]])</f>
        <v>8</v>
      </c>
    </row>
    <row r="137" spans="1:7" x14ac:dyDescent="0.25">
      <c r="A137" s="36" t="s">
        <v>153</v>
      </c>
      <c r="B137" s="36" t="s">
        <v>153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7</v>
      </c>
      <c r="F137" s="18">
        <f>SUMIFS(_stats[draws_on_date],_stats[player_id],_players[[#This Row],[player_id]])</f>
        <v>1</v>
      </c>
      <c r="G137" s="18">
        <f>SUM(_players[[#This Row],[goals]:[draws]])</f>
        <v>10</v>
      </c>
    </row>
    <row r="138" spans="1:7" x14ac:dyDescent="0.25">
      <c r="A138" s="36" t="s">
        <v>154</v>
      </c>
      <c r="B138" s="36" t="s">
        <v>154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SUM(_players[[#This Row],[goals]:[draws]])</f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140"/>
  <sheetViews>
    <sheetView tabSelected="1" topLeftCell="A1105" workbookViewId="0">
      <selection activeCell="E1139" sqref="E1139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  <row r="1081" spans="1:10" x14ac:dyDescent="0.25">
      <c r="A1081" s="6">
        <v>46142</v>
      </c>
      <c r="B1081" s="7">
        <v>2</v>
      </c>
      <c r="C1081" s="7" t="s">
        <v>22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6" t="s">
        <v>104</v>
      </c>
    </row>
    <row r="1082" spans="1:10" x14ac:dyDescent="0.25">
      <c r="A1082" s="6">
        <v>46142</v>
      </c>
      <c r="B1082" s="7">
        <v>2</v>
      </c>
      <c r="C1082" s="7" t="s">
        <v>95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6" t="s">
        <v>104</v>
      </c>
    </row>
    <row r="1083" spans="1:10" x14ac:dyDescent="0.25">
      <c r="A1083" s="6">
        <v>46142</v>
      </c>
      <c r="B1083" s="7">
        <v>1</v>
      </c>
      <c r="C1083" s="7" t="s">
        <v>46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6" t="s">
        <v>104</v>
      </c>
    </row>
    <row r="1084" spans="1:10" x14ac:dyDescent="0.25">
      <c r="A1084" s="6">
        <v>46142</v>
      </c>
      <c r="B1084" s="7">
        <v>1</v>
      </c>
      <c r="C1084" s="7" t="s">
        <v>13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6" t="s">
        <v>104</v>
      </c>
    </row>
    <row r="1085" spans="1:10" x14ac:dyDescent="0.25">
      <c r="A1085" s="6">
        <v>46142</v>
      </c>
      <c r="B1085" s="7">
        <v>3</v>
      </c>
      <c r="C1085" s="7" t="s">
        <v>18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6" t="s">
        <v>104</v>
      </c>
    </row>
    <row r="1086" spans="1:10" x14ac:dyDescent="0.25">
      <c r="A1086" s="6">
        <v>46142</v>
      </c>
      <c r="B1086" s="7">
        <v>3</v>
      </c>
      <c r="C1086" s="7" t="s">
        <v>64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6" t="s">
        <v>104</v>
      </c>
    </row>
    <row r="1087" spans="1:10" x14ac:dyDescent="0.25">
      <c r="A1087" s="6">
        <v>46142</v>
      </c>
      <c r="B1087" s="7">
        <v>1</v>
      </c>
      <c r="C1087" s="7" t="s">
        <v>60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6" t="s">
        <v>104</v>
      </c>
    </row>
    <row r="1088" spans="1:10" x14ac:dyDescent="0.25">
      <c r="A1088" s="6">
        <v>46142</v>
      </c>
      <c r="B1088" s="7">
        <v>1</v>
      </c>
      <c r="C1088" s="7" t="s">
        <v>136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6" t="s">
        <v>104</v>
      </c>
    </row>
    <row r="1089" spans="1:10" x14ac:dyDescent="0.25">
      <c r="A1089" s="6">
        <v>46142</v>
      </c>
      <c r="B1089" s="7">
        <v>2</v>
      </c>
      <c r="C1089" s="7" t="s">
        <v>43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6" t="s">
        <v>104</v>
      </c>
    </row>
    <row r="1090" spans="1:10" x14ac:dyDescent="0.25">
      <c r="A1090" s="6">
        <v>46142</v>
      </c>
      <c r="B1090" s="7">
        <v>1</v>
      </c>
      <c r="C1090" s="7" t="s">
        <v>45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6" t="s">
        <v>104</v>
      </c>
    </row>
    <row r="1091" spans="1:10" x14ac:dyDescent="0.25">
      <c r="A1091" s="6">
        <v>46142</v>
      </c>
      <c r="B1091" s="7">
        <v>3</v>
      </c>
      <c r="C1091" s="7" t="s">
        <v>50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6" t="s">
        <v>104</v>
      </c>
    </row>
    <row r="1092" spans="1:10" x14ac:dyDescent="0.25">
      <c r="A1092" s="6">
        <v>46142</v>
      </c>
      <c r="B1092" s="7">
        <v>1</v>
      </c>
      <c r="C1092" s="7" t="s">
        <v>23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6" t="s">
        <v>104</v>
      </c>
    </row>
    <row r="1093" spans="1:10" x14ac:dyDescent="0.25">
      <c r="A1093" s="6">
        <v>46142</v>
      </c>
      <c r="B1093" s="7">
        <v>2</v>
      </c>
      <c r="C1093" s="7" t="s">
        <v>92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6" t="s">
        <v>104</v>
      </c>
    </row>
    <row r="1094" spans="1:10" x14ac:dyDescent="0.25">
      <c r="A1094" s="6">
        <v>46142</v>
      </c>
      <c r="B1094" s="7">
        <v>2</v>
      </c>
      <c r="C1094" s="7" t="s">
        <v>15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6" t="s">
        <v>104</v>
      </c>
    </row>
    <row r="1095" spans="1:10" x14ac:dyDescent="0.25">
      <c r="A1095" s="6">
        <v>46142</v>
      </c>
      <c r="B1095" s="7">
        <v>1</v>
      </c>
      <c r="C1095" s="7" t="s">
        <v>80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6" t="s">
        <v>104</v>
      </c>
    </row>
    <row r="1096" spans="1:10" x14ac:dyDescent="0.25">
      <c r="A1096" s="6">
        <v>46142</v>
      </c>
      <c r="B1096" s="7">
        <v>2</v>
      </c>
      <c r="C1096" s="7" t="s">
        <v>20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6" t="s">
        <v>104</v>
      </c>
    </row>
    <row r="1097" spans="1:10" x14ac:dyDescent="0.25">
      <c r="A1097" s="6">
        <v>46142</v>
      </c>
      <c r="B1097" s="7">
        <v>3</v>
      </c>
      <c r="C1097" s="7" t="s">
        <v>68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6" t="s">
        <v>104</v>
      </c>
    </row>
    <row r="1098" spans="1:10" x14ac:dyDescent="0.25">
      <c r="A1098" s="6">
        <v>46142</v>
      </c>
      <c r="B1098" s="7">
        <v>3</v>
      </c>
      <c r="C1098" s="7" t="s">
        <v>151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6" t="s">
        <v>104</v>
      </c>
    </row>
    <row r="1099" spans="1:10" x14ac:dyDescent="0.25">
      <c r="A1099" s="6">
        <v>46142</v>
      </c>
      <c r="B1099" s="7">
        <v>3</v>
      </c>
      <c r="C1099" s="7" t="s">
        <v>66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6" t="s">
        <v>104</v>
      </c>
    </row>
    <row r="1100" spans="1:10" x14ac:dyDescent="0.25">
      <c r="A1100" s="6">
        <v>46142</v>
      </c>
      <c r="B1100" s="7">
        <v>2</v>
      </c>
      <c r="C1100" s="7" t="s">
        <v>81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6" t="s">
        <v>104</v>
      </c>
    </row>
    <row r="1101" spans="1:10" x14ac:dyDescent="0.25">
      <c r="A1101" s="6">
        <v>46142</v>
      </c>
      <c r="B1101" s="7">
        <v>3</v>
      </c>
      <c r="C1101" s="7" t="s">
        <v>125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6" t="s">
        <v>104</v>
      </c>
    </row>
    <row r="1102" spans="1:10" x14ac:dyDescent="0.25">
      <c r="A1102" s="6">
        <v>46145</v>
      </c>
      <c r="B1102" s="7">
        <v>2</v>
      </c>
      <c r="C1102" s="7" t="s">
        <v>12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6" t="s">
        <v>104</v>
      </c>
    </row>
    <row r="1103" spans="1:10" x14ac:dyDescent="0.25">
      <c r="A1103" s="6">
        <v>46145</v>
      </c>
      <c r="B1103" s="7">
        <v>4</v>
      </c>
      <c r="C1103" s="7" t="s">
        <v>125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6" t="s">
        <v>104</v>
      </c>
    </row>
    <row r="1104" spans="1:10" x14ac:dyDescent="0.25">
      <c r="A1104" s="6">
        <v>46145</v>
      </c>
      <c r="B1104" s="7">
        <v>3</v>
      </c>
      <c r="C1104" s="7" t="s">
        <v>111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6" t="s">
        <v>104</v>
      </c>
    </row>
    <row r="1105" spans="1:10" x14ac:dyDescent="0.25">
      <c r="A1105" s="6">
        <v>46145</v>
      </c>
      <c r="B1105" s="7">
        <v>2</v>
      </c>
      <c r="C1105" s="7" t="s">
        <v>65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6" t="s">
        <v>104</v>
      </c>
    </row>
    <row r="1106" spans="1:10" x14ac:dyDescent="0.25">
      <c r="A1106" s="6">
        <v>46145</v>
      </c>
      <c r="B1106" s="7">
        <v>2</v>
      </c>
      <c r="C1106" s="7" t="s">
        <v>152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6" t="s">
        <v>104</v>
      </c>
    </row>
    <row r="1107" spans="1:10" x14ac:dyDescent="0.25">
      <c r="A1107" s="6">
        <v>46145</v>
      </c>
      <c r="B1107" s="7">
        <v>1</v>
      </c>
      <c r="C1107" s="7" t="s">
        <v>50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6" t="s">
        <v>104</v>
      </c>
    </row>
    <row r="1108" spans="1:10" x14ac:dyDescent="0.25">
      <c r="A1108" s="6">
        <v>46145</v>
      </c>
      <c r="B1108" s="7">
        <v>2</v>
      </c>
      <c r="C1108" s="7" t="s">
        <v>60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6" t="s">
        <v>104</v>
      </c>
    </row>
    <row r="1109" spans="1:10" x14ac:dyDescent="0.25">
      <c r="A1109" s="6">
        <v>46145</v>
      </c>
      <c r="B1109" s="7">
        <v>2</v>
      </c>
      <c r="C1109" s="7" t="s">
        <v>15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6" t="s">
        <v>104</v>
      </c>
    </row>
    <row r="1110" spans="1:10" x14ac:dyDescent="0.25">
      <c r="A1110" s="6">
        <v>46145</v>
      </c>
      <c r="B1110" s="7">
        <v>4</v>
      </c>
      <c r="C1110" s="7" t="s">
        <v>76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6" t="s">
        <v>104</v>
      </c>
    </row>
    <row r="1111" spans="1:10" x14ac:dyDescent="0.25">
      <c r="A1111" s="6">
        <v>46145</v>
      </c>
      <c r="B1111" s="7">
        <v>1</v>
      </c>
      <c r="C1111" s="7" t="s">
        <v>46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6" t="s">
        <v>104</v>
      </c>
    </row>
    <row r="1112" spans="1:10" x14ac:dyDescent="0.25">
      <c r="A1112" s="6">
        <v>46145</v>
      </c>
      <c r="B1112" s="7">
        <v>1</v>
      </c>
      <c r="C1112" s="7" t="s">
        <v>135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6" t="s">
        <v>104</v>
      </c>
    </row>
    <row r="1113" spans="1:10" x14ac:dyDescent="0.25">
      <c r="A1113" s="6">
        <v>46145</v>
      </c>
      <c r="B1113" s="7">
        <v>4</v>
      </c>
      <c r="C1113" s="7" t="s">
        <v>86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6" t="s">
        <v>104</v>
      </c>
    </row>
    <row r="1114" spans="1:10" x14ac:dyDescent="0.25">
      <c r="A1114" s="6">
        <v>46145</v>
      </c>
      <c r="B1114" s="7">
        <v>1</v>
      </c>
      <c r="C1114" s="7" t="s">
        <v>16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6" t="s">
        <v>104</v>
      </c>
    </row>
    <row r="1115" spans="1:10" x14ac:dyDescent="0.25">
      <c r="A1115" s="6">
        <v>46145</v>
      </c>
      <c r="B1115" s="7">
        <v>2</v>
      </c>
      <c r="C1115" s="7" t="s">
        <v>23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6" t="s">
        <v>104</v>
      </c>
    </row>
    <row r="1116" spans="1:10" x14ac:dyDescent="0.25">
      <c r="A1116" s="6">
        <v>46145</v>
      </c>
      <c r="B1116" s="7">
        <v>1</v>
      </c>
      <c r="C1116" s="7" t="s">
        <v>136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6" t="s">
        <v>104</v>
      </c>
    </row>
    <row r="1117" spans="1:10" x14ac:dyDescent="0.25">
      <c r="A1117" s="6">
        <v>46145</v>
      </c>
      <c r="B1117" s="7">
        <v>1</v>
      </c>
      <c r="C1117" s="7" t="s">
        <v>80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6" t="s">
        <v>104</v>
      </c>
    </row>
    <row r="1118" spans="1:10" x14ac:dyDescent="0.25">
      <c r="A1118" s="6">
        <v>46145</v>
      </c>
      <c r="B1118" s="7">
        <v>1</v>
      </c>
      <c r="C1118" s="7" t="s">
        <v>18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6" t="s">
        <v>104</v>
      </c>
    </row>
    <row r="1119" spans="1:10" x14ac:dyDescent="0.25">
      <c r="A1119" s="6">
        <v>46145</v>
      </c>
      <c r="B1119" s="7">
        <v>4</v>
      </c>
      <c r="C1119" s="7" t="s">
        <v>141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6" t="s">
        <v>104</v>
      </c>
    </row>
    <row r="1120" spans="1:10" x14ac:dyDescent="0.25">
      <c r="A1120" s="6">
        <v>46145</v>
      </c>
      <c r="B1120" s="7">
        <v>3</v>
      </c>
      <c r="C1120" s="7" t="s">
        <v>29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6" t="s">
        <v>104</v>
      </c>
    </row>
    <row r="1121" spans="1:10" x14ac:dyDescent="0.25">
      <c r="A1121" s="6">
        <v>46145</v>
      </c>
      <c r="B1121" s="7">
        <v>2</v>
      </c>
      <c r="C1121" s="7" t="s">
        <v>53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6" t="s">
        <v>104</v>
      </c>
    </row>
    <row r="1122" spans="1:10" x14ac:dyDescent="0.25">
      <c r="A1122" s="6">
        <v>46145</v>
      </c>
      <c r="B1122" s="7">
        <v>1</v>
      </c>
      <c r="C1122" s="7" t="s">
        <v>20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6" t="s">
        <v>104</v>
      </c>
    </row>
    <row r="1123" spans="1:10" x14ac:dyDescent="0.25">
      <c r="A1123" s="6">
        <v>46145</v>
      </c>
      <c r="B1123" s="7">
        <v>2</v>
      </c>
      <c r="C1123" s="7" t="s">
        <v>153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6" t="s">
        <v>104</v>
      </c>
    </row>
    <row r="1124" spans="1:10" x14ac:dyDescent="0.25">
      <c r="A1124" s="6">
        <v>46145</v>
      </c>
      <c r="B1124" s="7">
        <v>1</v>
      </c>
      <c r="C1124" s="7" t="s">
        <v>24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6" t="s">
        <v>104</v>
      </c>
    </row>
    <row r="1125" spans="1:10" x14ac:dyDescent="0.25">
      <c r="A1125" s="6">
        <v>46145</v>
      </c>
      <c r="B1125" s="7">
        <v>2</v>
      </c>
      <c r="C1125" s="7" t="s">
        <v>139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6" t="s">
        <v>104</v>
      </c>
    </row>
    <row r="1126" spans="1:10" x14ac:dyDescent="0.25">
      <c r="A1126" s="6">
        <v>46145</v>
      </c>
      <c r="B1126" s="7">
        <v>4</v>
      </c>
      <c r="C1126" s="7" t="s">
        <v>81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6" t="s">
        <v>104</v>
      </c>
    </row>
    <row r="1127" spans="1:10" x14ac:dyDescent="0.25">
      <c r="A1127" s="6">
        <v>46145</v>
      </c>
      <c r="B1127" s="7">
        <v>3</v>
      </c>
      <c r="C1127" s="7" t="s">
        <v>43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6" t="s">
        <v>104</v>
      </c>
    </row>
    <row r="1128" spans="1:10" x14ac:dyDescent="0.25">
      <c r="A1128" s="6">
        <v>46145</v>
      </c>
      <c r="B1128" s="7">
        <v>3</v>
      </c>
      <c r="C1128" s="7" t="s">
        <v>111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6" t="s">
        <v>104</v>
      </c>
    </row>
    <row r="1129" spans="1:10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6" t="s">
        <v>104</v>
      </c>
    </row>
    <row r="1130" spans="1:10" x14ac:dyDescent="0.25">
      <c r="A1130" s="6">
        <v>46145</v>
      </c>
      <c r="B1130" s="7">
        <v>4</v>
      </c>
      <c r="C1130" s="7" t="s">
        <v>54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6" t="s">
        <v>104</v>
      </c>
    </row>
    <row r="1131" spans="1:10" x14ac:dyDescent="0.25">
      <c r="A1131" s="6">
        <v>46145</v>
      </c>
      <c r="B1131" s="7">
        <v>4</v>
      </c>
      <c r="C1131" s="7" t="s">
        <v>141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6" t="s">
        <v>104</v>
      </c>
    </row>
    <row r="1132" spans="1:10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6" t="s">
        <v>104</v>
      </c>
    </row>
    <row r="1133" spans="1:10" x14ac:dyDescent="0.25">
      <c r="A1133" s="6">
        <v>46145</v>
      </c>
      <c r="B1133" s="7">
        <v>3</v>
      </c>
      <c r="C1133" s="7" t="s">
        <v>51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6" t="s">
        <v>104</v>
      </c>
    </row>
    <row r="1134" spans="1:10" x14ac:dyDescent="0.25">
      <c r="A1134" s="6">
        <v>46145</v>
      </c>
      <c r="B1134" s="7">
        <v>3</v>
      </c>
      <c r="C1134" s="7" t="s">
        <v>19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6" t="s">
        <v>104</v>
      </c>
    </row>
    <row r="1135" spans="1:10" x14ac:dyDescent="0.25">
      <c r="A1135" s="6">
        <v>46145</v>
      </c>
      <c r="B1135" s="7">
        <v>2</v>
      </c>
      <c r="C1135" s="7" t="s">
        <v>150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6" t="s">
        <v>104</v>
      </c>
    </row>
    <row r="1136" spans="1:10" x14ac:dyDescent="0.25">
      <c r="A1136" s="6">
        <v>46145</v>
      </c>
      <c r="B1136" s="7">
        <v>3</v>
      </c>
      <c r="C1136" s="7" t="s">
        <v>149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6" t="s">
        <v>104</v>
      </c>
    </row>
    <row r="1137" spans="1:10" x14ac:dyDescent="0.25">
      <c r="A1137" s="6">
        <v>46145</v>
      </c>
      <c r="B1137" s="7">
        <v>4</v>
      </c>
      <c r="C1137" s="7" t="s">
        <v>154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6" t="s">
        <v>104</v>
      </c>
    </row>
    <row r="1138" spans="1:10" x14ac:dyDescent="0.25">
      <c r="A1138" s="6">
        <v>46145</v>
      </c>
      <c r="B1138" s="7">
        <v>3</v>
      </c>
      <c r="C1138" s="7" t="s">
        <v>42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6" t="s">
        <v>104</v>
      </c>
    </row>
    <row r="1139" spans="1:10" x14ac:dyDescent="0.25">
      <c r="A1139" s="6">
        <v>46145</v>
      </c>
      <c r="B1139" s="7">
        <v>3</v>
      </c>
      <c r="C1139" s="7" t="s">
        <v>47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6" t="s">
        <v>104</v>
      </c>
    </row>
    <row r="1140" spans="1:10" x14ac:dyDescent="0.25">
      <c r="A1140" s="6">
        <v>46145</v>
      </c>
      <c r="B1140" s="7">
        <v>3</v>
      </c>
      <c r="C1140" s="7" t="s">
        <v>140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6" t="s">
        <v>104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62"/>
  <sheetViews>
    <sheetView topLeftCell="A138" workbookViewId="0">
      <selection activeCell="D162" sqref="D162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  <row r="156" spans="1:5" x14ac:dyDescent="0.25">
      <c r="A156" s="13">
        <v>46142</v>
      </c>
      <c r="B156" s="7">
        <v>1</v>
      </c>
      <c r="C156" s="8">
        <v>6</v>
      </c>
      <c r="D156" s="8">
        <v>0</v>
      </c>
      <c r="E156" s="8" t="s">
        <v>104</v>
      </c>
    </row>
    <row r="157" spans="1:5" x14ac:dyDescent="0.25">
      <c r="A157" s="13">
        <v>46142</v>
      </c>
      <c r="B157" s="7">
        <v>2</v>
      </c>
      <c r="C157" s="8">
        <v>6</v>
      </c>
      <c r="D157" s="8">
        <v>1</v>
      </c>
      <c r="E157" s="8" t="s">
        <v>104</v>
      </c>
    </row>
    <row r="158" spans="1:5" x14ac:dyDescent="0.25">
      <c r="A158" s="13">
        <v>46142</v>
      </c>
      <c r="B158" s="7">
        <v>3</v>
      </c>
      <c r="C158" s="8">
        <v>0</v>
      </c>
      <c r="D158" s="8">
        <v>1</v>
      </c>
      <c r="E158" s="8" t="s">
        <v>104</v>
      </c>
    </row>
    <row r="159" spans="1:5" x14ac:dyDescent="0.25">
      <c r="A159" s="13">
        <v>46145</v>
      </c>
      <c r="B159" s="7">
        <v>1</v>
      </c>
      <c r="C159" s="8">
        <v>4</v>
      </c>
      <c r="D159" s="8">
        <v>1</v>
      </c>
      <c r="E159" s="8" t="s">
        <v>104</v>
      </c>
    </row>
    <row r="160" spans="1:5" x14ac:dyDescent="0.25">
      <c r="A160" s="13">
        <v>46145</v>
      </c>
      <c r="B160" s="7">
        <v>2</v>
      </c>
      <c r="C160" s="8">
        <v>7</v>
      </c>
      <c r="D160" s="8">
        <v>1</v>
      </c>
      <c r="E160" s="8" t="s">
        <v>104</v>
      </c>
    </row>
    <row r="161" spans="1:5" x14ac:dyDescent="0.25">
      <c r="A161" s="13">
        <v>46145</v>
      </c>
      <c r="B161" s="7">
        <v>3</v>
      </c>
      <c r="C161" s="8">
        <v>4</v>
      </c>
      <c r="D161" s="8">
        <v>0</v>
      </c>
      <c r="E161" s="8" t="s">
        <v>104</v>
      </c>
    </row>
    <row r="162" spans="1:5" x14ac:dyDescent="0.25">
      <c r="A162" s="13">
        <v>46145</v>
      </c>
      <c r="B162" s="7">
        <v>4</v>
      </c>
      <c r="C162" s="8">
        <v>1</v>
      </c>
      <c r="D162" s="8">
        <v>0</v>
      </c>
      <c r="E162" s="8" t="s">
        <v>104</v>
      </c>
    </row>
  </sheetData>
  <dataValidations count="1">
    <dataValidation type="list" allowBlank="1" showInputMessage="1" showErrorMessage="1" sqref="B2:B162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2026-05-03T11:16:41Z</dcterms:modified>
</cp:coreProperties>
</file>