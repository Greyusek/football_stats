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1DA11176-3786-4970-9030-798D4309E67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68" i="2" l="1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F125" i="1" s="1"/>
  <c r="H999" i="2"/>
  <c r="D967" i="2"/>
  <c r="G967" i="2"/>
  <c r="H967" i="2"/>
  <c r="C126" i="1"/>
  <c r="D126" i="1"/>
  <c r="E126" i="1"/>
  <c r="F126" i="1"/>
  <c r="C125" i="1"/>
  <c r="D125" i="1"/>
  <c r="C124" i="1"/>
  <c r="D124" i="1"/>
  <c r="E124" i="1"/>
  <c r="F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E123" i="1" s="1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E121" i="1" s="1"/>
  <c r="G966" i="2"/>
  <c r="H947" i="2"/>
  <c r="H948" i="2"/>
  <c r="H949" i="2"/>
  <c r="H950" i="2"/>
  <c r="F123" i="1" s="1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F121" i="1" s="1"/>
  <c r="H966" i="2"/>
  <c r="D946" i="2"/>
  <c r="G946" i="2"/>
  <c r="H946" i="2"/>
  <c r="D945" i="2"/>
  <c r="G945" i="2"/>
  <c r="H945" i="2"/>
  <c r="D944" i="2"/>
  <c r="G944" i="2"/>
  <c r="E122" i="1" s="1"/>
  <c r="H944" i="2"/>
  <c r="F122" i="1" s="1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F120" i="1" s="1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20" i="1" l="1"/>
  <c r="G120" i="1" s="1"/>
  <c r="G126" i="1"/>
  <c r="G125" i="1"/>
  <c r="G124" i="1"/>
  <c r="G123" i="1"/>
  <c r="G121" i="1"/>
  <c r="G122" i="1"/>
  <c r="G119" i="1"/>
  <c r="G118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<sst xmlns="http://schemas.openxmlformats.org/spreadsheetml/2006/main" count="2411" uniqueCount="143">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</sst>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26" totalsRowShown="0" headerRowDxfId="35" headerRowBorderDxfId="34" tableBorderDxfId="33" totalsRowBorderDxfId="32">
  <autoFilter ref="A1:G126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999" totalsRowShown="0" headerRowDxfId="24" dataDxfId="22" headerRowBorderDxfId="23" tableBorderDxfId="21" totalsRowBorderDxfId="20">
  <autoFilter ref="A1:J999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44" totalsRowShown="0" headerRowDxfId="9" dataDxfId="7" headerRowBorderDxfId="8" tableBorderDxfId="6" totalsRowBorderDxfId="5">
  <autoFilter ref="A1:E144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26"/>
  <sheetViews>
    <sheetView topLeftCell="A96" workbookViewId="0">
      <selection activeCell="C123" sqref="C123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70</v>
      </c>
      <c r="D2" s="19">
        <f>SUMIFS(_stats[assists_on_date],_stats[player_id],_players[[#This Row],[player_id]])</f>
        <v>30</v>
      </c>
      <c r="E2" s="19">
        <f>SUMIFS(_stats[wins_on_date],_stats[player_id],_players[[#This Row],[player_id]])</f>
        <v>86</v>
      </c>
      <c r="F2" s="20">
        <f>SUMIFS(_stats[draws_on_date],_stats[player_id],_players[[#This Row],[player_id]])</f>
        <v>7</v>
      </c>
      <c r="G2" s="20">
        <f>SUM(_players[[#This Row],[goals]:[draws]])</f>
        <v>193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142</v>
      </c>
      <c r="F3" s="12">
        <f>SUMIFS(_stats[draws_on_date],_stats[player_id],_players[[#This Row],[player_id]])</f>
        <v>24</v>
      </c>
      <c r="G3" s="12">
        <f>SUM(_players[[#This Row],[goals]:[draws]])</f>
        <v>263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81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158</v>
      </c>
      <c r="F4" s="17">
        <f>SUMIFS(_stats[draws_on_date],_stats[player_id],_players[[#This Row],[player_id]])</f>
        <v>31</v>
      </c>
      <c r="G4" s="17">
        <f>SUM(_players[[#This Row],[goals]:[draws]])</f>
        <v>294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24</v>
      </c>
      <c r="E5" s="21">
        <f>SUMIFS(_stats[wins_on_date],_stats[player_id],_players[[#This Row],[player_id]])</f>
        <v>83</v>
      </c>
      <c r="F5" s="22">
        <f>SUMIFS(_stats[draws_on_date],_stats[player_id],_players[[#This Row],[player_id]])</f>
        <v>3</v>
      </c>
      <c r="G5" s="22">
        <f>SUM(_players[[#This Row],[goals]:[draws]])</f>
        <v>125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23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156</v>
      </c>
      <c r="F6" s="17">
        <f>SUMIFS(_stats[draws_on_date],_stats[player_id],_players[[#This Row],[player_id]])</f>
        <v>30</v>
      </c>
      <c r="G6" s="17">
        <f>SUM(_players[[#This Row],[goals]:[draws]])</f>
        <v>224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36</v>
      </c>
      <c r="E7" s="11">
        <f>SUMIFS(_stats[wins_on_date],_stats[player_id],_players[[#This Row],[player_id]])</f>
        <v>86</v>
      </c>
      <c r="F7" s="12">
        <f>SUMIFS(_stats[draws_on_date],_stats[player_id],_players[[#This Row],[player_id]])</f>
        <v>22</v>
      </c>
      <c r="G7" s="12">
        <f>SUM(_players[[#This Row],[goals]:[draws]])</f>
        <v>194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22</v>
      </c>
      <c r="E8" s="11">
        <f>SUMIFS(_stats[wins_on_date],_stats[player_id],_players[[#This Row],[player_id]])</f>
        <v>116</v>
      </c>
      <c r="F8" s="12">
        <f>SUMIFS(_stats[draws_on_date],_stats[player_id],_players[[#This Row],[player_id]])</f>
        <v>25</v>
      </c>
      <c r="G8" s="12">
        <f>SUM(_players[[#This Row],[goals]:[draws]])</f>
        <v>189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45</v>
      </c>
      <c r="D12" s="16">
        <f>SUMIFS(_stats[assists_on_date],_stats[player_id],_players[[#This Row],[player_id]])</f>
        <v>59</v>
      </c>
      <c r="E12" s="16">
        <f>SUMIFS(_stats[wins_on_date],_stats[player_id],_players[[#This Row],[player_id]])</f>
        <v>97</v>
      </c>
      <c r="F12" s="17">
        <f>SUMIFS(_stats[draws_on_date],_stats[player_id],_players[[#This Row],[player_id]])</f>
        <v>33</v>
      </c>
      <c r="G12" s="17">
        <f>SUM(_players[[#This Row],[goals]:[draws]])</f>
        <v>234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8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128</v>
      </c>
      <c r="F14" s="12">
        <f>SUMIFS(_stats[draws_on_date],_stats[player_id],_players[[#This Row],[player_id]])</f>
        <v>27</v>
      </c>
      <c r="G14" s="12">
        <f>SUM(_players[[#This Row],[goals]:[draws]])</f>
        <v>171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15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3</v>
      </c>
      <c r="G15" s="12">
        <f>SUM(_players[[#This Row],[goals]:[draws]])</f>
        <v>100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22</v>
      </c>
      <c r="E16" s="11">
        <f>SUMIFS(_stats[wins_on_date],_stats[player_id],_players[[#This Row],[player_id]])</f>
        <v>46</v>
      </c>
      <c r="F16" s="12">
        <f>SUMIFS(_stats[draws_on_date],_stats[player_id],_players[[#This Row],[player_id]])</f>
        <v>3</v>
      </c>
      <c r="G16" s="12">
        <f>SUM(_players[[#This Row],[goals]:[draws]])</f>
        <v>86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15</v>
      </c>
      <c r="E17" s="11">
        <f>SUMIFS(_stats[wins_on_date],_stats[player_id],_players[[#This Row],[player_id]])</f>
        <v>43</v>
      </c>
      <c r="F17" s="12">
        <f>SUMIFS(_stats[draws_on_date],_stats[player_id],_players[[#This Row],[player_id]])</f>
        <v>8</v>
      </c>
      <c r="G17" s="12">
        <f>SUM(_players[[#This Row],[goals]:[draws]])</f>
        <v>73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18</v>
      </c>
      <c r="D20" s="11">
        <f>SUMIFS(_stats[assists_on_date],_stats[player_id],_players[[#This Row],[player_id]])</f>
        <v>15</v>
      </c>
      <c r="E20" s="11">
        <f>SUMIFS(_stats[wins_on_date],_stats[player_id],_players[[#This Row],[player_id]])</f>
        <v>82</v>
      </c>
      <c r="F20" s="12">
        <f>SUMIFS(_stats[draws_on_date],_stats[player_id],_players[[#This Row],[player_id]])</f>
        <v>13</v>
      </c>
      <c r="G20" s="12">
        <f>SUM(_players[[#This Row],[goals]:[draws]])</f>
        <v>128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30</v>
      </c>
      <c r="D21" s="11">
        <f>SUMIFS(_stats[assists_on_date],_stats[player_id],_players[[#This Row],[player_id]])</f>
        <v>37</v>
      </c>
      <c r="E21" s="11">
        <f>SUMIFS(_stats[wins_on_date],_stats[player_id],_players[[#This Row],[player_id]])</f>
        <v>93</v>
      </c>
      <c r="F21" s="12">
        <f>SUMIFS(_stats[draws_on_date],_stats[player_id],_players[[#This Row],[player_id]])</f>
        <v>25</v>
      </c>
      <c r="G21" s="12">
        <f>SUM(_players[[#This Row],[goals]:[draws]])</f>
        <v>185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92</v>
      </c>
      <c r="F22" s="17">
        <f>SUMIFS(_stats[draws_on_date],_stats[player_id],_players[[#This Row],[player_id]])</f>
        <v>15</v>
      </c>
      <c r="G22" s="17">
        <f>SUM(_players[[#This Row],[goals]:[draws]])</f>
        <v>115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30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103</v>
      </c>
      <c r="F23" s="12">
        <f>SUMIFS(_stats[draws_on_date],_stats[player_id],_players[[#This Row],[player_id]])</f>
        <v>21</v>
      </c>
      <c r="G23" s="12">
        <f>SUM(_players[[#This Row],[goals]:[draws]])</f>
        <v>185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78</v>
      </c>
      <c r="F25" s="12">
        <f>SUMIFS(_stats[draws_on_date],_stats[player_id],_players[[#This Row],[player_id]])</f>
        <v>23</v>
      </c>
      <c r="G25" s="12">
        <f>SUM(_players[[#This Row],[goals]:[draws]])</f>
        <v>128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36</v>
      </c>
      <c r="F26" s="17">
        <f>SUMIFS(_stats[draws_on_date],_stats[player_id],_players[[#This Row],[player_id]])</f>
        <v>10</v>
      </c>
      <c r="G26" s="17">
        <f>SUM(_players[[#This Row],[goals]:[draws]])</f>
        <v>58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14</v>
      </c>
      <c r="E27" s="11">
        <f>SUMIFS(_stats[wins_on_date],_stats[player_id],_players[[#This Row],[player_id]])</f>
        <v>77</v>
      </c>
      <c r="F27" s="12">
        <f>SUMIFS(_stats[draws_on_date],_stats[player_id],_players[[#This Row],[player_id]])</f>
        <v>13</v>
      </c>
      <c r="G27" s="12">
        <f>SUM(_players[[#This Row],[goals]:[draws]])</f>
        <v>115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63</v>
      </c>
      <c r="F28" s="12">
        <f>SUMIFS(_stats[draws_on_date],_stats[player_id],_players[[#This Row],[player_id]])</f>
        <v>23</v>
      </c>
      <c r="G28" s="12">
        <f>SUM(_players[[#This Row],[goals]:[draws]])</f>
        <v>90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9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38</v>
      </c>
      <c r="F30" s="17">
        <f>SUMIFS(_stats[draws_on_date],_stats[player_id],_players[[#This Row],[player_id]])</f>
        <v>3</v>
      </c>
      <c r="G30" s="17">
        <f>SUM(_players[[#This Row],[goals]:[draws]])</f>
        <v>53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5</v>
      </c>
      <c r="D32" s="11">
        <f>SUMIFS(_stats[assists_on_date],_stats[player_id],_players[[#This Row],[player_id]])</f>
        <v>10</v>
      </c>
      <c r="E32" s="11">
        <f>SUMIFS(_stats[wins_on_date],_stats[player_id],_players[[#This Row],[player_id]])</f>
        <v>27</v>
      </c>
      <c r="F32" s="12">
        <f>SUMIFS(_stats[draws_on_date],_stats[player_id],_players[[#This Row],[player_id]])</f>
        <v>11</v>
      </c>
      <c r="G32" s="12">
        <f>SUM(_players[[#This Row],[goals]:[draws]])</f>
        <v>53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4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19</v>
      </c>
      <c r="F33" s="12">
        <f>SUMIFS(_stats[draws_on_date],_stats[player_id],_players[[#This Row],[player_id]])</f>
        <v>6</v>
      </c>
      <c r="G33" s="12">
        <f>SUM(_players[[#This Row],[goals]:[draws]])</f>
        <v>35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65</v>
      </c>
      <c r="F35" s="17">
        <f>SUMIFS(_stats[draws_on_date],_stats[player_id],_players[[#This Row],[player_id]])</f>
        <v>20</v>
      </c>
      <c r="G35" s="17">
        <f>SUM(_players[[#This Row],[goals]:[draws]])</f>
        <v>102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49</v>
      </c>
      <c r="F37" s="12">
        <f>SUMIFS(_stats[draws_on_date],_stats[player_id],_players[[#This Row],[player_id]])</f>
        <v>15</v>
      </c>
      <c r="G37" s="12">
        <f>SUM(_players[[#This Row],[goals]:[draws]])</f>
        <v>71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12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51</v>
      </c>
      <c r="F38" s="12">
        <f>SUMIFS(_stats[draws_on_date],_stats[player_id],_players[[#This Row],[player_id]])</f>
        <v>17</v>
      </c>
      <c r="G38" s="12">
        <f>SUM(_players[[#This Row],[goals]:[draws]])</f>
        <v>94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119</v>
      </c>
      <c r="F39" s="12">
        <f>SUMIFS(_stats[draws_on_date],_stats[player_id],_players[[#This Row],[player_id]])</f>
        <v>37</v>
      </c>
      <c r="G39" s="12">
        <f>SUM(_players[[#This Row],[goals]:[draws]])</f>
        <v>158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71</v>
      </c>
      <c r="F41" s="12">
        <f>SUMIFS(_stats[draws_on_date],_stats[player_id],_players[[#This Row],[player_id]])</f>
        <v>22</v>
      </c>
      <c r="G41" s="12">
        <f>SUM(_players[[#This Row],[goals]:[draws]])</f>
        <v>131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10</v>
      </c>
      <c r="D42" s="16">
        <f>SUMIFS(_stats[assists_on_date],_stats[player_id],_players[[#This Row],[player_id]])</f>
        <v>7</v>
      </c>
      <c r="E42" s="16">
        <f>SUMIFS(_stats[wins_on_date],_stats[player_id],_players[[#This Row],[player_id]])</f>
        <v>31</v>
      </c>
      <c r="F42" s="17">
        <f>SUMIFS(_stats[draws_on_date],_stats[player_id],_players[[#This Row],[player_id]])</f>
        <v>8</v>
      </c>
      <c r="G42" s="17">
        <f>SUM(_players[[#This Row],[goals]:[draws]])</f>
        <v>56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7</v>
      </c>
      <c r="E43" s="11">
        <f>SUMIFS(_stats[wins_on_date],_stats[player_id],_players[[#This Row],[player_id]])</f>
        <v>31</v>
      </c>
      <c r="F43" s="12">
        <f>SUMIFS(_stats[draws_on_date],_stats[player_id],_players[[#This Row],[player_id]])</f>
        <v>7</v>
      </c>
      <c r="G43" s="12">
        <f>SUM(_players[[#This Row],[goals]:[draws]])</f>
        <v>51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32</v>
      </c>
      <c r="F59" s="18">
        <f>SUMIFS(_stats[draws_on_date],_stats[player_id],_players[[#This Row],[player_id]])</f>
        <v>5</v>
      </c>
      <c r="G59" s="18">
        <f>SUM(_players[[#This Row],[goals]:[draws]])</f>
        <v>52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16</v>
      </c>
      <c r="D64" s="10">
        <f>SUMIFS(_stats[assists_on_date],_stats[player_id],_players[[#This Row],[player_id]])</f>
        <v>16</v>
      </c>
      <c r="E64" s="10">
        <f>SUMIFS(_stats[wins_on_date],_stats[player_id],_players[[#This Row],[player_id]])</f>
        <v>68</v>
      </c>
      <c r="F64" s="18">
        <f>SUMIFS(_stats[draws_on_date],_stats[player_id],_players[[#This Row],[player_id]])</f>
        <v>19</v>
      </c>
      <c r="G64" s="18">
        <f>SUM(_players[[#This Row],[goals]:[draws]])</f>
        <v>119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35</v>
      </c>
      <c r="F68" s="8">
        <f>SUMIFS(_stats[draws_on_date],_stats[player_id],_players[[#This Row],[player_id]])</f>
        <v>5</v>
      </c>
      <c r="G68" s="8">
        <f>SUM(_players[[#This Row],[goals]:[draws]])</f>
        <v>70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42</v>
      </c>
      <c r="D79" s="10">
        <f>SUMIFS(_stats[assists_on_date],_stats[player_id],_players[[#This Row],[player_id]])</f>
        <v>18</v>
      </c>
      <c r="E79" s="10">
        <f>SUMIFS(_stats[wins_on_date],_stats[player_id],_players[[#This Row],[player_id]])</f>
        <v>61</v>
      </c>
      <c r="F79" s="18">
        <f>SUMIFS(_stats[draws_on_date],_stats[player_id],_players[[#This Row],[player_id]])</f>
        <v>14</v>
      </c>
      <c r="G79" s="18">
        <f>SUM(_players[[#This Row],[goals]:[draws]])</f>
        <v>135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7</v>
      </c>
      <c r="E87" s="10">
        <f>SUMIFS(_stats[wins_on_date],_stats[player_id],_players[[#This Row],[player_id]])</f>
        <v>25</v>
      </c>
      <c r="F87" s="18">
        <f>SUMIFS(_stats[draws_on_date],_stats[player_id],_players[[#This Row],[player_id]])</f>
        <v>9</v>
      </c>
      <c r="G87" s="18">
        <f>SUM(_players[[#This Row],[goals]:[draws]])</f>
        <v>53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13</v>
      </c>
      <c r="F93" s="18">
        <f>SUMIFS(_stats[draws_on_date],_stats[player_id],_players[[#This Row],[player_id]])</f>
        <v>2</v>
      </c>
      <c r="G93" s="17">
        <f>SUM(_players[[#This Row],[goals]:[draws]])</f>
        <v>21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5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7</v>
      </c>
      <c r="F106" s="18">
        <f>SUMIFS(_stats[draws_on_date],_stats[player_id],_players[[#This Row],[player_id]])</f>
        <v>2</v>
      </c>
      <c r="G106" s="18">
        <f>SUM(_players[[#This Row],[goals]:[draws]])</f>
        <v>15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14</v>
      </c>
      <c r="F110" s="18">
        <f>SUMIFS(_stats[draws_on_date],_stats[player_id],_players[[#This Row],[player_id]])</f>
        <v>7</v>
      </c>
      <c r="G110" s="18">
        <f>SUM(_players[[#This Row],[goals]:[draws]])</f>
        <v>21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134</v>
      </c>
      <c r="B118" s="39" t="s">
        <v>134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135</v>
      </c>
      <c r="B119" s="39" t="s">
        <v>135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136</v>
      </c>
      <c r="B120" s="36" t="s">
        <v>136</v>
      </c>
      <c r="C120" s="10">
        <f>SUMIFS(_stats[goals_on_date],_stats[player_id],_players[[#This Row],[player_id]])</f>
        <v>3</v>
      </c>
      <c r="D120" s="10">
        <f>SUMIFS(_stats[assists_on_date],_stats[player_id],_players[[#This Row],[player_id]])</f>
        <v>4</v>
      </c>
      <c r="E120" s="10">
        <f>SUMIFS(_stats[wins_on_date],_stats[player_id],_players[[#This Row],[player_id]])</f>
        <v>11</v>
      </c>
      <c r="F120" s="18">
        <f>SUMIFS(_stats[draws_on_date],_stats[player_id],_players[[#This Row],[player_id]])</f>
        <v>5</v>
      </c>
      <c r="G120" s="18">
        <f>SUM(_players[[#This Row],[goals]:[draws]])</f>
        <v>23</v>
      </c>
    </row>
    <row r="121" spans="1:7" ht="15.75" x14ac:dyDescent="0.25">
      <c r="A121" s="42" t="s">
        <v>137</v>
      </c>
      <c r="B121" s="39" t="s">
        <v>137</v>
      </c>
      <c r="C121" s="10">
        <f>SUMIFS(_stats[goals_on_date],_stats[player_id],_players[[#This Row],[player_id]])</f>
        <v>2</v>
      </c>
      <c r="D121" s="10">
        <f>SUMIFS(_stats[assists_on_date],_stats[player_id],_players[[#This Row],[player_id]])</f>
        <v>1</v>
      </c>
      <c r="E121" s="10">
        <f>SUMIFS(_stats[wins_on_date],_stats[player_id],_players[[#This Row],[player_id]])</f>
        <v>3</v>
      </c>
      <c r="F121" s="18">
        <f>SUMIFS(_stats[draws_on_date],_stats[player_id],_players[[#This Row],[player_id]])</f>
        <v>3</v>
      </c>
      <c r="G121" s="18">
        <f>SUM(_players[[#This Row],[goals]:[draws]])</f>
        <v>9</v>
      </c>
    </row>
    <row r="122" spans="1:7" ht="15.75" x14ac:dyDescent="0.25">
      <c r="A122" s="42" t="s">
        <v>138</v>
      </c>
      <c r="B122" s="39" t="s">
        <v>138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2</v>
      </c>
      <c r="F122" s="18">
        <f>SUMIFS(_stats[draws_on_date],_stats[player_id],_players[[#This Row],[player_id]])</f>
        <v>4</v>
      </c>
      <c r="G122" s="18">
        <f>SUM(_players[[#This Row],[goals]:[draws]])</f>
        <v>6</v>
      </c>
    </row>
    <row r="123" spans="1:7" ht="15.75" x14ac:dyDescent="0.25">
      <c r="A123" s="37" t="s">
        <v>139</v>
      </c>
      <c r="B123" s="26" t="s">
        <v>139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140</v>
      </c>
      <c r="B124" s="36" t="s">
        <v>140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3</v>
      </c>
      <c r="F124" s="18">
        <f>SUMIFS(_stats[draws_on_date],_stats[player_id],_players[[#This Row],[player_id]])</f>
        <v>1</v>
      </c>
      <c r="G124" s="18">
        <f>SUM(_players[[#This Row],[goals]:[draws]])</f>
        <v>4</v>
      </c>
    </row>
    <row r="125" spans="1:7" x14ac:dyDescent="0.25">
      <c r="A125" s="36" t="s">
        <v>141</v>
      </c>
      <c r="B125" s="36" t="s">
        <v>141</v>
      </c>
      <c r="C125" s="10">
        <f>SUMIFS(_stats[goals_on_date],_stats[player_id],_players[[#This Row],[player_id]])</f>
        <v>0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3</v>
      </c>
      <c r="F125" s="18">
        <f>SUMIFS(_stats[draws_on_date],_stats[player_id],_players[[#This Row],[player_id]])</f>
        <v>1</v>
      </c>
      <c r="G125" s="18">
        <f>SUM(_players[[#This Row],[goals]:[draws]])</f>
        <v>4</v>
      </c>
    </row>
    <row r="126" spans="1:7" x14ac:dyDescent="0.25">
      <c r="A126" s="36" t="s">
        <v>142</v>
      </c>
      <c r="B126" s="36" t="s">
        <v>142</v>
      </c>
      <c r="C126" s="10">
        <f>SUMIFS(_stats[goals_on_date],_stats[player_id],_players[[#This Row],[player_id]])</f>
        <v>3</v>
      </c>
      <c r="D126" s="10">
        <f>SUMIFS(_stats[assists_on_date],_stats[player_id],_players[[#This Row],[player_id]])</f>
        <v>1</v>
      </c>
      <c r="E126" s="10">
        <f>SUMIFS(_stats[wins_on_date],_stats[player_id],_players[[#This Row],[player_id]])</f>
        <v>3</v>
      </c>
      <c r="F126" s="18">
        <f>SUMIFS(_stats[draws_on_date],_stats[player_id],_players[[#This Row],[player_id]])</f>
        <v>1</v>
      </c>
      <c r="G126" s="18">
        <f>SUM(_players[[#This Row],[goals]:[draws]])</f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999"/>
  <sheetViews>
    <sheetView tabSelected="1" workbookViewId="0">
      <selection activeCell="C2" sqref="C2:C999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105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105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105</v>
      </c>
    </row>
    <row r="918" spans="1:10" ht="15.75" x14ac:dyDescent="0.25">
      <c r="A918" s="23">
        <v>46110</v>
      </c>
      <c r="B918" s="11">
        <v>2</v>
      </c>
      <c r="C918" s="40" t="s">
        <v>126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105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105</v>
      </c>
    </row>
    <row r="920" spans="1:10" ht="15.75" x14ac:dyDescent="0.25">
      <c r="A920" s="23">
        <v>46110</v>
      </c>
      <c r="B920" s="11">
        <v>1</v>
      </c>
      <c r="C920" s="40" t="s">
        <v>136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105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105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105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105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105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105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105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105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105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105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105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105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105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105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105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105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105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105</v>
      </c>
    </row>
    <row r="938" spans="1:10" ht="15.75" x14ac:dyDescent="0.25">
      <c r="A938" s="23">
        <v>46110</v>
      </c>
      <c r="B938" s="11">
        <v>1</v>
      </c>
      <c r="C938" s="40" t="s">
        <v>134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105</v>
      </c>
    </row>
    <row r="939" spans="1:10" x14ac:dyDescent="0.25">
      <c r="A939" s="23">
        <v>46110</v>
      </c>
      <c r="B939" s="11">
        <v>2</v>
      </c>
      <c r="C939" s="11" t="s">
        <v>135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105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105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105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105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105</v>
      </c>
    </row>
    <row r="944" spans="1:10" ht="15.75" x14ac:dyDescent="0.25">
      <c r="A944" s="23">
        <v>46117</v>
      </c>
      <c r="B944" s="11">
        <v>3</v>
      </c>
      <c r="C944" s="40" t="s">
        <v>138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105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105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105</v>
      </c>
    </row>
    <row r="947" spans="1:10" ht="15.75" x14ac:dyDescent="0.25">
      <c r="A947" s="23">
        <v>46117</v>
      </c>
      <c r="B947" s="11">
        <v>3</v>
      </c>
      <c r="C947" s="40" t="s">
        <v>136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105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105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105</v>
      </c>
    </row>
    <row r="950" spans="1:10" ht="15.75" x14ac:dyDescent="0.25">
      <c r="A950" s="23">
        <v>46117</v>
      </c>
      <c r="B950" s="11">
        <v>3</v>
      </c>
      <c r="C950" s="40" t="s">
        <v>139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105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105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105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105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105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105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105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105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105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105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105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105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105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105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105</v>
      </c>
    </row>
    <row r="965" spans="1:10" ht="15.75" x14ac:dyDescent="0.25">
      <c r="A965" s="23">
        <v>46117</v>
      </c>
      <c r="B965" s="11">
        <v>1</v>
      </c>
      <c r="C965" s="40" t="s">
        <v>137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105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105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105</v>
      </c>
    </row>
    <row r="968" spans="1:10" x14ac:dyDescent="0.25">
      <c r="A968" s="6">
        <v>46124</v>
      </c>
      <c r="B968" s="7">
        <v>1</v>
      </c>
      <c r="C968" s="7" t="s">
        <v>97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105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105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105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105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105</v>
      </c>
    </row>
    <row r="973" spans="1:10" x14ac:dyDescent="0.25">
      <c r="A973" s="6">
        <v>46124</v>
      </c>
      <c r="B973" s="7">
        <v>3</v>
      </c>
      <c r="C973" s="7" t="s">
        <v>136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105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105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105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105</v>
      </c>
    </row>
    <row r="977" spans="1:10" x14ac:dyDescent="0.25">
      <c r="A977" s="6">
        <v>46124</v>
      </c>
      <c r="B977" s="7">
        <v>3</v>
      </c>
      <c r="C977" s="7" t="s">
        <v>142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105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105</v>
      </c>
    </row>
    <row r="979" spans="1:10" x14ac:dyDescent="0.25">
      <c r="A979" s="6">
        <v>46124</v>
      </c>
      <c r="B979" s="7">
        <v>3</v>
      </c>
      <c r="C979" s="7" t="s">
        <v>89</v>
      </c>
      <c r="D979" s="10" t="str">
        <f>IFERROR(VLOOKUP(_stats[[#This Row],[player_id]],_players[[player_id]:[player_name]],2,0),"")</f>
        <v>Антон Копыч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105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105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105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105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105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105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105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105</v>
      </c>
    </row>
    <row r="987" spans="1:10" x14ac:dyDescent="0.25">
      <c r="A987" s="6">
        <v>46124</v>
      </c>
      <c r="B987" s="7">
        <v>1</v>
      </c>
      <c r="C987" s="7" t="s">
        <v>126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105</v>
      </c>
    </row>
    <row r="988" spans="1:10" x14ac:dyDescent="0.25">
      <c r="A988" s="6">
        <v>46124</v>
      </c>
      <c r="B988" s="7">
        <v>2</v>
      </c>
      <c r="C988" s="7" t="s">
        <v>122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105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105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105</v>
      </c>
    </row>
    <row r="991" spans="1:10" x14ac:dyDescent="0.25">
      <c r="A991" s="6">
        <v>46124</v>
      </c>
      <c r="B991" s="7">
        <v>2</v>
      </c>
      <c r="C991" s="7" t="s">
        <v>96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105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105</v>
      </c>
    </row>
    <row r="993" spans="1:10" x14ac:dyDescent="0.25">
      <c r="A993" s="6">
        <v>46124</v>
      </c>
      <c r="B993" s="7">
        <v>1</v>
      </c>
      <c r="C993" s="7" t="s">
        <v>139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105</v>
      </c>
    </row>
    <row r="994" spans="1:10" x14ac:dyDescent="0.25">
      <c r="A994" s="6">
        <v>46124</v>
      </c>
      <c r="B994" s="7">
        <v>3</v>
      </c>
      <c r="C994" s="7" t="s">
        <v>109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105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105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105</v>
      </c>
    </row>
    <row r="997" spans="1:10" x14ac:dyDescent="0.25">
      <c r="A997" s="6">
        <v>46124</v>
      </c>
      <c r="B997" s="7">
        <v>4</v>
      </c>
      <c r="C997" s="7" t="s">
        <v>140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105</v>
      </c>
    </row>
    <row r="998" spans="1:10" x14ac:dyDescent="0.25">
      <c r="A998" s="6">
        <v>46124</v>
      </c>
      <c r="B998" s="7">
        <v>4</v>
      </c>
      <c r="C998" s="7" t="s">
        <v>141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105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105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44"/>
  <sheetViews>
    <sheetView topLeftCell="A122" workbookViewId="0">
      <selection activeCell="G140" sqref="G140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105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105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105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105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105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105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105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105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105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105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105</v>
      </c>
    </row>
  </sheetData>
  <dataValidations count="1">
    <dataValidation type="list" allowBlank="1" showInputMessage="1" showErrorMessage="1" sqref="B2:B144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2026-04-12T12:07:29Z</dcterms:modified>
</cp:coreProperties>
</file>