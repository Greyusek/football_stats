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F28CC9DE-A3BD-4FE4-A251-29E82E95A84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8" i="2" l="1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E115" i="1" s="1"/>
  <c r="G888" i="2"/>
  <c r="G889" i="2"/>
  <c r="G890" i="2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E114" i="1"/>
  <c r="E116" i="1"/>
  <c r="F114" i="1"/>
  <c r="F115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4" i="1" l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G104" i="1" s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7" i="1" l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<sst xmlns="http://schemas.openxmlformats.org/spreadsheetml/2006/main" count="2162" uniqueCount="133">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</sst>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6" totalsRowShown="0" headerRowDxfId="35" headerRowBorderDxfId="34" tableBorderDxfId="33" totalsRowBorderDxfId="32">
  <autoFilter ref="A1:G116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93" totalsRowShown="0" headerRowDxfId="24" dataDxfId="22" headerRowBorderDxfId="23" tableBorderDxfId="21" totalsRowBorderDxfId="20">
  <autoFilter ref="A1:J893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27" totalsRowShown="0" headerRowDxfId="9" dataDxfId="7" headerRowBorderDxfId="8" tableBorderDxfId="6" totalsRowBorderDxfId="5">
  <autoFilter ref="A1:E12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6"/>
  <sheetViews>
    <sheetView topLeftCell="A89" workbookViewId="0">
      <selection activeCell="D115" sqref="D115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51</v>
      </c>
      <c r="D3" s="11">
        <f>SUMIFS(_stats[assists_on_date],_stats[player_id],_players[[#This Row],[player_id]])</f>
        <v>39</v>
      </c>
      <c r="E3" s="11">
        <f>SUMIFS(_stats[wins_on_date],_stats[player_id],_players[[#This Row],[player_id]])</f>
        <v>136</v>
      </c>
      <c r="F3" s="12">
        <f>SUMIFS(_stats[draws_on_date],_stats[player_id],_players[[#This Row],[player_id]])</f>
        <v>22</v>
      </c>
      <c r="G3" s="12">
        <f>SUM(_players[[#This Row],[goals]:[draws]])</f>
        <v>248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76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141</v>
      </c>
      <c r="F4" s="17">
        <f>SUMIFS(_stats[draws_on_date],_stats[player_id],_players[[#This Row],[player_id]])</f>
        <v>21</v>
      </c>
      <c r="G4" s="17">
        <f>SUM(_players[[#This Row],[goals]:[draws]])</f>
        <v>262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19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147</v>
      </c>
      <c r="F6" s="17">
        <f>SUMIFS(_stats[draws_on_date],_stats[player_id],_players[[#This Row],[player_id]])</f>
        <v>21</v>
      </c>
      <c r="G6" s="17">
        <f>SUM(_players[[#This Row],[goals]:[draws]])</f>
        <v>202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35</v>
      </c>
      <c r="E7" s="11">
        <f>SUMIFS(_stats[wins_on_date],_stats[player_id],_players[[#This Row],[player_id]])</f>
        <v>80</v>
      </c>
      <c r="F7" s="12">
        <f>SUMIFS(_stats[draws_on_date],_stats[player_id],_players[[#This Row],[player_id]])</f>
        <v>17</v>
      </c>
      <c r="G7" s="12">
        <f>SUM(_players[[#This Row],[goals]:[draws]])</f>
        <v>182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41</v>
      </c>
      <c r="D12" s="16">
        <f>SUMIFS(_stats[assists_on_date],_stats[player_id],_players[[#This Row],[player_id]])</f>
        <v>51</v>
      </c>
      <c r="E12" s="16">
        <f>SUMIFS(_stats[wins_on_date],_stats[player_id],_players[[#This Row],[player_id]])</f>
        <v>78</v>
      </c>
      <c r="F12" s="17">
        <f>SUMIFS(_stats[draws_on_date],_stats[player_id],_players[[#This Row],[player_id]])</f>
        <v>21</v>
      </c>
      <c r="G12" s="17">
        <f>SUM(_players[[#This Row],[goals]:[draws]])</f>
        <v>191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107</v>
      </c>
      <c r="F14" s="12">
        <f>SUMIFS(_stats[draws_on_date],_stats[player_id],_players[[#This Row],[player_id]])</f>
        <v>14</v>
      </c>
      <c r="G14" s="12">
        <f>SUM(_players[[#This Row],[goals]:[draws]])</f>
        <v>134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27</v>
      </c>
      <c r="D21" s="11">
        <f>SUMIFS(_stats[assists_on_date],_stats[player_id],_players[[#This Row],[player_id]])</f>
        <v>35</v>
      </c>
      <c r="E21" s="11">
        <f>SUMIFS(_stats[wins_on_date],_stats[player_id],_players[[#This Row],[player_id]])</f>
        <v>85</v>
      </c>
      <c r="F21" s="12">
        <f>SUMIFS(_stats[draws_on_date],_stats[player_id],_players[[#This Row],[player_id]])</f>
        <v>17</v>
      </c>
      <c r="G21" s="12">
        <f>SUM(_players[[#This Row],[goals]:[draws]])</f>
        <v>164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77</v>
      </c>
      <c r="F22" s="17">
        <f>SUMIFS(_stats[draws_on_date],_stats[player_id],_players[[#This Row],[player_id]])</f>
        <v>7</v>
      </c>
      <c r="G22" s="17">
        <f>SUM(_players[[#This Row],[goals]:[draws]])</f>
        <v>89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26</v>
      </c>
      <c r="D23" s="11">
        <f>SUMIFS(_stats[assists_on_date],_stats[player_id],_players[[#This Row],[player_id]])</f>
        <v>29</v>
      </c>
      <c r="E23" s="11">
        <f>SUMIFS(_stats[wins_on_date],_stats[player_id],_players[[#This Row],[player_id]])</f>
        <v>99</v>
      </c>
      <c r="F23" s="12">
        <f>SUMIFS(_stats[draws_on_date],_stats[player_id],_players[[#This Row],[player_id]])</f>
        <v>19</v>
      </c>
      <c r="G23" s="12">
        <f>SUM(_players[[#This Row],[goals]:[draws]])</f>
        <v>173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71</v>
      </c>
      <c r="F27" s="12">
        <f>SUMIFS(_stats[draws_on_date],_stats[player_id],_players[[#This Row],[player_id]])</f>
        <v>10</v>
      </c>
      <c r="G27" s="12">
        <f>SUM(_players[[#This Row],[goals]:[draws]])</f>
        <v>106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54</v>
      </c>
      <c r="F28" s="12">
        <f>SUMIFS(_stats[draws_on_date],_stats[player_id],_players[[#This Row],[player_id]])</f>
        <v>16</v>
      </c>
      <c r="G28" s="12">
        <f>SUM(_players[[#This Row],[goals]:[draws]])</f>
        <v>73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21</v>
      </c>
      <c r="F32" s="12">
        <f>SUMIFS(_stats[draws_on_date],_stats[player_id],_players[[#This Row],[player_id]])</f>
        <v>5</v>
      </c>
      <c r="G32" s="12">
        <f>SUM(_players[[#This Row],[goals]:[draws]])</f>
        <v>39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1</v>
      </c>
      <c r="G33" s="12">
        <f>SUM(_players[[#This Row],[goals]:[draws]])</f>
        <v>24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8</v>
      </c>
      <c r="E35" s="16">
        <f>SUMIFS(_stats[wins_on_date],_stats[player_id],_players[[#This Row],[player_id]])</f>
        <v>56</v>
      </c>
      <c r="F35" s="17">
        <f>SUMIFS(_stats[draws_on_date],_stats[player_id],_players[[#This Row],[player_id]])</f>
        <v>11</v>
      </c>
      <c r="G35" s="17">
        <f>SUM(_players[[#This Row],[goals]:[draws]])</f>
        <v>83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37</v>
      </c>
      <c r="F37" s="12">
        <f>SUMIFS(_stats[draws_on_date],_stats[player_id],_players[[#This Row],[player_id]])</f>
        <v>6</v>
      </c>
      <c r="G37" s="12">
        <f>SUM(_players[[#This Row],[goals]:[draws]])</f>
        <v>48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10</v>
      </c>
      <c r="G38" s="12">
        <f>SUM(_players[[#This Row],[goals]:[draws]])</f>
        <v>73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1</v>
      </c>
      <c r="E39" s="11">
        <f>SUMIFS(_stats[wins_on_date],_stats[player_id],_players[[#This Row],[player_id]])</f>
        <v>104</v>
      </c>
      <c r="F39" s="12">
        <f>SUMIFS(_stats[draws_on_date],_stats[player_id],_players[[#This Row],[player_id]])</f>
        <v>26</v>
      </c>
      <c r="G39" s="12">
        <f>SUM(_players[[#This Row],[goals]:[draws]])</f>
        <v>131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21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60</v>
      </c>
      <c r="F41" s="12">
        <f>SUMIFS(_stats[draws_on_date],_stats[player_id],_players[[#This Row],[player_id]])</f>
        <v>13</v>
      </c>
      <c r="G41" s="12">
        <f>SUM(_players[[#This Row],[goals]:[draws]])</f>
        <v>105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23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55</v>
      </c>
      <c r="F48" s="17">
        <f>SUMIFS(_stats[draws_on_date],_stats[player_id],_players[[#This Row],[player_id]])</f>
        <v>13</v>
      </c>
      <c r="G48" s="17">
        <f>SUM(_players[[#This Row],[goals]:[draws]])</f>
        <v>72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21</v>
      </c>
      <c r="F54" s="18">
        <f>SUMIFS(_stats[draws_on_date],_stats[player_id],_players[[#This Row],[player_id]])</f>
        <v>9</v>
      </c>
      <c r="G54" s="18">
        <f>SUM(_players[[#This Row],[goals]:[draws]])</f>
        <v>32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28</v>
      </c>
      <c r="F59" s="18">
        <f>SUMIFS(_stats[draws_on_date],_stats[player_id],_players[[#This Row],[player_id]])</f>
        <v>2</v>
      </c>
      <c r="G59" s="18">
        <f>SUM(_players[[#This Row],[goals]:[draws]])</f>
        <v>45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13</v>
      </c>
      <c r="D64" s="10">
        <f>SUMIFS(_stats[assists_on_date],_stats[player_id],_players[[#This Row],[player_id]])</f>
        <v>12</v>
      </c>
      <c r="E64" s="10">
        <f>SUMIFS(_stats[wins_on_date],_stats[player_id],_players[[#This Row],[player_id]])</f>
        <v>49</v>
      </c>
      <c r="F64" s="18">
        <f>SUMIFS(_stats[draws_on_date],_stats[player_id],_players[[#This Row],[player_id]])</f>
        <v>10</v>
      </c>
      <c r="G64" s="18">
        <f>SUM(_players[[#This Row],[goals]:[draws]])</f>
        <v>84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31</v>
      </c>
      <c r="F68" s="8">
        <f>SUMIFS(_stats[draws_on_date],_stats[player_id],_players[[#This Row],[player_id]])</f>
        <v>2</v>
      </c>
      <c r="G68" s="8">
        <f>SUM(_players[[#This Row],[goals]:[draws]])</f>
        <v>63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57</v>
      </c>
      <c r="F79" s="18">
        <f>SUMIFS(_stats[draws_on_date],_stats[player_id],_players[[#This Row],[player_id]])</f>
        <v>11</v>
      </c>
      <c r="G79" s="18">
        <f>SUM(_players[[#This Row],[goals]:[draws]])</f>
        <v>124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</v>
      </c>
      <c r="F110" s="18">
        <f>SUMIFS(_stats[draws_on_date],_stats[player_id],_players[[#This Row],[player_id]])</f>
        <v>1</v>
      </c>
      <c r="G110" s="18">
        <f>SUM(_players[[#This Row],[goals]:[draws]])</f>
        <v>4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0</v>
      </c>
      <c r="F113" s="18">
        <f>SUMIFS(_stats[draws_on_date],_stats[player_id],_players[[#This Row],[player_id]])</f>
        <v>0</v>
      </c>
      <c r="G113" s="18">
        <f>SUM(_players[[#This Row],[goals]:[draws]])</f>
        <v>0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0</v>
      </c>
      <c r="F114" s="18">
        <f>SUMIFS(_stats[draws_on_date],_stats[player_id],_players[[#This Row],[player_id]])</f>
        <v>0</v>
      </c>
      <c r="G114" s="17">
        <f>SUM(_players[[#This Row],[goals]:[draws]])</f>
        <v>0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0</v>
      </c>
      <c r="F115" s="18">
        <f>SUMIFS(_stats[draws_on_date],_stats[player_id],_players[[#This Row],[player_id]])</f>
        <v>0</v>
      </c>
      <c r="G115" s="17">
        <f>SUM(_players[[#This Row],[goals]:[draws]])</f>
        <v>0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0</v>
      </c>
      <c r="F116" s="18">
        <f>SUMIFS(_stats[draws_on_date],_stats[player_id],_players[[#This Row],[player_id]])</f>
        <v>0</v>
      </c>
      <c r="G116" s="17">
        <f>SUM(_players[[#This Row],[goals]:[draws]])</f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93"/>
  <sheetViews>
    <sheetView tabSelected="1" topLeftCell="A864" workbookViewId="0">
      <selection activeCell="G878" sqref="G878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0</v>
      </c>
      <c r="H867" s="16">
        <f>SUMIFS(_teams[draws_on_date],_teams[date],_stats[[#This Row],[date]],_teams[team_number],_stats[[#This Row],[team_number]])</f>
        <v>0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0</v>
      </c>
      <c r="H868" s="16">
        <f>SUMIFS(_teams[draws_on_date],_teams[date],_stats[[#This Row],[date]],_teams[team_number],_stats[[#This Row],[team_number]])</f>
        <v>0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0</v>
      </c>
      <c r="H869" s="16">
        <f>SUMIFS(_teams[draws_on_date],_teams[date],_stats[[#This Row],[date]],_teams[team_number],_stats[[#This Row],[team_number]])</f>
        <v>0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0</v>
      </c>
      <c r="H870" s="16">
        <f>SUMIFS(_teams[draws_on_date],_teams[date],_stats[[#This Row],[date]],_teams[team_number],_stats[[#This Row],[team_number]])</f>
        <v>0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0</v>
      </c>
      <c r="H871" s="16">
        <f>SUMIFS(_teams[draws_on_date],_teams[date],_stats[[#This Row],[date]],_teams[team_number],_stats[[#This Row],[team_number]])</f>
        <v>0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0</v>
      </c>
      <c r="H872" s="16">
        <f>SUMIFS(_teams[draws_on_date],_teams[date],_stats[[#This Row],[date]],_teams[team_number],_stats[[#This Row],[team_number]])</f>
        <v>0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0</v>
      </c>
      <c r="H873" s="16">
        <f>SUMIFS(_teams[draws_on_date],_teams[date],_stats[[#This Row],[date]],_teams[team_number],_stats[[#This Row],[team_number]])</f>
        <v>0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0</v>
      </c>
      <c r="H874" s="16">
        <f>SUMIFS(_teams[draws_on_date],_teams[date],_stats[[#This Row],[date]],_teams[team_number],_stats[[#This Row],[team_number]])</f>
        <v>0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0</v>
      </c>
      <c r="H875" s="16">
        <f>SUMIFS(_teams[draws_on_date],_teams[date],_stats[[#This Row],[date]],_teams[team_number],_stats[[#This Row],[team_number]])</f>
        <v>0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0</v>
      </c>
      <c r="H876" s="16">
        <f>SUMIFS(_teams[draws_on_date],_teams[date],_stats[[#This Row],[date]],_teams[team_number],_stats[[#This Row],[team_number]])</f>
        <v>0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0</v>
      </c>
      <c r="H877" s="16">
        <f>SUMIFS(_teams[draws_on_date],_teams[date],_stats[[#This Row],[date]],_teams[team_number],_stats[[#This Row],[team_number]])</f>
        <v>0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0</v>
      </c>
      <c r="H878" s="16">
        <f>SUMIFS(_teams[draws_on_date],_teams[date],_stats[[#This Row],[date]],_teams[team_number],_stats[[#This Row],[team_number]])</f>
        <v>0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0</v>
      </c>
      <c r="H879" s="16">
        <f>SUMIFS(_teams[draws_on_date],_teams[date],_stats[[#This Row],[date]],_teams[team_number],_stats[[#This Row],[team_number]])</f>
        <v>0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0</v>
      </c>
      <c r="H880" s="16">
        <f>SUMIFS(_teams[draws_on_date],_teams[date],_stats[[#This Row],[date]],_teams[team_number],_stats[[#This Row],[team_number]])</f>
        <v>0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0</v>
      </c>
      <c r="H881" s="16">
        <f>SUMIFS(_teams[draws_on_date],_teams[date],_stats[[#This Row],[date]],_teams[team_number],_stats[[#This Row],[team_number]])</f>
        <v>0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0</v>
      </c>
      <c r="H882" s="16">
        <f>SUMIFS(_teams[draws_on_date],_teams[date],_stats[[#This Row],[date]],_teams[team_number],_stats[[#This Row],[team_number]])</f>
        <v>0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0</v>
      </c>
      <c r="H883" s="16">
        <f>SUMIFS(_teams[draws_on_date],_teams[date],_stats[[#This Row],[date]],_teams[team_number],_stats[[#This Row],[team_number]])</f>
        <v>0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0</v>
      </c>
      <c r="H884" s="16">
        <f>SUMIFS(_teams[draws_on_date],_teams[date],_stats[[#This Row],[date]],_teams[team_number],_stats[[#This Row],[team_number]])</f>
        <v>0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0</v>
      </c>
      <c r="H885" s="16">
        <f>SUMIFS(_teams[draws_on_date],_teams[date],_stats[[#This Row],[date]],_teams[team_number],_stats[[#This Row],[team_number]])</f>
        <v>0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0</v>
      </c>
      <c r="H886" s="16">
        <f>SUMIFS(_teams[draws_on_date],_teams[date],_stats[[#This Row],[date]],_teams[team_number],_stats[[#This Row],[team_number]])</f>
        <v>0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0</v>
      </c>
      <c r="H887" s="16">
        <f>SUMIFS(_teams[draws_on_date],_teams[date],_stats[[#This Row],[date]],_teams[team_number],_stats[[#This Row],[team_number]])</f>
        <v>0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0</v>
      </c>
      <c r="H888" s="16">
        <f>SUMIFS(_teams[draws_on_date],_teams[date],_stats[[#This Row],[date]],_teams[team_number],_stats[[#This Row],[team_number]])</f>
        <v>0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0</v>
      </c>
      <c r="H889" s="16">
        <f>SUMIFS(_teams[draws_on_date],_teams[date],_stats[[#This Row],[date]],_teams[team_number],_stats[[#This Row],[team_number]])</f>
        <v>0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0</v>
      </c>
      <c r="H890" s="16">
        <f>SUMIFS(_teams[draws_on_date],_teams[date],_stats[[#This Row],[date]],_teams[team_number],_stats[[#This Row],[team_number]])</f>
        <v>0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0</v>
      </c>
      <c r="H891" s="16">
        <f>SUMIFS(_teams[draws_on_date],_teams[date],_stats[[#This Row],[date]],_teams[team_number],_stats[[#This Row],[team_number]])</f>
        <v>0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0</v>
      </c>
      <c r="H892" s="16">
        <f>SUMIFS(_teams[draws_on_date],_teams[date],_stats[[#This Row],[date]],_teams[team_number],_stats[[#This Row],[team_number]])</f>
        <v>0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0</v>
      </c>
      <c r="H893" s="16">
        <f>SUMIFS(_teams[draws_on_date],_teams[date],_stats[[#This Row],[date]],_teams[team_number],_stats[[#This Row],[team_number]])</f>
        <v>0</v>
      </c>
      <c r="I893" s="16">
        <v>0</v>
      </c>
      <c r="J893" s="10" t="s">
        <v>105</v>
      </c>
    </row>
  </sheetData>
  <phoneticPr fontId="5" type="noConversion"/>
  <dataValidations count="1">
    <dataValidation type="list" allowBlank="1" showInputMessage="1" showErrorMessage="1" sqref="C2:C893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27"/>
  <sheetViews>
    <sheetView topLeftCell="A110" workbookViewId="0">
      <selection activeCell="D126" sqref="D126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</sheetData>
  <dataValidations count="1">
    <dataValidation type="list" allowBlank="1" showInputMessage="1" showErrorMessage="1" sqref="B2:B12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2025-12-07T13:53:27Z</dcterms:modified>
</cp:coreProperties>
</file>