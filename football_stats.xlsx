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DE2E2F4B-4F6B-4168-90F0-DBF857105C94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4" i="1" l="1"/>
  <c r="D144" i="1"/>
  <c r="C143" i="1"/>
  <c r="D143" i="1"/>
  <c r="C142" i="1"/>
  <c r="D142" i="1"/>
  <c r="F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E144" i="1" s="1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E143" i="1" s="1"/>
  <c r="H1201" i="2"/>
  <c r="F143" i="1" s="1"/>
  <c r="D1200" i="2"/>
  <c r="G1200" i="2"/>
  <c r="H1200" i="2"/>
  <c r="D1199" i="2"/>
  <c r="G1199" i="2"/>
  <c r="E142" i="1" s="1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E140" i="1" s="1"/>
  <c r="H1170" i="2"/>
  <c r="F140" i="1" s="1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F137" i="1" s="1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E134" i="1" s="1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34" i="1" l="1"/>
  <c r="G144" i="1"/>
  <c r="E137" i="1"/>
  <c r="G143" i="1"/>
  <c r="G142" i="1"/>
  <c r="G141" i="1"/>
  <c r="G140" i="1"/>
  <c r="G139" i="1"/>
  <c r="E126" i="1"/>
  <c r="E125" i="1"/>
  <c r="E133" i="1"/>
  <c r="F133" i="1"/>
  <c r="G137" i="1"/>
  <c r="F124" i="1"/>
  <c r="G124" i="1" s="1"/>
  <c r="G138" i="1"/>
  <c r="G136" i="1"/>
  <c r="G135" i="1"/>
  <c r="F125" i="1"/>
  <c r="G134" i="1"/>
  <c r="G132" i="1"/>
  <c r="E121" i="1"/>
  <c r="F123" i="1"/>
  <c r="E123" i="1"/>
  <c r="G131" i="1"/>
  <c r="G130" i="1"/>
  <c r="G129" i="1"/>
  <c r="F121" i="1"/>
  <c r="F126" i="1"/>
  <c r="F120" i="1"/>
  <c r="F122" i="1"/>
  <c r="E122" i="1"/>
  <c r="G128" i="1"/>
  <c r="G127" i="1"/>
  <c r="E120" i="1"/>
  <c r="G119" i="1"/>
  <c r="G118" i="1"/>
  <c r="G126" i="1" l="1"/>
  <c r="G133" i="1"/>
  <c r="G125" i="1"/>
  <c r="G121" i="1"/>
  <c r="G123" i="1"/>
  <c r="G120" i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<sst xmlns="http://schemas.openxmlformats.org/spreadsheetml/2006/main" count="2898" uniqueCount="161">
  <si>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</si>
  <si>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</si>
  <si>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</si>
  <si>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</si>
  <si>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</si>
  <si>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</si>
  <si>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</si>
  <si>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</si>
  <si>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</si>
  <si>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</si>
  <si>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</si>
  <si>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</si>
  <si>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</si>
  <si>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</si>
  <si>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</si>
  <si>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</si>
  <si>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</si>
  <si>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</si>
  <si>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</si>
  <si>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</si>
  <si>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</si>
  <si>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</si>
  <si>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</si>
  <si>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</si>
  <si>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</si>
  <si>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</si>
  <si>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</si>
  <si>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</si>
  <si>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</si>
  <si>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</si>
  <si>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</si>
  <si>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</si>
  <si>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</si>
  <si>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</si>
  <si>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</si>
  <si>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</si>
  <si>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</si>
  <si>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</si>
  <si>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</si>
  <si>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</si>
  <si>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</si>
  <si>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</si>
  <si>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</si>
  <si>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</si>
  <si>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</si>
  <si>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</si>
  <si>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</si>
  <si>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</si>
  <si>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</si>
  <si>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</si>
  <si>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</si>
  <si>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</si>
  <si>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</si>
  <si>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</si>
  <si>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</si>
  <si>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</si>
  <si>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</si>
  <si>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</si>
  <si>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</si>
  <si>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</si>
  <si>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</si>
  <si>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</si>
  <si>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</si>
  <si>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</si>
  <si>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</si>
  <si>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</si>
  <si>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</si>
  <si>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</si>
  <si>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</si>
  <si>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</si>
  <si>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</si>
  <si>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</si>
  <si>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</si>
  <si>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</si>
  <si>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</si>
  <si>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</si>
  <si>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</si>
  <si>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</si>
  <si>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</si>
  <si>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</si>
  <si>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</si>
  <si>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</si>
  <si>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</si>
  <si>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</si>
  <si>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</si>
  <si>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</si>
  <si>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</si>
  <si>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</si>
  <si>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</si>
  <si>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</si>
  <si>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</si>
  <si>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</si>
  <si>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</si>
  <si>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</si>
  <si>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</si>
  <si>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</si>
  <si>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</si>
  <si>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</si>
  <si>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</si>
  <si>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</si>
  <si>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</si>
  <si>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</si>
  <si>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</si>
  <si>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</si>
  <si>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</si>
  <si>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</si>
  <si>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</si>
  <si>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</si>
  <si>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</si>
  <si>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</si>
  <si>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</si>
  <si>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</si>
  <si>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</si>
  <si>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</si>
  <si>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</si>
  <si>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</si>
  <si>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</si>
  <si>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</si>
  <si>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</si>
  <si>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</si>
  <si>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</si>
  <si>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</si>
  <si>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</si>
  <si>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</si>
  <si>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</si>
  <si>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</si>
  <si>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</si>
  <si>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</si>
  <si>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</si>
  <si>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</si>
  <si>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</si>
  <si>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</si>
  <si>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</si>
  <si>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</si>
  <si>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</si>
  <si>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</si>
  <si>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</si>
  <si>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</si>
  <si>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</si>
  <si>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</si>
  <si>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</si>
  <si>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</si>
  <si>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</si>
  <si>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</si>
  <si>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</si>
  <si>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</si>
  <si>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</si>
  <si>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</si>
  <si>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</si>
  <si>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</si>
  <si>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</si>
  <si>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</si>
  <si>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</si>
  <si>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</si>
  <si>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</si>
  <si>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</si>
  <si>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</si>
  <si>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</si>
  <si>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Иван (ФИО)</t>
  </si>
  <si>
    <t>Ислам</t>
  </si>
  <si>
    <t>Мара (Атай+1)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</si>
</sst>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4" totalsRowShown="0" headerRowDxfId="35" headerRowBorderDxfId="34" tableBorderDxfId="33" totalsRowBorderDxfId="32">
  <autoFilter ref="A1:G144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211" totalsRowShown="0" headerRowDxfId="24" dataDxfId="22" headerRowBorderDxfId="23" tableBorderDxfId="21" totalsRowBorderDxfId="20">
  <autoFilter ref="A1:J1211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71" totalsRowShown="0" headerRowDxfId="9" dataDxfId="7" headerRowBorderDxfId="8" tableBorderDxfId="6" totalsRowBorderDxfId="5">
  <autoFilter ref="A1:E171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4"/>
  <sheetViews>
    <sheetView topLeftCell="A109" workbookViewId="0">
      <selection activeCell="C144" sqref="C144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99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87</v>
      </c>
      <c r="D2" s="19">
        <f>SUMIFS(_stats[assists_on_date],_stats[player_id],_players[[#This Row],[player_id]])</f>
        <v>34</v>
      </c>
      <c r="E2" s="19">
        <f>SUMIFS(_stats[wins_on_date],_stats[player_id],_players[[#This Row],[player_id]])</f>
        <v>106</v>
      </c>
      <c r="F2" s="20">
        <f>SUMIFS(_stats[draws_on_date],_stats[player_id],_players[[#This Row],[player_id]])</f>
        <v>12</v>
      </c>
      <c r="G2" s="20">
        <f>SUM(_players[[#This Row],[goals]:[draws]])</f>
        <v>239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59</v>
      </c>
      <c r="D3" s="11">
        <f>SUMIFS(_stats[assists_on_date],_stats[player_id],_players[[#This Row],[player_id]])</f>
        <v>42</v>
      </c>
      <c r="E3" s="11">
        <f>SUMIFS(_stats[wins_on_date],_stats[player_id],_players[[#This Row],[player_id]])</f>
        <v>166</v>
      </c>
      <c r="F3" s="12">
        <f>SUMIFS(_stats[draws_on_date],_stats[player_id],_players[[#This Row],[player_id]])</f>
        <v>34</v>
      </c>
      <c r="G3" s="12">
        <f>SUM(_players[[#This Row],[goals]:[draws]])</f>
        <v>301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169</v>
      </c>
      <c r="F4" s="17">
        <f>SUMIFS(_stats[draws_on_date],_stats[player_id],_players[[#This Row],[player_id]])</f>
        <v>35</v>
      </c>
      <c r="G4" s="17">
        <f>SUM(_players[[#This Row],[goals]:[draws]])</f>
        <v>312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27</v>
      </c>
      <c r="E5" s="21">
        <f>SUMIFS(_stats[wins_on_date],_stats[player_id],_players[[#This Row],[player_id]])</f>
        <v>98</v>
      </c>
      <c r="F5" s="22">
        <f>SUMIFS(_stats[draws_on_date],_stats[player_id],_players[[#This Row],[player_id]])</f>
        <v>8</v>
      </c>
      <c r="G5" s="22">
        <f>SUM(_players[[#This Row],[goals]:[draws]])</f>
        <v>149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26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180</v>
      </c>
      <c r="F6" s="17">
        <f>SUMIFS(_stats[draws_on_date],_stats[player_id],_players[[#This Row],[player_id]])</f>
        <v>38</v>
      </c>
      <c r="G6" s="17">
        <f>SUM(_players[[#This Row],[goals]:[draws]])</f>
        <v>261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61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104</v>
      </c>
      <c r="F7" s="12">
        <f>SUMIFS(_stats[draws_on_date],_stats[player_id],_players[[#This Row],[player_id]])</f>
        <v>25</v>
      </c>
      <c r="G7" s="12">
        <f>SUM(_players[[#This Row],[goals]:[draws]])</f>
        <v>231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146</v>
      </c>
      <c r="F8" s="12">
        <f>SUMIFS(_stats[draws_on_date],_stats[player_id],_players[[#This Row],[player_id]])</f>
        <v>35</v>
      </c>
      <c r="G8" s="12">
        <f>SUM(_players[[#This Row],[goals]:[draws]])</f>
        <v>246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65</v>
      </c>
      <c r="D12" s="16">
        <f>SUMIFS(_stats[assists_on_date],_stats[player_id],_players[[#This Row],[player_id]])</f>
        <v>70</v>
      </c>
      <c r="E12" s="16">
        <f>SUMIFS(_stats[wins_on_date],_stats[player_id],_players[[#This Row],[player_id]])</f>
        <v>128</v>
      </c>
      <c r="F12" s="17">
        <f>SUMIFS(_stats[draws_on_date],_stats[player_id],_players[[#This Row],[player_id]])</f>
        <v>36</v>
      </c>
      <c r="G12" s="17">
        <f>SUM(_players[[#This Row],[goals]:[draws]])</f>
        <v>299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142</v>
      </c>
      <c r="F14" s="12">
        <f>SUMIFS(_stats[draws_on_date],_stats[player_id],_players[[#This Row],[player_id]])</f>
        <v>33</v>
      </c>
      <c r="G14" s="12">
        <f>SUM(_players[[#This Row],[goals]:[draws]])</f>
        <v>193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16</v>
      </c>
      <c r="D15" s="11">
        <f>SUMIFS(_stats[assists_on_date],_stats[player_id],_players[[#This Row],[player_id]])</f>
        <v>33</v>
      </c>
      <c r="E15" s="11">
        <f>SUMIFS(_stats[wins_on_date],_stats[player_id],_players[[#This Row],[player_id]])</f>
        <v>66</v>
      </c>
      <c r="F15" s="12">
        <f>SUMIFS(_stats[draws_on_date],_stats[player_id],_players[[#This Row],[player_id]])</f>
        <v>6</v>
      </c>
      <c r="G15" s="12">
        <f>SUM(_players[[#This Row],[goals]:[draws]])</f>
        <v>121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17</v>
      </c>
      <c r="D16" s="11">
        <f>SUMIFS(_stats[assists_on_date],_stats[player_id],_players[[#This Row],[player_id]])</f>
        <v>29</v>
      </c>
      <c r="E16" s="11">
        <f>SUMIFS(_stats[wins_on_date],_stats[player_id],_players[[#This Row],[player_id]])</f>
        <v>63</v>
      </c>
      <c r="F16" s="12">
        <f>SUMIFS(_stats[draws_on_date],_stats[player_id],_players[[#This Row],[player_id]])</f>
        <v>5</v>
      </c>
      <c r="G16" s="12">
        <f>SUM(_players[[#This Row],[goals]:[draws]])</f>
        <v>114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56</v>
      </c>
      <c r="F17" s="12">
        <f>SUMIFS(_stats[draws_on_date],_stats[player_id],_players[[#This Row],[player_id]])</f>
        <v>12</v>
      </c>
      <c r="G17" s="12">
        <f>SUM(_players[[#This Row],[goals]:[draws]])</f>
        <v>93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39</v>
      </c>
      <c r="D18" s="11">
        <f>SUMIFS(_stats[assists_on_date],_stats[player_id],_players[[#This Row],[player_id]])</f>
        <v>33</v>
      </c>
      <c r="E18" s="11">
        <f>SUMIFS(_stats[wins_on_date],_stats[player_id],_players[[#This Row],[player_id]])</f>
        <v>99</v>
      </c>
      <c r="F18" s="12">
        <f>SUMIFS(_stats[draws_on_date],_stats[player_id],_players[[#This Row],[player_id]])</f>
        <v>11</v>
      </c>
      <c r="G18" s="12">
        <f>SUM(_players[[#This Row],[goals]:[draws]])</f>
        <v>182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SUM(_players[[#This Row],[goals]:[draws]])</f>
        <v>44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17</v>
      </c>
      <c r="E20" s="11">
        <f>SUMIFS(_stats[wins_on_date],_stats[player_id],_players[[#This Row],[player_id]])</f>
        <v>104</v>
      </c>
      <c r="F20" s="12">
        <f>SUMIFS(_stats[draws_on_date],_stats[player_id],_players[[#This Row],[player_id]])</f>
        <v>21</v>
      </c>
      <c r="G20" s="12">
        <f>SUM(_players[[#This Row],[goals]:[draws]])</f>
        <v>161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39</v>
      </c>
      <c r="D21" s="11">
        <f>SUMIFS(_stats[assists_on_date],_stats[player_id],_players[[#This Row],[player_id]])</f>
        <v>43</v>
      </c>
      <c r="E21" s="11">
        <f>SUMIFS(_stats[wins_on_date],_stats[player_id],_players[[#This Row],[player_id]])</f>
        <v>119</v>
      </c>
      <c r="F21" s="12">
        <f>SUMIFS(_stats[draws_on_date],_stats[player_id],_players[[#This Row],[player_id]])</f>
        <v>29</v>
      </c>
      <c r="G21" s="12">
        <f>SUM(_players[[#This Row],[goals]:[draws]])</f>
        <v>230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111</v>
      </c>
      <c r="F22" s="17">
        <f>SUMIFS(_stats[draws_on_date],_stats[player_id],_players[[#This Row],[player_id]])</f>
        <v>19</v>
      </c>
      <c r="G22" s="17">
        <f>SUM(_players[[#This Row],[goals]:[draws]])</f>
        <v>141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36</v>
      </c>
      <c r="E23" s="11">
        <f>SUMIFS(_stats[wins_on_date],_stats[player_id],_players[[#This Row],[player_id]])</f>
        <v>117</v>
      </c>
      <c r="F23" s="12">
        <f>SUMIFS(_stats[draws_on_date],_stats[player_id],_players[[#This Row],[player_id]])</f>
        <v>24</v>
      </c>
      <c r="G23" s="12">
        <f>SUM(_players[[#This Row],[goals]:[draws]])</f>
        <v>213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22</v>
      </c>
      <c r="E25" s="11">
        <f>SUMIFS(_stats[wins_on_date],_stats[player_id],_players[[#This Row],[player_id]])</f>
        <v>105</v>
      </c>
      <c r="F25" s="12">
        <f>SUMIFS(_stats[draws_on_date],_stats[player_id],_players[[#This Row],[player_id]])</f>
        <v>31</v>
      </c>
      <c r="G25" s="12">
        <f>SUM(_players[[#This Row],[goals]:[draws]])</f>
        <v>173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50</v>
      </c>
      <c r="F26" s="17">
        <f>SUMIFS(_stats[draws_on_date],_stats[player_id],_players[[#This Row],[player_id]])</f>
        <v>16</v>
      </c>
      <c r="G26" s="17">
        <f>SUM(_players[[#This Row],[goals]:[draws]])</f>
        <v>78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17</v>
      </c>
      <c r="E27" s="11">
        <f>SUMIFS(_stats[wins_on_date],_stats[player_id],_players[[#This Row],[player_id]])</f>
        <v>84</v>
      </c>
      <c r="F27" s="12">
        <f>SUMIFS(_stats[draws_on_date],_stats[player_id],_players[[#This Row],[player_id]])</f>
        <v>16</v>
      </c>
      <c r="G27" s="12">
        <f>SUM(_players[[#This Row],[goals]:[draws]])</f>
        <v>129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46</v>
      </c>
      <c r="F30" s="17">
        <f>SUMIFS(_stats[draws_on_date],_stats[player_id],_players[[#This Row],[player_id]])</f>
        <v>10</v>
      </c>
      <c r="G30" s="17">
        <f>SUM(_players[[#This Row],[goals]:[draws]])</f>
        <v>71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11</v>
      </c>
      <c r="E31" s="16">
        <f>SUMIFS(_stats[wins_on_date],_stats[player_id],_players[[#This Row],[player_id]])</f>
        <v>55</v>
      </c>
      <c r="F31" s="17">
        <f>SUMIFS(_stats[draws_on_date],_stats[player_id],_players[[#This Row],[player_id]])</f>
        <v>6</v>
      </c>
      <c r="G31" s="17">
        <f>SUM(_players[[#This Row],[goals]:[draws]])</f>
        <v>78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SUM(_players[[#This Row],[goals]:[draws]])</f>
        <v>71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7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27</v>
      </c>
      <c r="F33" s="12">
        <f>SUMIFS(_stats[draws_on_date],_stats[player_id],_players[[#This Row],[player_id]])</f>
        <v>11</v>
      </c>
      <c r="G33" s="12">
        <f>SUM(_players[[#This Row],[goals]:[draws]])</f>
        <v>51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76</v>
      </c>
      <c r="F35" s="17">
        <f>SUMIFS(_stats[draws_on_date],_stats[player_id],_players[[#This Row],[player_id]])</f>
        <v>23</v>
      </c>
      <c r="G35" s="17">
        <f>SUM(_players[[#This Row],[goals]:[draws]])</f>
        <v>122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58</v>
      </c>
      <c r="F37" s="12">
        <f>SUMIFS(_stats[draws_on_date],_stats[player_id],_players[[#This Row],[player_id]])</f>
        <v>16</v>
      </c>
      <c r="G37" s="12">
        <f>SUM(_players[[#This Row],[goals]:[draws]])</f>
        <v>81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59</v>
      </c>
      <c r="F38" s="12">
        <f>SUMIFS(_stats[draws_on_date],_stats[player_id],_players[[#This Row],[player_id]])</f>
        <v>20</v>
      </c>
      <c r="G38" s="12">
        <f>SUM(_players[[#This Row],[goals]:[draws]])</f>
        <v>107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144</v>
      </c>
      <c r="F39" s="12">
        <f>SUMIFS(_stats[draws_on_date],_stats[player_id],_players[[#This Row],[player_id]])</f>
        <v>46</v>
      </c>
      <c r="G39" s="12">
        <f>SUM(_players[[#This Row],[goals]:[draws]])</f>
        <v>192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73</v>
      </c>
      <c r="F41" s="12">
        <f>SUMIFS(_stats[draws_on_date],_stats[player_id],_players[[#This Row],[player_id]])</f>
        <v>24</v>
      </c>
      <c r="G41" s="12">
        <f>SUM(_players[[#This Row],[goals]:[draws]])</f>
        <v>135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15</v>
      </c>
      <c r="D42" s="16">
        <f>SUMIFS(_stats[assists_on_date],_stats[player_id],_players[[#This Row],[player_id]])</f>
        <v>11</v>
      </c>
      <c r="E42" s="16">
        <f>SUMIFS(_stats[wins_on_date],_stats[player_id],_players[[#This Row],[player_id]])</f>
        <v>56</v>
      </c>
      <c r="F42" s="17">
        <f>SUMIFS(_stats[draws_on_date],_stats[player_id],_players[[#This Row],[player_id]])</f>
        <v>12</v>
      </c>
      <c r="G42" s="17">
        <f>SUM(_players[[#This Row],[goals]:[draws]])</f>
        <v>94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9</v>
      </c>
      <c r="E43" s="11">
        <f>SUMIFS(_stats[wins_on_date],_stats[player_id],_players[[#This Row],[player_id]])</f>
        <v>39</v>
      </c>
      <c r="F43" s="12">
        <f>SUMIFS(_stats[draws_on_date],_stats[player_id],_players[[#This Row],[player_id]])</f>
        <v>11</v>
      </c>
      <c r="G43" s="12">
        <f>SUM(_players[[#This Row],[goals]:[draws]])</f>
        <v>66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SUM(_players[[#This Row],[goals]:[draws]])</f>
        <v>91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37</v>
      </c>
      <c r="F50" s="12">
        <f>SUMIFS(_stats[draws_on_date],_stats[player_id],_players[[#This Row],[player_id]])</f>
        <v>4</v>
      </c>
      <c r="G50" s="12">
        <f>SUM(_players[[#This Row],[goals]:[draws]])</f>
        <v>42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SUM(_players[[#This Row],[goals]:[draws]])</f>
        <v>13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SUM(_players[[#This Row],[goals]:[draws]])</f>
        <v>19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12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35</v>
      </c>
      <c r="F59" s="18">
        <f>SUMIFS(_stats[draws_on_date],_stats[player_id],_players[[#This Row],[player_id]])</f>
        <v>7</v>
      </c>
      <c r="G59" s="18">
        <f>SUM(_players[[#This Row],[goals]:[draws]])</f>
        <v>58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19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91</v>
      </c>
      <c r="F64" s="18">
        <f>SUMIFS(_stats[draws_on_date],_stats[player_id],_players[[#This Row],[player_id]])</f>
        <v>23</v>
      </c>
      <c r="G64" s="18">
        <f>SUM(_players[[#This Row],[goals]:[draws]])</f>
        <v>150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SUM(_players[[#This Row],[goals]:[draws]])</f>
        <v>91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SUM(_players[[#This Row],[goals]:[draws]])</f>
        <v>9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37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38</v>
      </c>
      <c r="F76" s="18">
        <f>SUMIFS(_stats[draws_on_date],_stats[player_id],_players[[#This Row],[player_id]])</f>
        <v>11</v>
      </c>
      <c r="G76" s="18">
        <f>SUM(_players[[#This Row],[goals]:[draws]])</f>
        <v>105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147</v>
      </c>
      <c r="B79" s="36" t="s">
        <v>147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71</v>
      </c>
      <c r="F79" s="18">
        <f>SUMIFS(_stats[draws_on_date],_stats[player_id],_players[[#This Row],[player_id]])</f>
        <v>17</v>
      </c>
      <c r="G79" s="18">
        <f>SUM(_players[[#This Row],[goals]:[draws]])</f>
        <v>157</v>
      </c>
    </row>
    <row r="80" spans="1:7" x14ac:dyDescent="0.25">
      <c r="A80" s="36" t="s">
        <v>89</v>
      </c>
      <c r="B80" s="36" t="s">
        <v>89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90</v>
      </c>
      <c r="B81" s="36" t="s">
        <v>90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91</v>
      </c>
      <c r="B82" s="36" t="s">
        <v>91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96</v>
      </c>
      <c r="B83" s="26" t="s">
        <v>96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92</v>
      </c>
      <c r="B84" s="26" t="s">
        <v>92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SUM(_players[[#This Row],[goals]:[draws]])</f>
        <v>31</v>
      </c>
    </row>
    <row r="85" spans="1:7" x14ac:dyDescent="0.25">
      <c r="A85" s="36" t="s">
        <v>93</v>
      </c>
      <c r="B85" s="36" t="s">
        <v>93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94</v>
      </c>
      <c r="B86" s="36" t="s">
        <v>94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95</v>
      </c>
      <c r="B87" s="36" t="s">
        <v>95</v>
      </c>
      <c r="C87" s="10">
        <f>SUMIFS(_stats[goals_on_date],_stats[player_id],_players[[#This Row],[player_id]])</f>
        <v>16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31</v>
      </c>
      <c r="F87" s="18">
        <f>SUMIFS(_stats[draws_on_date],_stats[player_id],_players[[#This Row],[player_id]])</f>
        <v>10</v>
      </c>
      <c r="G87" s="18">
        <f>SUM(_players[[#This Row],[goals]:[draws]])</f>
        <v>65</v>
      </c>
    </row>
    <row r="88" spans="1:7" x14ac:dyDescent="0.25">
      <c r="A88" s="36" t="s">
        <v>97</v>
      </c>
      <c r="B88" s="36" t="s">
        <v>97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10</v>
      </c>
      <c r="F88" s="18">
        <f>SUMIFS(_stats[draws_on_date],_stats[player_id],_players[[#This Row],[player_id]])</f>
        <v>1</v>
      </c>
      <c r="G88" s="18">
        <f>SUM(_players[[#This Row],[goals]:[draws]])</f>
        <v>15</v>
      </c>
    </row>
    <row r="89" spans="1:7" x14ac:dyDescent="0.25">
      <c r="A89" s="36" t="s">
        <v>103</v>
      </c>
      <c r="B89" s="36" t="s">
        <v>103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105</v>
      </c>
      <c r="B90" s="36" t="s">
        <v>105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106</v>
      </c>
      <c r="B91" s="37" t="s">
        <v>106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107</v>
      </c>
      <c r="B92" s="26" t="s">
        <v>107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108</v>
      </c>
      <c r="B93" s="37" t="s">
        <v>108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109</v>
      </c>
      <c r="B94" s="37" t="s">
        <v>109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110</v>
      </c>
      <c r="B95" s="37" t="s">
        <v>110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111</v>
      </c>
      <c r="B96" s="36" t="s">
        <v>111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SUM(_players[[#This Row],[goals]:[draws]])</f>
        <v>39</v>
      </c>
    </row>
    <row r="97" spans="1:7" x14ac:dyDescent="0.25">
      <c r="A97" s="36" t="s">
        <v>112</v>
      </c>
      <c r="B97" s="36" t="s">
        <v>112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113</v>
      </c>
      <c r="B98" s="36" t="s">
        <v>113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114</v>
      </c>
      <c r="B99" s="36" t="s">
        <v>114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115</v>
      </c>
      <c r="B100" s="33" t="s">
        <v>115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116</v>
      </c>
      <c r="B101" s="33" t="s">
        <v>116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117</v>
      </c>
      <c r="B102" s="36" t="s">
        <v>117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118</v>
      </c>
      <c r="B103" s="36" t="s">
        <v>118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119</v>
      </c>
      <c r="B104" s="36" t="s">
        <v>119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120</v>
      </c>
      <c r="B105" s="36" t="s">
        <v>120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121</v>
      </c>
      <c r="B106" s="36" t="s">
        <v>121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4</v>
      </c>
      <c r="G106" s="18">
        <f>SUM(_players[[#This Row],[goals]:[draws]])</f>
        <v>19</v>
      </c>
    </row>
    <row r="107" spans="1:7" x14ac:dyDescent="0.25">
      <c r="A107" s="36" t="s">
        <v>122</v>
      </c>
      <c r="B107" s="36" t="s">
        <v>122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123</v>
      </c>
      <c r="B108" s="36" t="s">
        <v>123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124</v>
      </c>
      <c r="B109" s="36" t="s">
        <v>124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SUM(_players[[#This Row],[goals]:[draws]])</f>
        <v>13</v>
      </c>
    </row>
    <row r="110" spans="1:7" ht="15.75" x14ac:dyDescent="0.25">
      <c r="A110" s="26" t="s">
        <v>125</v>
      </c>
      <c r="B110" s="26" t="s">
        <v>125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33</v>
      </c>
      <c r="F110" s="18">
        <f>SUMIFS(_stats[draws_on_date],_stats[player_id],_players[[#This Row],[player_id]])</f>
        <v>11</v>
      </c>
      <c r="G110" s="18">
        <f>SUM(_players[[#This Row],[goals]:[draws]])</f>
        <v>44</v>
      </c>
    </row>
    <row r="111" spans="1:7" x14ac:dyDescent="0.25">
      <c r="A111" s="36" t="s">
        <v>126</v>
      </c>
      <c r="B111" s="36" t="s">
        <v>126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127</v>
      </c>
      <c r="B112" s="36" t="s">
        <v>127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128</v>
      </c>
      <c r="B113" s="36" t="s">
        <v>128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129</v>
      </c>
      <c r="B114" s="33" t="s">
        <v>129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130</v>
      </c>
      <c r="B115" s="33" t="s">
        <v>130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131</v>
      </c>
      <c r="B116" s="33" t="s">
        <v>131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132</v>
      </c>
      <c r="B117" s="36" t="s">
        <v>132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133</v>
      </c>
      <c r="B118" s="39" t="s">
        <v>133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134</v>
      </c>
      <c r="B119" s="39" t="s">
        <v>134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135</v>
      </c>
      <c r="B120" s="36" t="s">
        <v>135</v>
      </c>
      <c r="C120" s="10">
        <f>SUMIFS(_stats[goals_on_date],_stats[player_id],_players[[#This Row],[player_id]])</f>
        <v>4</v>
      </c>
      <c r="D120" s="10">
        <f>SUMIFS(_stats[assists_on_date],_stats[player_id],_players[[#This Row],[player_id]])</f>
        <v>6</v>
      </c>
      <c r="E120" s="10">
        <f>SUMIFS(_stats[wins_on_date],_stats[player_id],_players[[#This Row],[player_id]])</f>
        <v>20</v>
      </c>
      <c r="F120" s="18">
        <f>SUMIFS(_stats[draws_on_date],_stats[player_id],_players[[#This Row],[player_id]])</f>
        <v>8</v>
      </c>
      <c r="G120" s="18">
        <f>SUM(_players[[#This Row],[goals]:[draws]])</f>
        <v>38</v>
      </c>
    </row>
    <row r="121" spans="1:7" ht="15.75" x14ac:dyDescent="0.25">
      <c r="A121" s="42" t="s">
        <v>136</v>
      </c>
      <c r="B121" s="39" t="s">
        <v>136</v>
      </c>
      <c r="C121" s="10">
        <f>SUMIFS(_stats[goals_on_date],_stats[player_id],_players[[#This Row],[player_id]])</f>
        <v>13</v>
      </c>
      <c r="D121" s="10">
        <f>SUMIFS(_stats[assists_on_date],_stats[player_id],_players[[#This Row],[player_id]])</f>
        <v>12</v>
      </c>
      <c r="E121" s="10">
        <f>SUMIFS(_stats[wins_on_date],_stats[player_id],_players[[#This Row],[player_id]])</f>
        <v>44</v>
      </c>
      <c r="F121" s="18">
        <f>SUMIFS(_stats[draws_on_date],_stats[player_id],_players[[#This Row],[player_id]])</f>
        <v>14</v>
      </c>
      <c r="G121" s="18">
        <f>SUM(_players[[#This Row],[goals]:[draws]])</f>
        <v>83</v>
      </c>
    </row>
    <row r="122" spans="1:7" ht="15.75" x14ac:dyDescent="0.25">
      <c r="A122" s="42" t="s">
        <v>137</v>
      </c>
      <c r="B122" s="39" t="s">
        <v>137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SUM(_players[[#This Row],[goals]:[draws]])</f>
        <v>13</v>
      </c>
    </row>
    <row r="123" spans="1:7" ht="15.75" x14ac:dyDescent="0.25">
      <c r="A123" s="37" t="s">
        <v>138</v>
      </c>
      <c r="B123" s="26" t="s">
        <v>138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139</v>
      </c>
      <c r="B124" s="36" t="s">
        <v>139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SUM(_players[[#This Row],[goals]:[draws]])</f>
        <v>12</v>
      </c>
    </row>
    <row r="125" spans="1:7" x14ac:dyDescent="0.25">
      <c r="A125" s="36" t="s">
        <v>140</v>
      </c>
      <c r="B125" s="36" t="s">
        <v>140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SUM(_players[[#This Row],[goals]:[draws]])</f>
        <v>15</v>
      </c>
    </row>
    <row r="126" spans="1:7" x14ac:dyDescent="0.25">
      <c r="A126" s="36" t="s">
        <v>141</v>
      </c>
      <c r="B126" s="36" t="s">
        <v>141</v>
      </c>
      <c r="C126" s="10">
        <f>SUMIFS(_stats[goals_on_date],_stats[player_id],_players[[#This Row],[player_id]])</f>
        <v>5</v>
      </c>
      <c r="D126" s="10">
        <f>SUMIFS(_stats[assists_on_date],_stats[player_id],_players[[#This Row],[player_id]])</f>
        <v>2</v>
      </c>
      <c r="E126" s="10">
        <f>SUMIFS(_stats[wins_on_date],_stats[player_id],_players[[#This Row],[player_id]])</f>
        <v>10</v>
      </c>
      <c r="F126" s="18">
        <f>SUMIFS(_stats[draws_on_date],_stats[player_id],_players[[#This Row],[player_id]])</f>
        <v>5</v>
      </c>
      <c r="G126" s="18">
        <f>SUM(_players[[#This Row],[goals]:[draws]])</f>
        <v>22</v>
      </c>
    </row>
    <row r="127" spans="1:7" x14ac:dyDescent="0.25">
      <c r="A127" s="36" t="s">
        <v>142</v>
      </c>
      <c r="B127" s="36" t="s">
        <v>142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143</v>
      </c>
      <c r="B128" s="36" t="s">
        <v>143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144</v>
      </c>
      <c r="B129" s="36" t="s">
        <v>144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145</v>
      </c>
      <c r="B130" s="36" t="s">
        <v>145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3</v>
      </c>
      <c r="G130" s="18">
        <f>SUM(_players[[#This Row],[goals]:[draws]])</f>
        <v>10</v>
      </c>
    </row>
    <row r="131" spans="1:7" x14ac:dyDescent="0.25">
      <c r="A131" s="36" t="s">
        <v>146</v>
      </c>
      <c r="B131" s="36" t="s">
        <v>146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  <row r="132" spans="1:7" x14ac:dyDescent="0.25">
      <c r="A132" s="36" t="s">
        <v>148</v>
      </c>
      <c r="B132" s="36" t="s">
        <v>148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SUM(_players[[#This Row],[goals]:[draws]])</f>
        <v>6</v>
      </c>
    </row>
    <row r="133" spans="1:7" x14ac:dyDescent="0.25">
      <c r="A133" s="36" t="s">
        <v>149</v>
      </c>
      <c r="B133" s="36" t="s">
        <v>149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SUM(_players[[#This Row],[goals]:[draws]])</f>
        <v>18</v>
      </c>
    </row>
    <row r="134" spans="1:7" x14ac:dyDescent="0.25">
      <c r="A134" s="36" t="s">
        <v>150</v>
      </c>
      <c r="B134" s="36" t="s">
        <v>150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2</v>
      </c>
      <c r="G134" s="18">
        <f>SUM(_players[[#This Row],[goals]:[draws]])</f>
        <v>13</v>
      </c>
    </row>
    <row r="135" spans="1:7" x14ac:dyDescent="0.25">
      <c r="A135" s="36" t="s">
        <v>151</v>
      </c>
      <c r="B135" s="36" t="s">
        <v>151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SUM(_players[[#This Row],[goals]:[draws]])</f>
        <v>1</v>
      </c>
    </row>
    <row r="136" spans="1:7" x14ac:dyDescent="0.25">
      <c r="A136" s="36" t="s">
        <v>152</v>
      </c>
      <c r="B136" s="36" t="s">
        <v>152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SUM(_players[[#This Row],[goals]:[draws]])</f>
        <v>8</v>
      </c>
    </row>
    <row r="137" spans="1:7" x14ac:dyDescent="0.25">
      <c r="A137" s="36" t="s">
        <v>153</v>
      </c>
      <c r="B137" s="36" t="s">
        <v>153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10</v>
      </c>
      <c r="F137" s="18">
        <f>SUMIFS(_stats[draws_on_date],_stats[player_id],_players[[#This Row],[player_id]])</f>
        <v>2</v>
      </c>
      <c r="G137" s="18">
        <f>SUM(_players[[#This Row],[goals]:[draws]])</f>
        <v>14</v>
      </c>
    </row>
    <row r="138" spans="1:7" x14ac:dyDescent="0.25">
      <c r="A138" s="36" t="s">
        <v>154</v>
      </c>
      <c r="B138" s="36" t="s">
        <v>154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SUM(_players[[#This Row],[goals]:[draws]])</f>
        <v>2</v>
      </c>
    </row>
    <row r="139" spans="1:7" x14ac:dyDescent="0.25">
      <c r="A139" s="36" t="s">
        <v>155</v>
      </c>
      <c r="B139" s="36" t="s">
        <v>155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SUM(_players[[#This Row],[goals]:[draws]])</f>
        <v>5</v>
      </c>
    </row>
    <row r="140" spans="1:7" x14ac:dyDescent="0.25">
      <c r="A140" s="36" t="s">
        <v>156</v>
      </c>
      <c r="B140" s="36" t="s">
        <v>156</v>
      </c>
      <c r="C140" s="10">
        <f>SUMIFS(_stats[goals_on_date],_stats[player_id],_players[[#This Row],[player_id]])</f>
        <v>2</v>
      </c>
      <c r="D140" s="10">
        <f>SUMIFS(_stats[assists_on_date],_stats[player_id],_players[[#This Row],[player_id]])</f>
        <v>0</v>
      </c>
      <c r="E140" s="10">
        <f>SUMIFS(_stats[wins_on_date],_stats[player_id],_players[[#This Row],[player_id]])</f>
        <v>3</v>
      </c>
      <c r="F140" s="18">
        <f>SUMIFS(_stats[draws_on_date],_stats[player_id],_players[[#This Row],[player_id]])</f>
        <v>2</v>
      </c>
      <c r="G140" s="18">
        <f>SUM(_players[[#This Row],[goals]:[draws]])</f>
        <v>7</v>
      </c>
    </row>
    <row r="141" spans="1:7" x14ac:dyDescent="0.25">
      <c r="A141" s="36" t="s">
        <v>157</v>
      </c>
      <c r="B141" s="36" t="s">
        <v>157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SUM(_players[[#This Row],[goals]:[draws]])</f>
        <v>4</v>
      </c>
    </row>
    <row r="142" spans="1:7" x14ac:dyDescent="0.25">
      <c r="A142" s="36" t="s">
        <v>158</v>
      </c>
      <c r="B142" s="36" t="s">
        <v>158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1</v>
      </c>
      <c r="F142" s="18">
        <f>SUMIFS(_stats[draws_on_date],_stats[player_id],_players[[#This Row],[player_id]])</f>
        <v>0</v>
      </c>
      <c r="G142" s="18">
        <f>SUM(_players[[#This Row],[goals]:[draws]])</f>
        <v>1</v>
      </c>
    </row>
    <row r="143" spans="1:7" x14ac:dyDescent="0.25">
      <c r="A143" s="36" t="s">
        <v>159</v>
      </c>
      <c r="B143" s="36" t="s">
        <v>159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0</v>
      </c>
      <c r="G143" s="18">
        <f>SUM(_players[[#This Row],[goals]:[draws]])</f>
        <v>4</v>
      </c>
    </row>
    <row r="144" spans="1:7" x14ac:dyDescent="0.25">
      <c r="A144" s="36" t="s">
        <v>160</v>
      </c>
      <c r="B144" s="36" t="s">
        <v>160</v>
      </c>
      <c r="C144" s="10">
        <f>SUMIFS(_stats[goals_on_date],_stats[player_id],_players[[#This Row],[player_id]])</f>
        <v>0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3</v>
      </c>
      <c r="F144" s="18">
        <f>SUMIFS(_stats[draws_on_date],_stats[player_id],_players[[#This Row],[player_id]])</f>
        <v>1</v>
      </c>
      <c r="G144" s="18">
        <f>SUM(_players[[#This Row],[goals]:[draws]])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211"/>
  <sheetViews>
    <sheetView tabSelected="1" topLeftCell="A1183" workbookViewId="0">
      <selection activeCell="A1212" sqref="A1212:XFD1212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100</v>
      </c>
      <c r="I1" s="4" t="s">
        <v>98</v>
      </c>
      <c r="J1" s="4" t="s">
        <v>101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102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102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102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102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102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102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102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102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102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102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102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102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102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102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102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102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102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102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102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102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102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102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102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102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102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102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102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102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102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102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102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102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102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102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102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102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102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102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102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102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102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102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102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102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102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102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102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102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102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102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102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102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102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102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102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102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102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102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102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102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102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102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102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102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102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102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102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102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102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102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102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102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102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102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102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102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102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102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102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102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102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102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102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102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102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102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102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102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102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102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102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102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102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102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102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102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102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102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102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102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102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102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102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102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102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102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102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102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102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102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102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102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102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102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102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102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102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102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102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102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102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102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102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102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102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102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102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102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102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102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102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102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102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102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102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102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102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102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102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102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102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102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102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102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102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102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102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102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102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102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102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102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102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102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102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102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102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102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102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102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102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102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102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102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102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102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102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102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102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102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102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102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102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102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102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102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102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102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102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102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102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102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102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102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102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102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102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102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102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102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102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102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102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102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102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102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102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102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102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102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102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102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102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102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102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102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102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102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102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102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102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102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102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102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102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102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102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102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102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102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102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102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102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102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102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102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102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102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102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102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102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102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102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102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102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102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102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102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102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102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102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102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102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102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102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102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102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102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102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102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102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102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102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102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102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102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102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102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102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102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102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102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102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102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102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102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102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102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102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102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102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102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102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102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102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102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102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102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102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102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102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102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102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102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102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102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102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102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102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102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102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102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102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102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102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102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102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102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102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102</v>
      </c>
    </row>
    <row r="302" spans="1:10" x14ac:dyDescent="0.25">
      <c r="A302" s="6">
        <v>45869</v>
      </c>
      <c r="B302" s="7">
        <v>3</v>
      </c>
      <c r="C302" s="7" t="s">
        <v>147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102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102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102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102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102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102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102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102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102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102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102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102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102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102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102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102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102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102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102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102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102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102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102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102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102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102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102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102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102</v>
      </c>
    </row>
    <row r="331" spans="1:10" x14ac:dyDescent="0.25">
      <c r="A331" s="6">
        <v>45872</v>
      </c>
      <c r="B331" s="7">
        <v>1</v>
      </c>
      <c r="C331" s="7" t="s">
        <v>147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102</v>
      </c>
    </row>
    <row r="332" spans="1:10" x14ac:dyDescent="0.25">
      <c r="A332" s="6">
        <v>45872</v>
      </c>
      <c r="B332" s="7">
        <v>1</v>
      </c>
      <c r="C332" s="7" t="s">
        <v>89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102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102</v>
      </c>
    </row>
    <row r="334" spans="1:10" x14ac:dyDescent="0.25">
      <c r="A334" s="6">
        <v>45872</v>
      </c>
      <c r="B334" s="7">
        <v>1</v>
      </c>
      <c r="C334" s="7" t="s">
        <v>90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102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102</v>
      </c>
    </row>
    <row r="336" spans="1:10" x14ac:dyDescent="0.25">
      <c r="A336" s="6">
        <v>45872</v>
      </c>
      <c r="B336" s="7">
        <v>2</v>
      </c>
      <c r="C336" s="7" t="s">
        <v>91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102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102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102</v>
      </c>
    </row>
    <row r="339" spans="1:10" x14ac:dyDescent="0.25">
      <c r="A339" s="6">
        <v>45876</v>
      </c>
      <c r="B339" s="7">
        <v>2</v>
      </c>
      <c r="C339" s="7" t="s">
        <v>96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102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102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102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102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102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102</v>
      </c>
    </row>
    <row r="345" spans="1:10" x14ac:dyDescent="0.25">
      <c r="A345" s="6">
        <v>45876</v>
      </c>
      <c r="B345" s="7">
        <v>3</v>
      </c>
      <c r="C345" s="7" t="s">
        <v>147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102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102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102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102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102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102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102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102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102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102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102</v>
      </c>
    </row>
    <row r="356" spans="1:10" x14ac:dyDescent="0.25">
      <c r="A356" s="6">
        <v>45876</v>
      </c>
      <c r="B356" s="7">
        <v>2</v>
      </c>
      <c r="C356" s="7" t="s">
        <v>92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102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102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102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102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102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102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102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102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102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102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102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102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102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102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102</v>
      </c>
    </row>
    <row r="371" spans="1:10" x14ac:dyDescent="0.25">
      <c r="A371" s="6">
        <v>45883</v>
      </c>
      <c r="B371" s="7">
        <v>3</v>
      </c>
      <c r="C371" s="7" t="s">
        <v>96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102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102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102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102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102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102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102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102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102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102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102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102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102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102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102</v>
      </c>
    </row>
    <row r="386" spans="1:10" x14ac:dyDescent="0.25">
      <c r="A386" s="6">
        <v>45886</v>
      </c>
      <c r="B386" s="7">
        <v>4</v>
      </c>
      <c r="C386" s="7" t="s">
        <v>147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102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102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102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102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102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102</v>
      </c>
    </row>
    <row r="392" spans="1:10" x14ac:dyDescent="0.25">
      <c r="A392" s="6">
        <v>45886</v>
      </c>
      <c r="B392" s="7">
        <v>2</v>
      </c>
      <c r="C392" s="7" t="s">
        <v>93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102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102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102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102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102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102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102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102</v>
      </c>
    </row>
    <row r="400" spans="1:10" x14ac:dyDescent="0.25">
      <c r="A400" s="6">
        <v>45886</v>
      </c>
      <c r="B400" s="7">
        <v>3</v>
      </c>
      <c r="C400" s="7" t="s">
        <v>94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102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102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102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102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102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102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102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102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102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102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102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102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102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102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102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102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102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102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102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102</v>
      </c>
    </row>
    <row r="420" spans="1:10" x14ac:dyDescent="0.25">
      <c r="A420" s="6">
        <v>45890</v>
      </c>
      <c r="B420" s="7">
        <v>2</v>
      </c>
      <c r="C420" s="7" t="s">
        <v>95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102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102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102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102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102</v>
      </c>
    </row>
    <row r="425" spans="1:10" x14ac:dyDescent="0.25">
      <c r="A425" s="6">
        <v>45893</v>
      </c>
      <c r="B425" s="7">
        <v>2</v>
      </c>
      <c r="C425" s="7" t="s">
        <v>89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102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102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102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102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102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102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102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102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102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102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102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102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102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102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102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102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102</v>
      </c>
    </row>
    <row r="442" spans="1:10" x14ac:dyDescent="0.25">
      <c r="A442" s="6">
        <v>45897</v>
      </c>
      <c r="B442" s="7">
        <v>1</v>
      </c>
      <c r="C442" s="7" t="s">
        <v>97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102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102</v>
      </c>
    </row>
    <row r="444" spans="1:10" x14ac:dyDescent="0.25">
      <c r="A444" s="6">
        <v>45897</v>
      </c>
      <c r="B444" s="7">
        <v>1</v>
      </c>
      <c r="C444" s="7" t="s">
        <v>96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102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102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102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102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102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102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102</v>
      </c>
    </row>
    <row r="451" spans="1:10" x14ac:dyDescent="0.25">
      <c r="A451" s="6">
        <v>45897</v>
      </c>
      <c r="B451" s="7">
        <v>3</v>
      </c>
      <c r="C451" s="7" t="s">
        <v>95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102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102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102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102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102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102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102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102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102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102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102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102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102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102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102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102</v>
      </c>
    </row>
    <row r="467" spans="1:10" x14ac:dyDescent="0.25">
      <c r="A467" s="6">
        <v>45900</v>
      </c>
      <c r="B467" s="7">
        <v>3</v>
      </c>
      <c r="C467" s="7" t="s">
        <v>147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102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102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102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102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102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102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102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102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102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102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102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102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102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102</v>
      </c>
    </row>
    <row r="481" spans="1:10" x14ac:dyDescent="0.25">
      <c r="A481" s="6">
        <v>45900</v>
      </c>
      <c r="B481" s="7">
        <v>2</v>
      </c>
      <c r="C481" s="7" t="s">
        <v>95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102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102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102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102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102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102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102</v>
      </c>
    </row>
    <row r="488" spans="1:10" x14ac:dyDescent="0.25">
      <c r="A488" s="6">
        <v>45904</v>
      </c>
      <c r="B488" s="7">
        <v>1</v>
      </c>
      <c r="C488" s="7" t="s">
        <v>95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102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102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102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102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102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102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102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102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102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102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102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102</v>
      </c>
    </row>
    <row r="500" spans="1:10" x14ac:dyDescent="0.25">
      <c r="A500" s="6">
        <v>45904</v>
      </c>
      <c r="B500" s="7">
        <v>3</v>
      </c>
      <c r="C500" s="7" t="s">
        <v>147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102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102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102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102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102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102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102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104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104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104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104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104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104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104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104</v>
      </c>
    </row>
    <row r="515" spans="1:10" x14ac:dyDescent="0.25">
      <c r="A515" s="6">
        <v>45907</v>
      </c>
      <c r="B515" s="7">
        <v>1</v>
      </c>
      <c r="C515" s="7" t="s">
        <v>147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104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104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104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104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104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104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104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104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104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104</v>
      </c>
    </row>
    <row r="525" spans="1:10" x14ac:dyDescent="0.25">
      <c r="A525" s="6">
        <v>45907</v>
      </c>
      <c r="B525" s="7">
        <v>1</v>
      </c>
      <c r="C525" s="7" t="s">
        <v>103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104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104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102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102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102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102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102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102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102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102</v>
      </c>
    </row>
    <row r="535" spans="1:10" x14ac:dyDescent="0.25">
      <c r="A535" s="6">
        <v>45911</v>
      </c>
      <c r="B535" s="7">
        <v>2</v>
      </c>
      <c r="C535" s="7" t="s">
        <v>147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102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102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102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102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102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102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102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102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102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102</v>
      </c>
    </row>
    <row r="545" spans="1:10" x14ac:dyDescent="0.25">
      <c r="A545" s="6">
        <v>45911</v>
      </c>
      <c r="B545" s="7">
        <v>3</v>
      </c>
      <c r="C545" s="7" t="s">
        <v>105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102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102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104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104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104</v>
      </c>
    </row>
    <row r="550" spans="1:10" x14ac:dyDescent="0.25">
      <c r="A550" s="6">
        <v>45914</v>
      </c>
      <c r="B550" s="7">
        <v>3</v>
      </c>
      <c r="C550" s="7" t="s">
        <v>111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104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104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104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104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104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104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104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104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104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104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104</v>
      </c>
    </row>
    <row r="561" spans="1:10" x14ac:dyDescent="0.25">
      <c r="A561" s="6">
        <v>45914</v>
      </c>
      <c r="B561" s="7">
        <v>2</v>
      </c>
      <c r="C561" s="7" t="s">
        <v>107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104</v>
      </c>
    </row>
    <row r="562" spans="1:10" x14ac:dyDescent="0.25">
      <c r="A562" s="6">
        <v>45914</v>
      </c>
      <c r="B562" s="7">
        <v>1</v>
      </c>
      <c r="C562" s="7" t="s">
        <v>109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104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104</v>
      </c>
    </row>
    <row r="564" spans="1:10" x14ac:dyDescent="0.25">
      <c r="A564" s="6">
        <v>45914</v>
      </c>
      <c r="B564" s="7">
        <v>1</v>
      </c>
      <c r="C564" s="7" t="s">
        <v>110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104</v>
      </c>
    </row>
    <row r="565" spans="1:10" x14ac:dyDescent="0.25">
      <c r="A565" s="6">
        <v>45914</v>
      </c>
      <c r="B565" s="7">
        <v>3</v>
      </c>
      <c r="C565" s="7" t="s">
        <v>108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104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104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104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104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104</v>
      </c>
    </row>
    <row r="570" spans="1:10" x14ac:dyDescent="0.25">
      <c r="A570" s="6">
        <v>45918</v>
      </c>
      <c r="B570" s="7">
        <v>1</v>
      </c>
      <c r="C570" s="7" t="s">
        <v>147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102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102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102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102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102</v>
      </c>
    </row>
    <row r="575" spans="1:10" x14ac:dyDescent="0.25">
      <c r="A575" s="6">
        <v>45918</v>
      </c>
      <c r="B575" s="7">
        <v>2</v>
      </c>
      <c r="C575" s="7" t="s">
        <v>109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102</v>
      </c>
    </row>
    <row r="576" spans="1:10" x14ac:dyDescent="0.25">
      <c r="A576" s="6">
        <v>45918</v>
      </c>
      <c r="B576" s="7">
        <v>1</v>
      </c>
      <c r="C576" s="7" t="s">
        <v>110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102</v>
      </c>
    </row>
    <row r="577" spans="1:10" x14ac:dyDescent="0.25">
      <c r="A577" s="6">
        <v>45918</v>
      </c>
      <c r="B577" s="7">
        <v>3</v>
      </c>
      <c r="C577" s="7" t="s">
        <v>112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102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102</v>
      </c>
    </row>
    <row r="579" spans="1:10" x14ac:dyDescent="0.25">
      <c r="A579" s="6">
        <v>45918</v>
      </c>
      <c r="B579" s="7">
        <v>1</v>
      </c>
      <c r="C579" s="7" t="s">
        <v>96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102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102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102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102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102</v>
      </c>
    </row>
    <row r="584" spans="1:10" x14ac:dyDescent="0.25">
      <c r="A584" s="6">
        <v>45918</v>
      </c>
      <c r="B584" s="7">
        <v>2</v>
      </c>
      <c r="C584" s="7" t="s">
        <v>95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102</v>
      </c>
    </row>
    <row r="585" spans="1:10" x14ac:dyDescent="0.25">
      <c r="A585" s="6">
        <v>45918</v>
      </c>
      <c r="B585" s="7">
        <v>3</v>
      </c>
      <c r="C585" s="7" t="s">
        <v>113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102</v>
      </c>
    </row>
    <row r="586" spans="1:10" x14ac:dyDescent="0.25">
      <c r="A586" s="6">
        <v>45918</v>
      </c>
      <c r="B586" s="7">
        <v>2</v>
      </c>
      <c r="C586" s="7" t="s">
        <v>105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102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102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104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104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104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104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104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104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104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104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104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104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104</v>
      </c>
    </row>
    <row r="599" spans="1:10" x14ac:dyDescent="0.25">
      <c r="A599" s="6">
        <v>45921</v>
      </c>
      <c r="B599" s="7">
        <v>1</v>
      </c>
      <c r="C599" s="7" t="s">
        <v>109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104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104</v>
      </c>
    </row>
    <row r="601" spans="1:10" x14ac:dyDescent="0.25">
      <c r="A601" s="6">
        <v>45921</v>
      </c>
      <c r="B601" s="7">
        <v>1</v>
      </c>
      <c r="C601" s="7" t="s">
        <v>114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104</v>
      </c>
    </row>
    <row r="602" spans="1:10" x14ac:dyDescent="0.25">
      <c r="A602" s="6">
        <v>45921</v>
      </c>
      <c r="B602" s="7">
        <v>2</v>
      </c>
      <c r="C602" s="7" t="s">
        <v>115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104</v>
      </c>
    </row>
    <row r="603" spans="1:10" x14ac:dyDescent="0.25">
      <c r="A603" s="6">
        <v>45921</v>
      </c>
      <c r="B603" s="7">
        <v>3</v>
      </c>
      <c r="C603" s="7" t="s">
        <v>116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104</v>
      </c>
    </row>
    <row r="604" spans="1:10" x14ac:dyDescent="0.25">
      <c r="A604" s="6">
        <v>45921</v>
      </c>
      <c r="B604" s="7">
        <v>1</v>
      </c>
      <c r="C604" s="7" t="s">
        <v>111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104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104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104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104</v>
      </c>
    </row>
    <row r="608" spans="1:10" x14ac:dyDescent="0.25">
      <c r="A608" s="6">
        <v>45921</v>
      </c>
      <c r="B608" s="7">
        <v>2</v>
      </c>
      <c r="C608" s="7" t="s">
        <v>105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104</v>
      </c>
    </row>
    <row r="609" spans="1:10" x14ac:dyDescent="0.25">
      <c r="A609" s="6">
        <v>45925</v>
      </c>
      <c r="B609" s="7">
        <v>1</v>
      </c>
      <c r="C609" s="7" t="s">
        <v>147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102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102</v>
      </c>
    </row>
    <row r="611" spans="1:10" x14ac:dyDescent="0.25">
      <c r="A611" s="6">
        <v>45925</v>
      </c>
      <c r="B611" s="7">
        <v>1</v>
      </c>
      <c r="C611" s="7" t="s">
        <v>105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102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102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102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102</v>
      </c>
    </row>
    <row r="615" spans="1:10" x14ac:dyDescent="0.25">
      <c r="A615" s="6">
        <v>45925</v>
      </c>
      <c r="B615" s="7">
        <v>2</v>
      </c>
      <c r="C615" s="7" t="s">
        <v>109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102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102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102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102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102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102</v>
      </c>
    </row>
    <row r="621" spans="1:10" x14ac:dyDescent="0.25">
      <c r="A621" s="6">
        <v>45925</v>
      </c>
      <c r="B621" s="7">
        <v>3</v>
      </c>
      <c r="C621" s="7" t="s">
        <v>110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102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102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102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102</v>
      </c>
    </row>
    <row r="625" spans="1:10" x14ac:dyDescent="0.25">
      <c r="A625" s="6">
        <v>45925</v>
      </c>
      <c r="B625" s="7">
        <v>3</v>
      </c>
      <c r="C625" s="7" t="s">
        <v>117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102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104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104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104</v>
      </c>
    </row>
    <row r="629" spans="1:10" x14ac:dyDescent="0.25">
      <c r="A629" s="6">
        <v>45928</v>
      </c>
      <c r="B629" s="7">
        <v>1</v>
      </c>
      <c r="C629" s="7" t="s">
        <v>105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104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104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104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104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104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104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104</v>
      </c>
    </row>
    <row r="636" spans="1:10" x14ac:dyDescent="0.25">
      <c r="A636" s="6">
        <v>45928</v>
      </c>
      <c r="B636" s="7">
        <v>2</v>
      </c>
      <c r="C636" s="7" t="s">
        <v>147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104</v>
      </c>
    </row>
    <row r="637" spans="1:10" x14ac:dyDescent="0.25">
      <c r="A637" s="6">
        <v>45928</v>
      </c>
      <c r="B637" s="7">
        <v>1</v>
      </c>
      <c r="C637" s="7" t="s">
        <v>118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104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104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104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104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104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104</v>
      </c>
    </row>
    <row r="643" spans="1:10" x14ac:dyDescent="0.25">
      <c r="A643" s="6">
        <v>45928</v>
      </c>
      <c r="B643" s="7">
        <v>3</v>
      </c>
      <c r="C643" s="7" t="s">
        <v>107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104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104</v>
      </c>
    </row>
    <row r="645" spans="1:10" x14ac:dyDescent="0.25">
      <c r="A645" s="6">
        <v>45928</v>
      </c>
      <c r="B645" s="7">
        <v>3</v>
      </c>
      <c r="C645" s="7" t="s">
        <v>116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104</v>
      </c>
    </row>
    <row r="646" spans="1:10" x14ac:dyDescent="0.25">
      <c r="A646" s="6">
        <v>45928</v>
      </c>
      <c r="B646" s="7">
        <v>2</v>
      </c>
      <c r="C646" s="7" t="s">
        <v>110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104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104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104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104</v>
      </c>
    </row>
    <row r="650" spans="1:10" x14ac:dyDescent="0.25">
      <c r="A650" s="6">
        <v>45932</v>
      </c>
      <c r="B650" s="7">
        <v>1</v>
      </c>
      <c r="C650" s="7" t="s">
        <v>105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104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104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104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104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104</v>
      </c>
    </row>
    <row r="655" spans="1:10" x14ac:dyDescent="0.25">
      <c r="A655" s="6">
        <v>45932</v>
      </c>
      <c r="B655" s="7">
        <v>2</v>
      </c>
      <c r="C655" s="7" t="s">
        <v>112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104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104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104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104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104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104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104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104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104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104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104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104</v>
      </c>
    </row>
    <row r="667" spans="1:10" x14ac:dyDescent="0.25">
      <c r="A667" s="27">
        <v>45935</v>
      </c>
      <c r="B667" s="7">
        <v>3</v>
      </c>
      <c r="C667" s="7" t="s">
        <v>111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104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104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104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104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104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104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104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104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104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104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104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104</v>
      </c>
    </row>
    <row r="679" spans="1:10" x14ac:dyDescent="0.25">
      <c r="A679" s="27">
        <v>45935</v>
      </c>
      <c r="B679" s="7">
        <v>1</v>
      </c>
      <c r="C679" s="7" t="s">
        <v>116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104</v>
      </c>
    </row>
    <row r="680" spans="1:10" x14ac:dyDescent="0.25">
      <c r="A680" s="27">
        <v>45935</v>
      </c>
      <c r="B680" s="7">
        <v>2</v>
      </c>
      <c r="C680" s="7" t="s">
        <v>115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104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104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104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104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104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104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104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104</v>
      </c>
    </row>
    <row r="688" spans="1:10" x14ac:dyDescent="0.25">
      <c r="A688" s="27">
        <v>45939</v>
      </c>
      <c r="B688" s="7">
        <v>1</v>
      </c>
      <c r="C688" s="7" t="s">
        <v>117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104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104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104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104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104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104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104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104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104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104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104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104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104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104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104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104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104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104</v>
      </c>
    </row>
    <row r="706" spans="1:10" x14ac:dyDescent="0.25">
      <c r="A706" s="27">
        <v>45939</v>
      </c>
      <c r="B706" s="7">
        <v>3</v>
      </c>
      <c r="C706" s="7" t="s">
        <v>112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104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104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104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104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104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104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104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104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104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104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104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104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104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104</v>
      </c>
    </row>
    <row r="720" spans="1:10" x14ac:dyDescent="0.25">
      <c r="A720" s="6">
        <v>45942</v>
      </c>
      <c r="B720" s="7">
        <v>1</v>
      </c>
      <c r="C720" s="7" t="s">
        <v>111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104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104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104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104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104</v>
      </c>
    </row>
    <row r="725" spans="1:10" x14ac:dyDescent="0.25">
      <c r="A725" s="6">
        <v>45942</v>
      </c>
      <c r="B725" s="7">
        <v>3</v>
      </c>
      <c r="C725" s="7" t="s">
        <v>119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104</v>
      </c>
    </row>
    <row r="726" spans="1:10" x14ac:dyDescent="0.25">
      <c r="A726" s="6">
        <v>45942</v>
      </c>
      <c r="B726" s="7">
        <v>2</v>
      </c>
      <c r="C726" s="7" t="s">
        <v>120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104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104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104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104</v>
      </c>
    </row>
    <row r="730" spans="1:10" x14ac:dyDescent="0.25">
      <c r="A730" s="6">
        <v>45942</v>
      </c>
      <c r="B730" s="7">
        <v>2</v>
      </c>
      <c r="C730" s="7" t="s">
        <v>115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104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104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104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104</v>
      </c>
    </row>
    <row r="734" spans="1:10" x14ac:dyDescent="0.25">
      <c r="A734" s="6">
        <v>45949</v>
      </c>
      <c r="B734" s="7">
        <v>1</v>
      </c>
      <c r="C734" s="7" t="s">
        <v>117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104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104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104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104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104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104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104</v>
      </c>
    </row>
    <row r="741" spans="1:10" x14ac:dyDescent="0.25">
      <c r="A741" s="6">
        <v>45949</v>
      </c>
      <c r="B741" s="7">
        <v>1</v>
      </c>
      <c r="C741" s="7" t="s">
        <v>108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104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104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104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104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104</v>
      </c>
    </row>
    <row r="746" spans="1:10" x14ac:dyDescent="0.25">
      <c r="A746" s="6">
        <v>45956</v>
      </c>
      <c r="B746" s="7">
        <v>1</v>
      </c>
      <c r="C746" s="7" t="s">
        <v>147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104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104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104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104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104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104</v>
      </c>
    </row>
    <row r="752" spans="1:10" x14ac:dyDescent="0.25">
      <c r="A752" s="6">
        <v>45956</v>
      </c>
      <c r="B752" s="7">
        <v>2</v>
      </c>
      <c r="C752" s="7" t="s">
        <v>107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104</v>
      </c>
    </row>
    <row r="753" spans="1:10" x14ac:dyDescent="0.25">
      <c r="A753" s="6">
        <v>45956</v>
      </c>
      <c r="B753" s="7">
        <v>2</v>
      </c>
      <c r="C753" s="7" t="s">
        <v>116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104</v>
      </c>
    </row>
    <row r="754" spans="1:10" x14ac:dyDescent="0.25">
      <c r="A754" s="6">
        <v>45956</v>
      </c>
      <c r="B754" s="7">
        <v>2</v>
      </c>
      <c r="C754" s="7" t="s">
        <v>121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104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104</v>
      </c>
    </row>
    <row r="756" spans="1:10" x14ac:dyDescent="0.25">
      <c r="A756" s="6">
        <v>45956</v>
      </c>
      <c r="B756" s="7">
        <v>1</v>
      </c>
      <c r="C756" s="7" t="s">
        <v>122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104</v>
      </c>
    </row>
    <row r="757" spans="1:10" x14ac:dyDescent="0.25">
      <c r="A757" s="6">
        <v>45956</v>
      </c>
      <c r="B757" s="7">
        <v>1</v>
      </c>
      <c r="C757" s="7" t="s">
        <v>115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104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104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104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104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104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104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104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104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104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104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104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104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104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104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104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104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104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104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104</v>
      </c>
    </row>
    <row r="776" spans="1:10" x14ac:dyDescent="0.25">
      <c r="A776" s="6">
        <v>45963</v>
      </c>
      <c r="B776" s="7">
        <v>2</v>
      </c>
      <c r="C776" s="7" t="s">
        <v>123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104</v>
      </c>
    </row>
    <row r="777" spans="1:10" x14ac:dyDescent="0.25">
      <c r="A777" s="6">
        <v>45963</v>
      </c>
      <c r="B777" s="7">
        <v>1</v>
      </c>
      <c r="C777" s="7" t="s">
        <v>116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104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104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104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104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104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104</v>
      </c>
    </row>
    <row r="783" spans="1:10" x14ac:dyDescent="0.25">
      <c r="A783" s="6">
        <v>45963</v>
      </c>
      <c r="B783" s="7">
        <v>2</v>
      </c>
      <c r="C783" s="7" t="s">
        <v>115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104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104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104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104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104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104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104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104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104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104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104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104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104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104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104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104</v>
      </c>
    </row>
    <row r="799" spans="1:10" x14ac:dyDescent="0.25">
      <c r="A799" s="6">
        <v>45965</v>
      </c>
      <c r="B799" s="7">
        <v>2</v>
      </c>
      <c r="C799" s="7" t="s">
        <v>116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104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104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104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104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104</v>
      </c>
    </row>
    <row r="804" spans="1:10" x14ac:dyDescent="0.25">
      <c r="A804" s="6">
        <v>45965</v>
      </c>
      <c r="B804" s="7">
        <v>2</v>
      </c>
      <c r="C804" s="7" t="s">
        <v>124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104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104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104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104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104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104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104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104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104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104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104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104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104</v>
      </c>
    </row>
    <row r="817" spans="1:10" x14ac:dyDescent="0.25">
      <c r="A817" s="6">
        <v>45970</v>
      </c>
      <c r="B817" s="7">
        <v>1</v>
      </c>
      <c r="C817" s="7" t="s">
        <v>147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104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104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104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104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104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104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104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104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104</v>
      </c>
    </row>
    <row r="826" spans="1:10" x14ac:dyDescent="0.25">
      <c r="A826" s="6">
        <v>45970</v>
      </c>
      <c r="B826" s="7">
        <v>1</v>
      </c>
      <c r="C826" s="7" t="s">
        <v>116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104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104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104</v>
      </c>
    </row>
    <row r="829" spans="1:10" x14ac:dyDescent="0.25">
      <c r="A829" s="6">
        <v>45970</v>
      </c>
      <c r="B829" s="7">
        <v>3</v>
      </c>
      <c r="C829" s="7" t="s">
        <v>115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104</v>
      </c>
    </row>
    <row r="830" spans="1:10" x14ac:dyDescent="0.25">
      <c r="A830" s="6">
        <v>45970</v>
      </c>
      <c r="B830" s="7">
        <v>3</v>
      </c>
      <c r="C830" s="7" t="s">
        <v>125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104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104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104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104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104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104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104</v>
      </c>
    </row>
    <row r="837" spans="1:10" x14ac:dyDescent="0.25">
      <c r="A837" s="6">
        <v>45977</v>
      </c>
      <c r="B837" s="7">
        <v>1</v>
      </c>
      <c r="C837" s="7" t="s">
        <v>147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104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104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104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104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104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104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104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104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104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104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104</v>
      </c>
    </row>
    <row r="848" spans="1:10" x14ac:dyDescent="0.25">
      <c r="A848" s="23">
        <v>45984</v>
      </c>
      <c r="B848" s="11">
        <v>3</v>
      </c>
      <c r="C848" s="11" t="s">
        <v>126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104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104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104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104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104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104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104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104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104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104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104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104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104</v>
      </c>
    </row>
    <row r="861" spans="1:10" x14ac:dyDescent="0.25">
      <c r="A861" s="23">
        <v>45984</v>
      </c>
      <c r="B861" s="11">
        <v>2</v>
      </c>
      <c r="C861" s="11" t="s">
        <v>95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104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104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104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104</v>
      </c>
    </row>
    <row r="865" spans="1:10" x14ac:dyDescent="0.25">
      <c r="A865" s="23">
        <v>45984</v>
      </c>
      <c r="B865" s="11">
        <v>3</v>
      </c>
      <c r="C865" s="11" t="s">
        <v>127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104</v>
      </c>
    </row>
    <row r="866" spans="1:10" x14ac:dyDescent="0.25">
      <c r="A866" s="23">
        <v>45984</v>
      </c>
      <c r="B866" s="11">
        <v>3</v>
      </c>
      <c r="C866" s="11" t="s">
        <v>125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104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104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104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104</v>
      </c>
    </row>
    <row r="870" spans="1:10" x14ac:dyDescent="0.25">
      <c r="A870" s="23">
        <v>45998</v>
      </c>
      <c r="B870" s="11">
        <v>1</v>
      </c>
      <c r="C870" s="11" t="s">
        <v>147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104</v>
      </c>
    </row>
    <row r="871" spans="1:10" x14ac:dyDescent="0.25">
      <c r="A871" s="23">
        <v>45998</v>
      </c>
      <c r="B871" s="11">
        <v>1</v>
      </c>
      <c r="C871" s="11" t="s">
        <v>128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104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104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104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104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104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104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104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104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104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104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104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104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104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104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104</v>
      </c>
    </row>
    <row r="886" spans="1:10" x14ac:dyDescent="0.25">
      <c r="A886" s="23">
        <v>45998</v>
      </c>
      <c r="B886" s="11">
        <v>1</v>
      </c>
      <c r="C886" s="11" t="s">
        <v>129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104</v>
      </c>
    </row>
    <row r="887" spans="1:10" x14ac:dyDescent="0.25">
      <c r="A887" s="23">
        <v>45998</v>
      </c>
      <c r="B887" s="11">
        <v>1</v>
      </c>
      <c r="C887" s="11" t="s">
        <v>130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104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104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104</v>
      </c>
    </row>
    <row r="890" spans="1:10" x14ac:dyDescent="0.25">
      <c r="A890" s="23">
        <v>45998</v>
      </c>
      <c r="B890" s="11">
        <v>2</v>
      </c>
      <c r="C890" s="11" t="s">
        <v>131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104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104</v>
      </c>
    </row>
    <row r="892" spans="1:10" x14ac:dyDescent="0.25">
      <c r="A892" s="23">
        <v>45998</v>
      </c>
      <c r="B892" s="11">
        <v>3</v>
      </c>
      <c r="C892" s="11" t="s">
        <v>125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104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104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104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104</v>
      </c>
    </row>
    <row r="896" spans="1:10" x14ac:dyDescent="0.25">
      <c r="A896" s="23">
        <v>46012</v>
      </c>
      <c r="B896" s="11">
        <v>2</v>
      </c>
      <c r="C896" s="11" t="s">
        <v>125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104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104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104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104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104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104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104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104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104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104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104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104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104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104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104</v>
      </c>
    </row>
    <row r="911" spans="1:10" x14ac:dyDescent="0.25">
      <c r="A911" s="23">
        <v>46012</v>
      </c>
      <c r="B911" s="11">
        <v>1</v>
      </c>
      <c r="C911" s="11" t="s">
        <v>132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104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104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104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104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104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104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104</v>
      </c>
    </row>
    <row r="918" spans="1:10" ht="15.75" x14ac:dyDescent="0.25">
      <c r="A918" s="23">
        <v>46110</v>
      </c>
      <c r="B918" s="11">
        <v>2</v>
      </c>
      <c r="C918" s="40" t="s">
        <v>125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104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104</v>
      </c>
    </row>
    <row r="920" spans="1:10" ht="15.75" x14ac:dyDescent="0.25">
      <c r="A920" s="23">
        <v>46110</v>
      </c>
      <c r="B920" s="11">
        <v>1</v>
      </c>
      <c r="C920" s="40" t="s">
        <v>135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104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104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104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104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104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104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104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104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104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104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104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104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104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104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104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104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104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104</v>
      </c>
    </row>
    <row r="938" spans="1:10" ht="15.75" x14ac:dyDescent="0.25">
      <c r="A938" s="23">
        <v>46110</v>
      </c>
      <c r="B938" s="11">
        <v>1</v>
      </c>
      <c r="C938" s="40" t="s">
        <v>133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104</v>
      </c>
    </row>
    <row r="939" spans="1:10" x14ac:dyDescent="0.25">
      <c r="A939" s="23">
        <v>46110</v>
      </c>
      <c r="B939" s="11">
        <v>2</v>
      </c>
      <c r="C939" s="11" t="s">
        <v>134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104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104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104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104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104</v>
      </c>
    </row>
    <row r="944" spans="1:10" ht="15.75" x14ac:dyDescent="0.25">
      <c r="A944" s="23">
        <v>46117</v>
      </c>
      <c r="B944" s="11">
        <v>3</v>
      </c>
      <c r="C944" s="40" t="s">
        <v>137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104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104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104</v>
      </c>
    </row>
    <row r="947" spans="1:10" ht="15.75" x14ac:dyDescent="0.25">
      <c r="A947" s="23">
        <v>46117</v>
      </c>
      <c r="B947" s="11">
        <v>3</v>
      </c>
      <c r="C947" s="40" t="s">
        <v>135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104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104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104</v>
      </c>
    </row>
    <row r="950" spans="1:10" ht="15.75" x14ac:dyDescent="0.25">
      <c r="A950" s="23">
        <v>46117</v>
      </c>
      <c r="B950" s="11">
        <v>3</v>
      </c>
      <c r="C950" s="40" t="s">
        <v>138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104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104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104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104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104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104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104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104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104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104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104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104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104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104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104</v>
      </c>
    </row>
    <row r="965" spans="1:10" ht="15.75" x14ac:dyDescent="0.25">
      <c r="A965" s="23">
        <v>46117</v>
      </c>
      <c r="B965" s="11">
        <v>1</v>
      </c>
      <c r="C965" s="40" t="s">
        <v>136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104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104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104</v>
      </c>
    </row>
    <row r="968" spans="1:10" x14ac:dyDescent="0.25">
      <c r="A968" s="6">
        <v>46124</v>
      </c>
      <c r="B968" s="7">
        <v>1</v>
      </c>
      <c r="C968" s="7" t="s">
        <v>96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104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104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104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104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104</v>
      </c>
    </row>
    <row r="973" spans="1:10" x14ac:dyDescent="0.25">
      <c r="A973" s="6">
        <v>46124</v>
      </c>
      <c r="B973" s="7">
        <v>3</v>
      </c>
      <c r="C973" s="7" t="s">
        <v>135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104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104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104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104</v>
      </c>
    </row>
    <row r="977" spans="1:10" x14ac:dyDescent="0.25">
      <c r="A977" s="6">
        <v>46124</v>
      </c>
      <c r="B977" s="7">
        <v>3</v>
      </c>
      <c r="C977" s="7" t="s">
        <v>141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104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104</v>
      </c>
    </row>
    <row r="979" spans="1:10" x14ac:dyDescent="0.25">
      <c r="A979" s="6">
        <v>46124</v>
      </c>
      <c r="B979" s="7">
        <v>3</v>
      </c>
      <c r="C979" s="7" t="s">
        <v>147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104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104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104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104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104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104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104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104</v>
      </c>
    </row>
    <row r="987" spans="1:10" x14ac:dyDescent="0.25">
      <c r="A987" s="6">
        <v>46124</v>
      </c>
      <c r="B987" s="7">
        <v>1</v>
      </c>
      <c r="C987" s="7" t="s">
        <v>125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104</v>
      </c>
    </row>
    <row r="988" spans="1:10" x14ac:dyDescent="0.25">
      <c r="A988" s="6">
        <v>46124</v>
      </c>
      <c r="B988" s="7">
        <v>2</v>
      </c>
      <c r="C988" s="7" t="s">
        <v>121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104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104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104</v>
      </c>
    </row>
    <row r="991" spans="1:10" x14ac:dyDescent="0.25">
      <c r="A991" s="6">
        <v>46124</v>
      </c>
      <c r="B991" s="7">
        <v>2</v>
      </c>
      <c r="C991" s="7" t="s">
        <v>95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104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104</v>
      </c>
    </row>
    <row r="993" spans="1:10" x14ac:dyDescent="0.25">
      <c r="A993" s="6">
        <v>46124</v>
      </c>
      <c r="B993" s="7">
        <v>1</v>
      </c>
      <c r="C993" s="7" t="s">
        <v>138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104</v>
      </c>
    </row>
    <row r="994" spans="1:10" x14ac:dyDescent="0.25">
      <c r="A994" s="6">
        <v>46124</v>
      </c>
      <c r="B994" s="7">
        <v>3</v>
      </c>
      <c r="C994" s="7" t="s">
        <v>108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104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104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104</v>
      </c>
    </row>
    <row r="997" spans="1:10" x14ac:dyDescent="0.25">
      <c r="A997" s="6">
        <v>46124</v>
      </c>
      <c r="B997" s="7">
        <v>4</v>
      </c>
      <c r="C997" s="7" t="s">
        <v>139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104</v>
      </c>
    </row>
    <row r="998" spans="1:10" x14ac:dyDescent="0.25">
      <c r="A998" s="6">
        <v>46124</v>
      </c>
      <c r="B998" s="7">
        <v>4</v>
      </c>
      <c r="C998" s="7" t="s">
        <v>140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104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104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104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104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104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104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104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104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104</v>
      </c>
    </row>
    <row r="1007" spans="1:10" x14ac:dyDescent="0.25">
      <c r="A1007" s="6">
        <v>46128</v>
      </c>
      <c r="B1007" s="7">
        <v>1</v>
      </c>
      <c r="C1007" s="7" t="s">
        <v>141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104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104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104</v>
      </c>
    </row>
    <row r="1010" spans="1:10" x14ac:dyDescent="0.25">
      <c r="A1010" s="6">
        <v>46128</v>
      </c>
      <c r="B1010" s="7">
        <v>2</v>
      </c>
      <c r="C1010" s="7" t="s">
        <v>142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104</v>
      </c>
    </row>
    <row r="1011" spans="1:10" x14ac:dyDescent="0.25">
      <c r="A1011" s="6">
        <v>46128</v>
      </c>
      <c r="B1011" s="7">
        <v>2</v>
      </c>
      <c r="C1011" s="7" t="s">
        <v>137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104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104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104</v>
      </c>
    </row>
    <row r="1014" spans="1:10" x14ac:dyDescent="0.25">
      <c r="A1014" s="6">
        <v>46128</v>
      </c>
      <c r="B1014" s="7">
        <v>2</v>
      </c>
      <c r="C1014" s="7" t="s">
        <v>143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104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104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104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104</v>
      </c>
    </row>
    <row r="1018" spans="1:10" x14ac:dyDescent="0.25">
      <c r="A1018" s="6">
        <v>46128</v>
      </c>
      <c r="B1018" s="7">
        <v>3</v>
      </c>
      <c r="C1018" s="7" t="s">
        <v>136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104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104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104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104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104</v>
      </c>
    </row>
    <row r="1023" spans="1:10" x14ac:dyDescent="0.25">
      <c r="A1023" s="6">
        <v>46131</v>
      </c>
      <c r="B1023" s="7">
        <v>2</v>
      </c>
      <c r="C1023" s="7" t="s">
        <v>144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104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104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104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104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104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104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104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104</v>
      </c>
    </row>
    <row r="1031" spans="1:10" x14ac:dyDescent="0.25">
      <c r="A1031" s="6">
        <v>46131</v>
      </c>
      <c r="B1031" s="7">
        <v>1</v>
      </c>
      <c r="C1031" s="7" t="s">
        <v>147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104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104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104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104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104</v>
      </c>
    </row>
    <row r="1036" spans="1:10" x14ac:dyDescent="0.25">
      <c r="A1036" s="6">
        <v>46131</v>
      </c>
      <c r="B1036" s="7">
        <v>1</v>
      </c>
      <c r="C1036" s="7" t="s">
        <v>136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104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104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104</v>
      </c>
    </row>
    <row r="1039" spans="1:10" x14ac:dyDescent="0.25">
      <c r="A1039" s="6">
        <v>46131</v>
      </c>
      <c r="B1039" s="7">
        <v>1</v>
      </c>
      <c r="C1039" s="7" t="s">
        <v>108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104</v>
      </c>
    </row>
    <row r="1040" spans="1:10" x14ac:dyDescent="0.25">
      <c r="A1040" s="6">
        <v>46131</v>
      </c>
      <c r="B1040" s="7">
        <v>3</v>
      </c>
      <c r="C1040" s="7" t="s">
        <v>125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104</v>
      </c>
    </row>
    <row r="1041" spans="1:10" x14ac:dyDescent="0.25">
      <c r="A1041" s="6">
        <v>46131</v>
      </c>
      <c r="B1041" s="7">
        <v>3</v>
      </c>
      <c r="C1041" s="7" t="s">
        <v>121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104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104</v>
      </c>
    </row>
    <row r="1043" spans="1:10" x14ac:dyDescent="0.25">
      <c r="A1043" s="6">
        <v>46131</v>
      </c>
      <c r="B1043" s="7">
        <v>4</v>
      </c>
      <c r="C1043" s="7" t="s">
        <v>146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104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104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104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104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104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104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104</v>
      </c>
    </row>
    <row r="1050" spans="1:10" x14ac:dyDescent="0.25">
      <c r="A1050" s="6">
        <v>46131</v>
      </c>
      <c r="B1050" s="7">
        <v>4</v>
      </c>
      <c r="C1050" s="7" t="s">
        <v>145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104</v>
      </c>
    </row>
    <row r="1051" spans="1:10" x14ac:dyDescent="0.25">
      <c r="A1051" s="6">
        <v>46138</v>
      </c>
      <c r="B1051" s="7">
        <v>2</v>
      </c>
      <c r="C1051" s="7" t="s">
        <v>45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6" t="s">
        <v>104</v>
      </c>
    </row>
    <row r="1052" spans="1:10" x14ac:dyDescent="0.25">
      <c r="A1052" s="6">
        <v>46138</v>
      </c>
      <c r="B1052" s="7">
        <v>1</v>
      </c>
      <c r="C1052" s="7" t="s">
        <v>135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6" t="s">
        <v>104</v>
      </c>
    </row>
    <row r="1053" spans="1:10" x14ac:dyDescent="0.25">
      <c r="A1053" s="6">
        <v>46138</v>
      </c>
      <c r="B1053" s="7">
        <v>1</v>
      </c>
      <c r="C1053" s="7" t="s">
        <v>147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6" t="s">
        <v>104</v>
      </c>
    </row>
    <row r="1054" spans="1:10" x14ac:dyDescent="0.25">
      <c r="A1054" s="6">
        <v>46138</v>
      </c>
      <c r="B1054" s="7">
        <v>2</v>
      </c>
      <c r="C1054" s="7" t="s">
        <v>43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6" t="s">
        <v>104</v>
      </c>
    </row>
    <row r="1055" spans="1:10" x14ac:dyDescent="0.25">
      <c r="A1055" s="6">
        <v>46138</v>
      </c>
      <c r="B1055" s="7">
        <v>1</v>
      </c>
      <c r="C1055" s="7" t="s">
        <v>18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6" t="s">
        <v>104</v>
      </c>
    </row>
    <row r="1056" spans="1:10" x14ac:dyDescent="0.25">
      <c r="A1056" s="6">
        <v>46138</v>
      </c>
      <c r="B1056" s="7">
        <v>1</v>
      </c>
      <c r="C1056" s="7" t="s">
        <v>80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6" t="s">
        <v>104</v>
      </c>
    </row>
    <row r="1057" spans="1:10" x14ac:dyDescent="0.25">
      <c r="A1057" s="6">
        <v>46138</v>
      </c>
      <c r="B1057" s="7">
        <v>4</v>
      </c>
      <c r="C1057" s="7" t="s">
        <v>19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6" t="s">
        <v>104</v>
      </c>
    </row>
    <row r="1058" spans="1:10" x14ac:dyDescent="0.25">
      <c r="A1058" s="6">
        <v>46138</v>
      </c>
      <c r="B1058" s="7">
        <v>1</v>
      </c>
      <c r="C1058" s="7" t="s">
        <v>20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6" t="s">
        <v>104</v>
      </c>
    </row>
    <row r="1059" spans="1:10" x14ac:dyDescent="0.25">
      <c r="A1059" s="6">
        <v>46138</v>
      </c>
      <c r="B1059" s="7">
        <v>3</v>
      </c>
      <c r="C1059" s="7" t="s">
        <v>23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6" t="s">
        <v>104</v>
      </c>
    </row>
    <row r="1060" spans="1:10" x14ac:dyDescent="0.25">
      <c r="A1060" s="6">
        <v>46138</v>
      </c>
      <c r="B1060" s="7">
        <v>3</v>
      </c>
      <c r="C1060" s="7" t="s">
        <v>26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6" t="s">
        <v>104</v>
      </c>
    </row>
    <row r="1061" spans="1:10" x14ac:dyDescent="0.25">
      <c r="A1061" s="6">
        <v>46138</v>
      </c>
      <c r="B1061" s="7">
        <v>2</v>
      </c>
      <c r="C1061" s="7" t="s">
        <v>53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6" t="s">
        <v>104</v>
      </c>
    </row>
    <row r="1062" spans="1:10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6" t="s">
        <v>104</v>
      </c>
    </row>
    <row r="1063" spans="1:10" x14ac:dyDescent="0.25">
      <c r="A1063" s="6">
        <v>46138</v>
      </c>
      <c r="B1063" s="7">
        <v>2</v>
      </c>
      <c r="C1063" s="7" t="s">
        <v>35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6" t="s">
        <v>104</v>
      </c>
    </row>
    <row r="1064" spans="1:10" x14ac:dyDescent="0.25">
      <c r="A1064" s="6">
        <v>46138</v>
      </c>
      <c r="B1064" s="7">
        <v>4</v>
      </c>
      <c r="C1064" s="7" t="s">
        <v>140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6" t="s">
        <v>104</v>
      </c>
    </row>
    <row r="1065" spans="1:10" x14ac:dyDescent="0.25">
      <c r="A1065" s="6">
        <v>46138</v>
      </c>
      <c r="B1065" s="7">
        <v>4</v>
      </c>
      <c r="C1065" s="7" t="s">
        <v>148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6" t="s">
        <v>104</v>
      </c>
    </row>
    <row r="1066" spans="1:10" x14ac:dyDescent="0.25">
      <c r="A1066" s="6">
        <v>46138</v>
      </c>
      <c r="B1066" s="7">
        <v>4</v>
      </c>
      <c r="C1066" s="7" t="s">
        <v>145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6" t="s">
        <v>104</v>
      </c>
    </row>
    <row r="1067" spans="1:10" x14ac:dyDescent="0.25">
      <c r="A1067" s="6">
        <v>46138</v>
      </c>
      <c r="B1067" s="7">
        <v>2</v>
      </c>
      <c r="C1067" s="7" t="s">
        <v>125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6" t="s">
        <v>104</v>
      </c>
    </row>
    <row r="1068" spans="1:10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6" t="s">
        <v>104</v>
      </c>
    </row>
    <row r="1069" spans="1:10" x14ac:dyDescent="0.25">
      <c r="A1069" s="6">
        <v>46138</v>
      </c>
      <c r="B1069" s="7">
        <v>1</v>
      </c>
      <c r="C1069" s="7" t="s">
        <v>16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6" t="s">
        <v>104</v>
      </c>
    </row>
    <row r="1070" spans="1:10" x14ac:dyDescent="0.25">
      <c r="A1070" s="6">
        <v>46138</v>
      </c>
      <c r="B1070" s="7">
        <v>4</v>
      </c>
      <c r="C1070" s="7" t="s">
        <v>149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6" t="s">
        <v>104</v>
      </c>
    </row>
    <row r="1071" spans="1:10" x14ac:dyDescent="0.25">
      <c r="A1071" s="6">
        <v>46138</v>
      </c>
      <c r="B1071" s="7">
        <v>4</v>
      </c>
      <c r="C1071" s="7" t="s">
        <v>27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6" t="s">
        <v>104</v>
      </c>
    </row>
    <row r="1072" spans="1:10" x14ac:dyDescent="0.25">
      <c r="A1072" s="6">
        <v>46138</v>
      </c>
      <c r="B1072" s="7">
        <v>4</v>
      </c>
      <c r="C1072" s="7" t="s">
        <v>97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6" t="s">
        <v>104</v>
      </c>
    </row>
    <row r="1073" spans="1:10" x14ac:dyDescent="0.25">
      <c r="A1073" s="6">
        <v>46138</v>
      </c>
      <c r="B1073" s="7">
        <v>2</v>
      </c>
      <c r="C1073" s="7" t="s">
        <v>60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6" t="s">
        <v>104</v>
      </c>
    </row>
    <row r="1074" spans="1:10" x14ac:dyDescent="0.25">
      <c r="A1074" s="6">
        <v>46138</v>
      </c>
      <c r="B1074" s="7">
        <v>3</v>
      </c>
      <c r="C1074" s="7" t="s">
        <v>33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6" t="s">
        <v>104</v>
      </c>
    </row>
    <row r="1075" spans="1:10" x14ac:dyDescent="0.25">
      <c r="A1075" s="6">
        <v>46138</v>
      </c>
      <c r="B1075" s="7">
        <v>3</v>
      </c>
      <c r="C1075" s="7" t="s">
        <v>52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6" t="s">
        <v>104</v>
      </c>
    </row>
    <row r="1076" spans="1:10" x14ac:dyDescent="0.25">
      <c r="A1076" s="6">
        <v>46138</v>
      </c>
      <c r="B1076" s="7">
        <v>4</v>
      </c>
      <c r="C1076" s="7" t="s">
        <v>42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6" t="s">
        <v>104</v>
      </c>
    </row>
    <row r="1077" spans="1:10" x14ac:dyDescent="0.25">
      <c r="A1077" s="6">
        <v>46138</v>
      </c>
      <c r="B1077" s="7">
        <v>2</v>
      </c>
      <c r="C1077" s="7" t="s">
        <v>136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6" t="s">
        <v>104</v>
      </c>
    </row>
    <row r="1078" spans="1:10" x14ac:dyDescent="0.25">
      <c r="A1078" s="6">
        <v>46138</v>
      </c>
      <c r="B1078" s="7">
        <v>3</v>
      </c>
      <c r="C1078" s="7" t="s">
        <v>24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6" t="s">
        <v>104</v>
      </c>
    </row>
    <row r="1079" spans="1:10" x14ac:dyDescent="0.25">
      <c r="A1079" s="6">
        <v>46138</v>
      </c>
      <c r="B1079" s="7">
        <v>3</v>
      </c>
      <c r="C1079" s="7" t="s">
        <v>121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6" t="s">
        <v>104</v>
      </c>
    </row>
    <row r="1080" spans="1:10" x14ac:dyDescent="0.25">
      <c r="A1080" s="6">
        <v>46138</v>
      </c>
      <c r="B1080" s="7">
        <v>3</v>
      </c>
      <c r="C1080" s="7" t="s">
        <v>150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6" t="s">
        <v>104</v>
      </c>
    </row>
    <row r="1081" spans="1:10" x14ac:dyDescent="0.25">
      <c r="A1081" s="6">
        <v>46142</v>
      </c>
      <c r="B1081" s="7">
        <v>2</v>
      </c>
      <c r="C1081" s="7" t="s">
        <v>22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6" t="s">
        <v>104</v>
      </c>
    </row>
    <row r="1082" spans="1:10" x14ac:dyDescent="0.25">
      <c r="A1082" s="6">
        <v>46142</v>
      </c>
      <c r="B1082" s="7">
        <v>2</v>
      </c>
      <c r="C1082" s="7" t="s">
        <v>95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6" t="s">
        <v>104</v>
      </c>
    </row>
    <row r="1083" spans="1:10" x14ac:dyDescent="0.25">
      <c r="A1083" s="6">
        <v>46142</v>
      </c>
      <c r="B1083" s="7">
        <v>1</v>
      </c>
      <c r="C1083" s="7" t="s">
        <v>46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6" t="s">
        <v>104</v>
      </c>
    </row>
    <row r="1084" spans="1:10" x14ac:dyDescent="0.25">
      <c r="A1084" s="6">
        <v>46142</v>
      </c>
      <c r="B1084" s="7">
        <v>1</v>
      </c>
      <c r="C1084" s="7" t="s">
        <v>13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6" t="s">
        <v>104</v>
      </c>
    </row>
    <row r="1085" spans="1:10" x14ac:dyDescent="0.25">
      <c r="A1085" s="6">
        <v>46142</v>
      </c>
      <c r="B1085" s="7">
        <v>3</v>
      </c>
      <c r="C1085" s="7" t="s">
        <v>18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6" t="s">
        <v>104</v>
      </c>
    </row>
    <row r="1086" spans="1:10" x14ac:dyDescent="0.25">
      <c r="A1086" s="6">
        <v>46142</v>
      </c>
      <c r="B1086" s="7">
        <v>3</v>
      </c>
      <c r="C1086" s="7" t="s">
        <v>64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6" t="s">
        <v>104</v>
      </c>
    </row>
    <row r="1087" spans="1:10" x14ac:dyDescent="0.25">
      <c r="A1087" s="6">
        <v>46142</v>
      </c>
      <c r="B1087" s="7">
        <v>1</v>
      </c>
      <c r="C1087" s="7" t="s">
        <v>60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6" t="s">
        <v>104</v>
      </c>
    </row>
    <row r="1088" spans="1:10" x14ac:dyDescent="0.25">
      <c r="A1088" s="6">
        <v>46142</v>
      </c>
      <c r="B1088" s="7">
        <v>1</v>
      </c>
      <c r="C1088" s="7" t="s">
        <v>136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6" t="s">
        <v>104</v>
      </c>
    </row>
    <row r="1089" spans="1:10" x14ac:dyDescent="0.25">
      <c r="A1089" s="6">
        <v>46142</v>
      </c>
      <c r="B1089" s="7">
        <v>2</v>
      </c>
      <c r="C1089" s="7" t="s">
        <v>43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6" t="s">
        <v>104</v>
      </c>
    </row>
    <row r="1090" spans="1:10" x14ac:dyDescent="0.25">
      <c r="A1090" s="6">
        <v>46142</v>
      </c>
      <c r="B1090" s="7">
        <v>1</v>
      </c>
      <c r="C1090" s="7" t="s">
        <v>45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6" t="s">
        <v>104</v>
      </c>
    </row>
    <row r="1091" spans="1:10" x14ac:dyDescent="0.25">
      <c r="A1091" s="6">
        <v>46142</v>
      </c>
      <c r="B1091" s="7">
        <v>3</v>
      </c>
      <c r="C1091" s="7" t="s">
        <v>50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6" t="s">
        <v>104</v>
      </c>
    </row>
    <row r="1092" spans="1:10" x14ac:dyDescent="0.25">
      <c r="A1092" s="6">
        <v>46142</v>
      </c>
      <c r="B1092" s="7">
        <v>1</v>
      </c>
      <c r="C1092" s="7" t="s">
        <v>23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6" t="s">
        <v>104</v>
      </c>
    </row>
    <row r="1093" spans="1:10" x14ac:dyDescent="0.25">
      <c r="A1093" s="6">
        <v>46142</v>
      </c>
      <c r="B1093" s="7">
        <v>2</v>
      </c>
      <c r="C1093" s="7" t="s">
        <v>92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6" t="s">
        <v>104</v>
      </c>
    </row>
    <row r="1094" spans="1:10" x14ac:dyDescent="0.25">
      <c r="A1094" s="6">
        <v>46142</v>
      </c>
      <c r="B1094" s="7">
        <v>2</v>
      </c>
      <c r="C1094" s="7" t="s">
        <v>15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6" t="s">
        <v>104</v>
      </c>
    </row>
    <row r="1095" spans="1:10" x14ac:dyDescent="0.25">
      <c r="A1095" s="6">
        <v>46142</v>
      </c>
      <c r="B1095" s="7">
        <v>1</v>
      </c>
      <c r="C1095" s="7" t="s">
        <v>80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6" t="s">
        <v>104</v>
      </c>
    </row>
    <row r="1096" spans="1:10" x14ac:dyDescent="0.25">
      <c r="A1096" s="6">
        <v>46142</v>
      </c>
      <c r="B1096" s="7">
        <v>2</v>
      </c>
      <c r="C1096" s="7" t="s">
        <v>20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6" t="s">
        <v>104</v>
      </c>
    </row>
    <row r="1097" spans="1:10" x14ac:dyDescent="0.25">
      <c r="A1097" s="6">
        <v>46142</v>
      </c>
      <c r="B1097" s="7">
        <v>3</v>
      </c>
      <c r="C1097" s="7" t="s">
        <v>68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6" t="s">
        <v>104</v>
      </c>
    </row>
    <row r="1098" spans="1:10" x14ac:dyDescent="0.25">
      <c r="A1098" s="6">
        <v>46142</v>
      </c>
      <c r="B1098" s="7">
        <v>3</v>
      </c>
      <c r="C1098" s="7" t="s">
        <v>151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6" t="s">
        <v>104</v>
      </c>
    </row>
    <row r="1099" spans="1:10" x14ac:dyDescent="0.25">
      <c r="A1099" s="6">
        <v>46142</v>
      </c>
      <c r="B1099" s="7">
        <v>3</v>
      </c>
      <c r="C1099" s="7" t="s">
        <v>66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6" t="s">
        <v>104</v>
      </c>
    </row>
    <row r="1100" spans="1:10" x14ac:dyDescent="0.25">
      <c r="A1100" s="6">
        <v>46142</v>
      </c>
      <c r="B1100" s="7">
        <v>2</v>
      </c>
      <c r="C1100" s="7" t="s">
        <v>81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6" t="s">
        <v>104</v>
      </c>
    </row>
    <row r="1101" spans="1:10" x14ac:dyDescent="0.25">
      <c r="A1101" s="6">
        <v>46142</v>
      </c>
      <c r="B1101" s="7">
        <v>3</v>
      </c>
      <c r="C1101" s="7" t="s">
        <v>125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6" t="s">
        <v>104</v>
      </c>
    </row>
    <row r="1102" spans="1:10" x14ac:dyDescent="0.25">
      <c r="A1102" s="6">
        <v>46145</v>
      </c>
      <c r="B1102" s="7">
        <v>2</v>
      </c>
      <c r="C1102" s="7" t="s">
        <v>12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6" t="s">
        <v>104</v>
      </c>
    </row>
    <row r="1103" spans="1:10" x14ac:dyDescent="0.25">
      <c r="A1103" s="6">
        <v>46145</v>
      </c>
      <c r="B1103" s="7">
        <v>4</v>
      </c>
      <c r="C1103" s="7" t="s">
        <v>125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6" t="s">
        <v>104</v>
      </c>
    </row>
    <row r="1104" spans="1:10" x14ac:dyDescent="0.25">
      <c r="A1104" s="6">
        <v>46145</v>
      </c>
      <c r="B1104" s="7">
        <v>3</v>
      </c>
      <c r="C1104" s="7" t="s">
        <v>111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6" t="s">
        <v>104</v>
      </c>
    </row>
    <row r="1105" spans="1:10" x14ac:dyDescent="0.25">
      <c r="A1105" s="6">
        <v>46145</v>
      </c>
      <c r="B1105" s="7">
        <v>2</v>
      </c>
      <c r="C1105" s="7" t="s">
        <v>65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6" t="s">
        <v>104</v>
      </c>
    </row>
    <row r="1106" spans="1:10" x14ac:dyDescent="0.25">
      <c r="A1106" s="6">
        <v>46145</v>
      </c>
      <c r="B1106" s="7">
        <v>2</v>
      </c>
      <c r="C1106" s="7" t="s">
        <v>152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6" t="s">
        <v>104</v>
      </c>
    </row>
    <row r="1107" spans="1:10" x14ac:dyDescent="0.25">
      <c r="A1107" s="6">
        <v>46145</v>
      </c>
      <c r="B1107" s="7">
        <v>1</v>
      </c>
      <c r="C1107" s="7" t="s">
        <v>50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6" t="s">
        <v>104</v>
      </c>
    </row>
    <row r="1108" spans="1:10" x14ac:dyDescent="0.25">
      <c r="A1108" s="6">
        <v>46145</v>
      </c>
      <c r="B1108" s="7">
        <v>2</v>
      </c>
      <c r="C1108" s="7" t="s">
        <v>60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6" t="s">
        <v>104</v>
      </c>
    </row>
    <row r="1109" spans="1:10" x14ac:dyDescent="0.25">
      <c r="A1109" s="6">
        <v>46145</v>
      </c>
      <c r="B1109" s="7">
        <v>2</v>
      </c>
      <c r="C1109" s="7" t="s">
        <v>15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6" t="s">
        <v>104</v>
      </c>
    </row>
    <row r="1110" spans="1:10" x14ac:dyDescent="0.25">
      <c r="A1110" s="6">
        <v>46145</v>
      </c>
      <c r="B1110" s="7">
        <v>4</v>
      </c>
      <c r="C1110" s="7" t="s">
        <v>76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6" t="s">
        <v>104</v>
      </c>
    </row>
    <row r="1111" spans="1:10" x14ac:dyDescent="0.25">
      <c r="A1111" s="6">
        <v>46145</v>
      </c>
      <c r="B1111" s="7">
        <v>1</v>
      </c>
      <c r="C1111" s="7" t="s">
        <v>46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6" t="s">
        <v>104</v>
      </c>
    </row>
    <row r="1112" spans="1:10" x14ac:dyDescent="0.25">
      <c r="A1112" s="6">
        <v>46145</v>
      </c>
      <c r="B1112" s="7">
        <v>1</v>
      </c>
      <c r="C1112" s="7" t="s">
        <v>135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6" t="s">
        <v>104</v>
      </c>
    </row>
    <row r="1113" spans="1:10" x14ac:dyDescent="0.25">
      <c r="A1113" s="6">
        <v>46145</v>
      </c>
      <c r="B1113" s="7">
        <v>4</v>
      </c>
      <c r="C1113" s="7" t="s">
        <v>86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6" t="s">
        <v>104</v>
      </c>
    </row>
    <row r="1114" spans="1:10" x14ac:dyDescent="0.25">
      <c r="A1114" s="6">
        <v>46145</v>
      </c>
      <c r="B1114" s="7">
        <v>1</v>
      </c>
      <c r="C1114" s="7" t="s">
        <v>16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6" t="s">
        <v>104</v>
      </c>
    </row>
    <row r="1115" spans="1:10" x14ac:dyDescent="0.25">
      <c r="A1115" s="6">
        <v>46145</v>
      </c>
      <c r="B1115" s="7">
        <v>2</v>
      </c>
      <c r="C1115" s="7" t="s">
        <v>23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6" t="s">
        <v>104</v>
      </c>
    </row>
    <row r="1116" spans="1:10" x14ac:dyDescent="0.25">
      <c r="A1116" s="6">
        <v>46145</v>
      </c>
      <c r="B1116" s="7">
        <v>1</v>
      </c>
      <c r="C1116" s="7" t="s">
        <v>136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6" t="s">
        <v>104</v>
      </c>
    </row>
    <row r="1117" spans="1:10" x14ac:dyDescent="0.25">
      <c r="A1117" s="6">
        <v>46145</v>
      </c>
      <c r="B1117" s="7">
        <v>1</v>
      </c>
      <c r="C1117" s="7" t="s">
        <v>80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6" t="s">
        <v>104</v>
      </c>
    </row>
    <row r="1118" spans="1:10" x14ac:dyDescent="0.25">
      <c r="A1118" s="6">
        <v>46145</v>
      </c>
      <c r="B1118" s="7">
        <v>1</v>
      </c>
      <c r="C1118" s="7" t="s">
        <v>18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6" t="s">
        <v>104</v>
      </c>
    </row>
    <row r="1119" spans="1:10" x14ac:dyDescent="0.25">
      <c r="A1119" s="6">
        <v>46145</v>
      </c>
      <c r="B1119" s="7">
        <v>4</v>
      </c>
      <c r="C1119" s="7" t="s">
        <v>141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6" t="s">
        <v>104</v>
      </c>
    </row>
    <row r="1120" spans="1:10" x14ac:dyDescent="0.25">
      <c r="A1120" s="6">
        <v>46145</v>
      </c>
      <c r="B1120" s="7">
        <v>3</v>
      </c>
      <c r="C1120" s="7" t="s">
        <v>29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6" t="s">
        <v>104</v>
      </c>
    </row>
    <row r="1121" spans="1:10" x14ac:dyDescent="0.25">
      <c r="A1121" s="6">
        <v>46145</v>
      </c>
      <c r="B1121" s="7">
        <v>2</v>
      </c>
      <c r="C1121" s="7" t="s">
        <v>53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6" t="s">
        <v>104</v>
      </c>
    </row>
    <row r="1122" spans="1:10" x14ac:dyDescent="0.25">
      <c r="A1122" s="6">
        <v>46145</v>
      </c>
      <c r="B1122" s="7">
        <v>1</v>
      </c>
      <c r="C1122" s="7" t="s">
        <v>20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6" t="s">
        <v>104</v>
      </c>
    </row>
    <row r="1123" spans="1:10" x14ac:dyDescent="0.25">
      <c r="A1123" s="6">
        <v>46145</v>
      </c>
      <c r="B1123" s="7">
        <v>2</v>
      </c>
      <c r="C1123" s="7" t="s">
        <v>153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6" t="s">
        <v>104</v>
      </c>
    </row>
    <row r="1124" spans="1:10" x14ac:dyDescent="0.25">
      <c r="A1124" s="6">
        <v>46145</v>
      </c>
      <c r="B1124" s="7">
        <v>1</v>
      </c>
      <c r="C1124" s="7" t="s">
        <v>24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6" t="s">
        <v>104</v>
      </c>
    </row>
    <row r="1125" spans="1:10" x14ac:dyDescent="0.25">
      <c r="A1125" s="6">
        <v>46145</v>
      </c>
      <c r="B1125" s="7">
        <v>2</v>
      </c>
      <c r="C1125" s="7" t="s">
        <v>139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6" t="s">
        <v>104</v>
      </c>
    </row>
    <row r="1126" spans="1:10" x14ac:dyDescent="0.25">
      <c r="A1126" s="6">
        <v>46145</v>
      </c>
      <c r="B1126" s="7">
        <v>4</v>
      </c>
      <c r="C1126" s="7" t="s">
        <v>81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6" t="s">
        <v>104</v>
      </c>
    </row>
    <row r="1127" spans="1:10" x14ac:dyDescent="0.25">
      <c r="A1127" s="6">
        <v>46145</v>
      </c>
      <c r="B1127" s="7">
        <v>3</v>
      </c>
      <c r="C1127" s="7" t="s">
        <v>43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6" t="s">
        <v>104</v>
      </c>
    </row>
    <row r="1128" spans="1:10" x14ac:dyDescent="0.25">
      <c r="A1128" s="6">
        <v>46145</v>
      </c>
      <c r="B1128" s="7">
        <v>3</v>
      </c>
      <c r="C1128" s="7" t="s">
        <v>111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6" t="s">
        <v>104</v>
      </c>
    </row>
    <row r="1129" spans="1:10" x14ac:dyDescent="0.25">
      <c r="A1129" s="6">
        <v>46145</v>
      </c>
      <c r="B1129" s="7">
        <v>4</v>
      </c>
      <c r="C1129" s="7" t="s">
        <v>48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6" t="s">
        <v>104</v>
      </c>
    </row>
    <row r="1130" spans="1:10" x14ac:dyDescent="0.25">
      <c r="A1130" s="6">
        <v>46145</v>
      </c>
      <c r="B1130" s="7">
        <v>4</v>
      </c>
      <c r="C1130" s="7" t="s">
        <v>54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6" t="s">
        <v>104</v>
      </c>
    </row>
    <row r="1131" spans="1:10" x14ac:dyDescent="0.25">
      <c r="A1131" s="6">
        <v>46145</v>
      </c>
      <c r="B1131" s="7">
        <v>4</v>
      </c>
      <c r="C1131" s="7" t="s">
        <v>141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6" t="s">
        <v>104</v>
      </c>
    </row>
    <row r="1132" spans="1:10" x14ac:dyDescent="0.25">
      <c r="A1132" s="6">
        <v>46145</v>
      </c>
      <c r="B1132" s="7">
        <v>1</v>
      </c>
      <c r="C1132" s="7" t="s">
        <v>40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6" t="s">
        <v>104</v>
      </c>
    </row>
    <row r="1133" spans="1:10" x14ac:dyDescent="0.25">
      <c r="A1133" s="6">
        <v>46145</v>
      </c>
      <c r="B1133" s="7">
        <v>3</v>
      </c>
      <c r="C1133" s="7" t="s">
        <v>51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6" t="s">
        <v>104</v>
      </c>
    </row>
    <row r="1134" spans="1:10" x14ac:dyDescent="0.25">
      <c r="A1134" s="6">
        <v>46145</v>
      </c>
      <c r="B1134" s="7">
        <v>3</v>
      </c>
      <c r="C1134" s="7" t="s">
        <v>19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6" t="s">
        <v>104</v>
      </c>
    </row>
    <row r="1135" spans="1:10" x14ac:dyDescent="0.25">
      <c r="A1135" s="6">
        <v>46145</v>
      </c>
      <c r="B1135" s="7">
        <v>2</v>
      </c>
      <c r="C1135" s="7" t="s">
        <v>150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6" t="s">
        <v>104</v>
      </c>
    </row>
    <row r="1136" spans="1:10" x14ac:dyDescent="0.25">
      <c r="A1136" s="6">
        <v>46145</v>
      </c>
      <c r="B1136" s="7">
        <v>3</v>
      </c>
      <c r="C1136" s="7" t="s">
        <v>149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6" t="s">
        <v>104</v>
      </c>
    </row>
    <row r="1137" spans="1:10" x14ac:dyDescent="0.25">
      <c r="A1137" s="6">
        <v>46145</v>
      </c>
      <c r="B1137" s="7">
        <v>4</v>
      </c>
      <c r="C1137" s="7" t="s">
        <v>154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6" t="s">
        <v>104</v>
      </c>
    </row>
    <row r="1138" spans="1:10" x14ac:dyDescent="0.25">
      <c r="A1138" s="6">
        <v>46145</v>
      </c>
      <c r="B1138" s="7">
        <v>3</v>
      </c>
      <c r="C1138" s="7" t="s">
        <v>42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6" t="s">
        <v>104</v>
      </c>
    </row>
    <row r="1139" spans="1:10" x14ac:dyDescent="0.25">
      <c r="A1139" s="6">
        <v>46145</v>
      </c>
      <c r="B1139" s="7">
        <v>3</v>
      </c>
      <c r="C1139" s="7" t="s">
        <v>47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6" t="s">
        <v>104</v>
      </c>
    </row>
    <row r="1140" spans="1:10" x14ac:dyDescent="0.25">
      <c r="A1140" s="6">
        <v>46145</v>
      </c>
      <c r="B1140" s="7">
        <v>3</v>
      </c>
      <c r="C1140" s="7" t="s">
        <v>140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6" t="s">
        <v>104</v>
      </c>
    </row>
    <row r="1141" spans="1:10" x14ac:dyDescent="0.25">
      <c r="A1141" s="6">
        <v>46149</v>
      </c>
      <c r="B1141" s="7">
        <v>1</v>
      </c>
      <c r="C1141" s="7" t="s">
        <v>60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6" t="s">
        <v>104</v>
      </c>
    </row>
    <row r="1142" spans="1:10" x14ac:dyDescent="0.25">
      <c r="A1142" s="6">
        <v>46149</v>
      </c>
      <c r="B1142" s="7">
        <v>1</v>
      </c>
      <c r="C1142" s="7" t="s">
        <v>22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6" t="s">
        <v>104</v>
      </c>
    </row>
    <row r="1143" spans="1:10" x14ac:dyDescent="0.25">
      <c r="A1143" s="6">
        <v>46149</v>
      </c>
      <c r="B1143" s="7">
        <v>2</v>
      </c>
      <c r="C1143" s="7" t="s">
        <v>46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6" t="s">
        <v>104</v>
      </c>
    </row>
    <row r="1144" spans="1:10" x14ac:dyDescent="0.25">
      <c r="A1144" s="6">
        <v>46149</v>
      </c>
      <c r="B1144" s="7">
        <v>2</v>
      </c>
      <c r="C1144" s="7" t="s">
        <v>15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6" t="s">
        <v>104</v>
      </c>
    </row>
    <row r="1145" spans="1:10" x14ac:dyDescent="0.25">
      <c r="A1145" s="6">
        <v>46149</v>
      </c>
      <c r="B1145" s="7">
        <v>1</v>
      </c>
      <c r="C1145" s="7" t="s">
        <v>43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6" t="s">
        <v>104</v>
      </c>
    </row>
    <row r="1146" spans="1:10" x14ac:dyDescent="0.25">
      <c r="A1146" s="6">
        <v>46149</v>
      </c>
      <c r="B1146" s="7">
        <v>2</v>
      </c>
      <c r="C1146" s="7" t="s">
        <v>92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6" t="s">
        <v>104</v>
      </c>
    </row>
    <row r="1147" spans="1:10" x14ac:dyDescent="0.25">
      <c r="A1147" s="6">
        <v>46149</v>
      </c>
      <c r="B1147" s="7">
        <v>1</v>
      </c>
      <c r="C1147" s="7" t="s">
        <v>136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6" t="s">
        <v>104</v>
      </c>
    </row>
    <row r="1148" spans="1:10" x14ac:dyDescent="0.25">
      <c r="A1148" s="6">
        <v>46149</v>
      </c>
      <c r="B1148" s="7">
        <v>2</v>
      </c>
      <c r="C1148" s="7" t="s">
        <v>64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6" t="s">
        <v>104</v>
      </c>
    </row>
    <row r="1149" spans="1:10" x14ac:dyDescent="0.25">
      <c r="A1149" s="6">
        <v>46149</v>
      </c>
      <c r="B1149" s="7">
        <v>2</v>
      </c>
      <c r="C1149" s="7" t="s">
        <v>20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6" t="s">
        <v>104</v>
      </c>
    </row>
    <row r="1150" spans="1:10" x14ac:dyDescent="0.25">
      <c r="A1150" s="6">
        <v>46149</v>
      </c>
      <c r="B1150" s="7">
        <v>2</v>
      </c>
      <c r="C1150" s="7" t="s">
        <v>26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6" t="s">
        <v>104</v>
      </c>
    </row>
    <row r="1151" spans="1:10" x14ac:dyDescent="0.25">
      <c r="A1151" s="6">
        <v>46149</v>
      </c>
      <c r="B1151" s="7">
        <v>1</v>
      </c>
      <c r="C1151" s="7" t="s">
        <v>18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6" t="s">
        <v>104</v>
      </c>
    </row>
    <row r="1152" spans="1:10" x14ac:dyDescent="0.25">
      <c r="A1152" s="6">
        <v>46149</v>
      </c>
      <c r="B1152" s="7">
        <v>2</v>
      </c>
      <c r="C1152" s="7" t="s">
        <v>23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6" t="s">
        <v>104</v>
      </c>
    </row>
    <row r="1153" spans="1:10" x14ac:dyDescent="0.25">
      <c r="A1153" s="6">
        <v>46149</v>
      </c>
      <c r="B1153" s="7">
        <v>1</v>
      </c>
      <c r="C1153" s="7" t="s">
        <v>45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6" t="s">
        <v>104</v>
      </c>
    </row>
    <row r="1154" spans="1:10" x14ac:dyDescent="0.25">
      <c r="A1154" s="6">
        <v>46149</v>
      </c>
      <c r="B1154" s="7">
        <v>1</v>
      </c>
      <c r="C1154" s="7" t="s">
        <v>53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6" t="s">
        <v>104</v>
      </c>
    </row>
    <row r="1155" spans="1:10" x14ac:dyDescent="0.25">
      <c r="A1155" s="6">
        <v>46149</v>
      </c>
      <c r="B1155" s="7">
        <v>1</v>
      </c>
      <c r="C1155" s="7" t="s">
        <v>28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6" t="s">
        <v>104</v>
      </c>
    </row>
    <row r="1156" spans="1:10" x14ac:dyDescent="0.25">
      <c r="A1156" s="6">
        <v>46156</v>
      </c>
      <c r="B1156" s="7">
        <v>1</v>
      </c>
      <c r="C1156" s="7" t="s">
        <v>45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6" t="s">
        <v>104</v>
      </c>
    </row>
    <row r="1157" spans="1:10" x14ac:dyDescent="0.25">
      <c r="A1157" s="6">
        <v>46156</v>
      </c>
      <c r="B1157" s="7">
        <v>1</v>
      </c>
      <c r="C1157" s="7" t="s">
        <v>26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6" t="s">
        <v>104</v>
      </c>
    </row>
    <row r="1158" spans="1:10" x14ac:dyDescent="0.25">
      <c r="A1158" s="6">
        <v>46156</v>
      </c>
      <c r="B1158" s="7">
        <v>1</v>
      </c>
      <c r="C1158" s="7" t="s">
        <v>64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6" t="s">
        <v>104</v>
      </c>
    </row>
    <row r="1159" spans="1:10" x14ac:dyDescent="0.25">
      <c r="A1159" s="6">
        <v>46156</v>
      </c>
      <c r="B1159" s="7">
        <v>1</v>
      </c>
      <c r="C1159" s="7" t="s">
        <v>68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6" t="s">
        <v>104</v>
      </c>
    </row>
    <row r="1160" spans="1:10" x14ac:dyDescent="0.25">
      <c r="A1160" s="6">
        <v>46156</v>
      </c>
      <c r="B1160" s="7">
        <v>1</v>
      </c>
      <c r="C1160" s="7" t="s">
        <v>125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6" t="s">
        <v>104</v>
      </c>
    </row>
    <row r="1161" spans="1:10" x14ac:dyDescent="0.25">
      <c r="A1161" s="6">
        <v>46156</v>
      </c>
      <c r="B1161" s="7">
        <v>1</v>
      </c>
      <c r="C1161" s="7" t="s">
        <v>52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6" t="s">
        <v>104</v>
      </c>
    </row>
    <row r="1162" spans="1:10" x14ac:dyDescent="0.25">
      <c r="A1162" s="6">
        <v>46156</v>
      </c>
      <c r="B1162" s="7">
        <v>1</v>
      </c>
      <c r="C1162" s="7" t="s">
        <v>48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6" t="s">
        <v>104</v>
      </c>
    </row>
    <row r="1163" spans="1:10" x14ac:dyDescent="0.25">
      <c r="A1163" s="6">
        <v>46156</v>
      </c>
      <c r="B1163" s="7">
        <v>2</v>
      </c>
      <c r="C1163" s="7" t="s">
        <v>136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6" t="s">
        <v>104</v>
      </c>
    </row>
    <row r="1164" spans="1:10" x14ac:dyDescent="0.25">
      <c r="A1164" s="6">
        <v>46156</v>
      </c>
      <c r="B1164" s="7">
        <v>2</v>
      </c>
      <c r="C1164" s="7" t="s">
        <v>23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6" t="s">
        <v>104</v>
      </c>
    </row>
    <row r="1165" spans="1:10" x14ac:dyDescent="0.25">
      <c r="A1165" s="6">
        <v>46156</v>
      </c>
      <c r="B1165" s="7">
        <v>2</v>
      </c>
      <c r="C1165" s="7" t="s">
        <v>58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6" t="s">
        <v>104</v>
      </c>
    </row>
    <row r="1166" spans="1:10" x14ac:dyDescent="0.25">
      <c r="A1166" s="6">
        <v>46156</v>
      </c>
      <c r="B1166" s="7">
        <v>2</v>
      </c>
      <c r="C1166" s="7" t="s">
        <v>141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6" t="s">
        <v>104</v>
      </c>
    </row>
    <row r="1167" spans="1:10" x14ac:dyDescent="0.25">
      <c r="A1167" s="6">
        <v>46156</v>
      </c>
      <c r="B1167" s="7">
        <v>2</v>
      </c>
      <c r="C1167" s="7" t="s">
        <v>55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6" t="s">
        <v>104</v>
      </c>
    </row>
    <row r="1168" spans="1:10" x14ac:dyDescent="0.25">
      <c r="A1168" s="6">
        <v>46156</v>
      </c>
      <c r="B1168" s="7">
        <v>2</v>
      </c>
      <c r="C1168" s="7" t="s">
        <v>124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6" t="s">
        <v>104</v>
      </c>
    </row>
    <row r="1169" spans="1:10" x14ac:dyDescent="0.25">
      <c r="A1169" s="6">
        <v>46156</v>
      </c>
      <c r="B1169" s="7">
        <v>2</v>
      </c>
      <c r="C1169" s="7" t="s">
        <v>155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6" t="s">
        <v>104</v>
      </c>
    </row>
    <row r="1170" spans="1:10" x14ac:dyDescent="0.25">
      <c r="A1170" s="6">
        <v>46156</v>
      </c>
      <c r="B1170" s="7">
        <v>2</v>
      </c>
      <c r="C1170" s="7" t="s">
        <v>156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6" t="s">
        <v>104</v>
      </c>
    </row>
    <row r="1171" spans="1:10" x14ac:dyDescent="0.25">
      <c r="A1171" s="6">
        <v>46156</v>
      </c>
      <c r="B1171" s="7">
        <v>3</v>
      </c>
      <c r="C1171" s="7" t="s">
        <v>20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6" t="s">
        <v>104</v>
      </c>
    </row>
    <row r="1172" spans="1:10" x14ac:dyDescent="0.25">
      <c r="A1172" s="6">
        <v>46156</v>
      </c>
      <c r="B1172" s="7">
        <v>3</v>
      </c>
      <c r="C1172" s="7" t="s">
        <v>46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6" t="s">
        <v>104</v>
      </c>
    </row>
    <row r="1173" spans="1:10" x14ac:dyDescent="0.25">
      <c r="A1173" s="6">
        <v>46156</v>
      </c>
      <c r="B1173" s="7">
        <v>3</v>
      </c>
      <c r="C1173" s="7" t="s">
        <v>92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6" t="s">
        <v>104</v>
      </c>
    </row>
    <row r="1174" spans="1:10" x14ac:dyDescent="0.25">
      <c r="A1174" s="6">
        <v>46156</v>
      </c>
      <c r="B1174" s="7">
        <v>3</v>
      </c>
      <c r="C1174" s="7" t="s">
        <v>43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6" t="s">
        <v>104</v>
      </c>
    </row>
    <row r="1175" spans="1:10" x14ac:dyDescent="0.25">
      <c r="A1175" s="6">
        <v>46156</v>
      </c>
      <c r="B1175" s="7">
        <v>3</v>
      </c>
      <c r="C1175" s="7" t="s">
        <v>44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6" t="s">
        <v>104</v>
      </c>
    </row>
    <row r="1176" spans="1:10" x14ac:dyDescent="0.25">
      <c r="A1176" s="6">
        <v>46156</v>
      </c>
      <c r="B1176" s="7">
        <v>3</v>
      </c>
      <c r="C1176" s="7" t="s">
        <v>137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6" t="s">
        <v>104</v>
      </c>
    </row>
    <row r="1177" spans="1:10" x14ac:dyDescent="0.25">
      <c r="A1177" s="6">
        <v>46156</v>
      </c>
      <c r="B1177" s="7">
        <v>3</v>
      </c>
      <c r="C1177" s="7" t="s">
        <v>52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6" t="s">
        <v>104</v>
      </c>
    </row>
    <row r="1178" spans="1:10" x14ac:dyDescent="0.25">
      <c r="A1178" s="6">
        <v>46156</v>
      </c>
      <c r="B1178" s="7">
        <v>3</v>
      </c>
      <c r="C1178" s="7" t="s">
        <v>157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6" t="s">
        <v>104</v>
      </c>
    </row>
    <row r="1179" spans="1:10" x14ac:dyDescent="0.25">
      <c r="A1179" s="6">
        <v>46159</v>
      </c>
      <c r="B1179" s="7">
        <v>4</v>
      </c>
      <c r="C1179" s="7" t="s">
        <v>50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1</v>
      </c>
      <c r="G1179" s="10">
        <f>SUMIFS(_teams[wins_on_date],_teams[date],_stats[[#This Row],[date]],_teams[team_number],_stats[[#This Row],[team_number]])</f>
        <v>10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6" t="s">
        <v>104</v>
      </c>
    </row>
    <row r="1180" spans="1:10" x14ac:dyDescent="0.25">
      <c r="A1180" s="6">
        <v>46159</v>
      </c>
      <c r="B1180" s="7">
        <v>1</v>
      </c>
      <c r="C1180" s="7" t="s">
        <v>15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6" t="s">
        <v>104</v>
      </c>
    </row>
    <row r="1181" spans="1:10" x14ac:dyDescent="0.25">
      <c r="A1181" s="6">
        <v>46159</v>
      </c>
      <c r="B1181" s="7">
        <v>4</v>
      </c>
      <c r="C1181" s="7" t="s">
        <v>65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10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6" t="s">
        <v>104</v>
      </c>
    </row>
    <row r="1182" spans="1:10" x14ac:dyDescent="0.25">
      <c r="A1182" s="6">
        <v>46159</v>
      </c>
      <c r="B1182" s="7">
        <v>4</v>
      </c>
      <c r="C1182" s="7" t="s">
        <v>12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10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6" t="s">
        <v>104</v>
      </c>
    </row>
    <row r="1183" spans="1:10" x14ac:dyDescent="0.25">
      <c r="A1183" s="6">
        <v>46159</v>
      </c>
      <c r="B1183" s="7">
        <v>1</v>
      </c>
      <c r="C1183" s="7" t="s">
        <v>135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6" t="s">
        <v>104</v>
      </c>
    </row>
    <row r="1184" spans="1:10" x14ac:dyDescent="0.25">
      <c r="A1184" s="6">
        <v>46159</v>
      </c>
      <c r="B1184" s="7">
        <v>4</v>
      </c>
      <c r="C1184" s="7" t="s">
        <v>80</v>
      </c>
      <c r="D1184" s="10" t="str">
        <f>IFERROR(VLOOKUP(_stats[[#This Row],[player_id]],_players[[player_id]:[player_name]],2,0),"")</f>
        <v>Анашкин</v>
      </c>
      <c r="E1184" s="7">
        <v>0</v>
      </c>
      <c r="F1184" s="8">
        <v>0</v>
      </c>
      <c r="G1184" s="10">
        <f>SUMIFS(_teams[wins_on_date],_teams[date],_stats[[#This Row],[date]],_teams[team_number],_stats[[#This Row],[team_number]])</f>
        <v>10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6" t="s">
        <v>104</v>
      </c>
    </row>
    <row r="1185" spans="1:10" x14ac:dyDescent="0.25">
      <c r="A1185" s="6">
        <v>46159</v>
      </c>
      <c r="B1185" s="7">
        <v>4</v>
      </c>
      <c r="C1185" s="7" t="s">
        <v>18</v>
      </c>
      <c r="D1185" s="10" t="str">
        <f>IFERROR(VLOOKUP(_stats[[#This Row],[player_id]],_players[[player_id]:[player_name]],2,0),"")</f>
        <v>Костя</v>
      </c>
      <c r="E1185" s="7">
        <v>3</v>
      </c>
      <c r="F1185" s="8">
        <v>1</v>
      </c>
      <c r="G1185" s="10">
        <f>SUMIFS(_teams[wins_on_date],_teams[date],_stats[[#This Row],[date]],_teams[team_number],_stats[[#This Row],[team_number]])</f>
        <v>10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6" t="s">
        <v>104</v>
      </c>
    </row>
    <row r="1186" spans="1:10" x14ac:dyDescent="0.25">
      <c r="A1186" s="6">
        <v>46159</v>
      </c>
      <c r="B1186" s="7">
        <v>3</v>
      </c>
      <c r="C1186" s="7" t="s">
        <v>20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6" t="s">
        <v>104</v>
      </c>
    </row>
    <row r="1187" spans="1:10" x14ac:dyDescent="0.25">
      <c r="A1187" s="6">
        <v>46159</v>
      </c>
      <c r="B1187" s="7">
        <v>3</v>
      </c>
      <c r="C1187" s="7" t="s">
        <v>26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6" t="s">
        <v>104</v>
      </c>
    </row>
    <row r="1188" spans="1:10" x14ac:dyDescent="0.25">
      <c r="A1188" s="6">
        <v>46159</v>
      </c>
      <c r="B1188" s="7">
        <v>1</v>
      </c>
      <c r="C1188" s="7" t="s">
        <v>29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6" t="s">
        <v>104</v>
      </c>
    </row>
    <row r="1189" spans="1:10" x14ac:dyDescent="0.25">
      <c r="A1189" s="6">
        <v>46159</v>
      </c>
      <c r="B1189" s="7">
        <v>2</v>
      </c>
      <c r="C1189" s="7" t="s">
        <v>136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6" t="s">
        <v>104</v>
      </c>
    </row>
    <row r="1190" spans="1:10" x14ac:dyDescent="0.25">
      <c r="A1190" s="6">
        <v>46159</v>
      </c>
      <c r="B1190" s="7">
        <v>3</v>
      </c>
      <c r="C1190" s="7" t="s">
        <v>23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6" t="s">
        <v>104</v>
      </c>
    </row>
    <row r="1191" spans="1:10" x14ac:dyDescent="0.25">
      <c r="A1191" s="6">
        <v>46159</v>
      </c>
      <c r="B1191" s="7">
        <v>2</v>
      </c>
      <c r="C1191" s="7" t="s">
        <v>125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6" t="s">
        <v>104</v>
      </c>
    </row>
    <row r="1192" spans="1:10" x14ac:dyDescent="0.25">
      <c r="A1192" s="6">
        <v>46159</v>
      </c>
      <c r="B1192" s="7">
        <v>2</v>
      </c>
      <c r="C1192" s="7" t="s">
        <v>16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6" t="s">
        <v>104</v>
      </c>
    </row>
    <row r="1193" spans="1:10" x14ac:dyDescent="0.25">
      <c r="A1193" s="6">
        <v>46159</v>
      </c>
      <c r="B1193" s="7">
        <v>4</v>
      </c>
      <c r="C1193" s="7" t="s">
        <v>13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10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6" t="s">
        <v>104</v>
      </c>
    </row>
    <row r="1194" spans="1:10" x14ac:dyDescent="0.25">
      <c r="A1194" s="6">
        <v>46159</v>
      </c>
      <c r="B1194" s="7">
        <v>4</v>
      </c>
      <c r="C1194" s="7" t="s">
        <v>44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10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6" t="s">
        <v>104</v>
      </c>
    </row>
    <row r="1195" spans="1:10" x14ac:dyDescent="0.25">
      <c r="A1195" s="6">
        <v>46159</v>
      </c>
      <c r="B1195" s="7">
        <v>3</v>
      </c>
      <c r="C1195" s="7" t="s">
        <v>48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6" t="s">
        <v>104</v>
      </c>
    </row>
    <row r="1196" spans="1:10" x14ac:dyDescent="0.25">
      <c r="A1196" s="6">
        <v>46159</v>
      </c>
      <c r="B1196" s="7">
        <v>3</v>
      </c>
      <c r="C1196" s="7" t="s">
        <v>55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6" t="s">
        <v>104</v>
      </c>
    </row>
    <row r="1197" spans="1:10" x14ac:dyDescent="0.25">
      <c r="A1197" s="6">
        <v>46159</v>
      </c>
      <c r="B1197" s="7">
        <v>3</v>
      </c>
      <c r="C1197" s="7" t="s">
        <v>33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6" t="s">
        <v>104</v>
      </c>
    </row>
    <row r="1198" spans="1:10" x14ac:dyDescent="0.25">
      <c r="A1198" s="6">
        <v>46159</v>
      </c>
      <c r="B1198" s="7">
        <v>1</v>
      </c>
      <c r="C1198" s="7" t="s">
        <v>153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6" t="s">
        <v>104</v>
      </c>
    </row>
    <row r="1199" spans="1:10" x14ac:dyDescent="0.25">
      <c r="A1199" s="6">
        <v>46159</v>
      </c>
      <c r="B1199" s="7">
        <v>3</v>
      </c>
      <c r="C1199" s="7" t="s">
        <v>158</v>
      </c>
      <c r="D1199" s="10" t="str">
        <f>IFERROR(VLOOKUP(_stats[[#This Row],[player_id]],_players[[player_id]:[player_name]],2,0),"")</f>
        <v>Иван (ФИО)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6" t="s">
        <v>104</v>
      </c>
    </row>
    <row r="1200" spans="1:10" x14ac:dyDescent="0.25">
      <c r="A1200" s="6">
        <v>46159</v>
      </c>
      <c r="B1200" s="7">
        <v>2</v>
      </c>
      <c r="C1200" s="7" t="s">
        <v>53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6" t="s">
        <v>104</v>
      </c>
    </row>
    <row r="1201" spans="1:10" x14ac:dyDescent="0.25">
      <c r="A1201" s="6">
        <v>46159</v>
      </c>
      <c r="B1201" s="7">
        <v>2</v>
      </c>
      <c r="C1201" s="7" t="s">
        <v>159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6" t="s">
        <v>104</v>
      </c>
    </row>
    <row r="1202" spans="1:10" x14ac:dyDescent="0.25">
      <c r="A1202" s="6">
        <v>46159</v>
      </c>
      <c r="B1202" s="7">
        <v>1</v>
      </c>
      <c r="C1202" s="7" t="s">
        <v>58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6" t="s">
        <v>104</v>
      </c>
    </row>
    <row r="1203" spans="1:10" x14ac:dyDescent="0.25">
      <c r="A1203" s="6">
        <v>46159</v>
      </c>
      <c r="B1203" s="7">
        <v>2</v>
      </c>
      <c r="C1203" s="7" t="s">
        <v>40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6" t="s">
        <v>104</v>
      </c>
    </row>
    <row r="1204" spans="1:10" x14ac:dyDescent="0.25">
      <c r="A1204" s="6">
        <v>46159</v>
      </c>
      <c r="B1204" s="7">
        <v>2</v>
      </c>
      <c r="C1204" s="7" t="s">
        <v>60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6" t="s">
        <v>104</v>
      </c>
    </row>
    <row r="1205" spans="1:10" x14ac:dyDescent="0.25">
      <c r="A1205" s="6">
        <v>46159</v>
      </c>
      <c r="B1205" s="7">
        <v>1</v>
      </c>
      <c r="C1205" s="7" t="s">
        <v>19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6" t="s">
        <v>104</v>
      </c>
    </row>
    <row r="1206" spans="1:10" x14ac:dyDescent="0.25">
      <c r="A1206" s="6">
        <v>46159</v>
      </c>
      <c r="B1206" s="7">
        <v>1</v>
      </c>
      <c r="C1206" s="7" t="s">
        <v>42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6" t="s">
        <v>104</v>
      </c>
    </row>
    <row r="1207" spans="1:10" x14ac:dyDescent="0.25">
      <c r="A1207" s="6">
        <v>46159</v>
      </c>
      <c r="B1207" s="7">
        <v>1</v>
      </c>
      <c r="C1207" s="7" t="s">
        <v>160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6" t="s">
        <v>104</v>
      </c>
    </row>
    <row r="1208" spans="1:10" x14ac:dyDescent="0.25">
      <c r="A1208" s="6">
        <v>46159</v>
      </c>
      <c r="B1208" s="7">
        <v>2</v>
      </c>
      <c r="C1208" s="7" t="s">
        <v>150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6" t="s">
        <v>104</v>
      </c>
    </row>
    <row r="1209" spans="1:10" x14ac:dyDescent="0.25">
      <c r="A1209" s="6">
        <v>46159</v>
      </c>
      <c r="B1209" s="7">
        <v>4</v>
      </c>
      <c r="C1209" s="7" t="s">
        <v>30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10</v>
      </c>
      <c r="H1209" s="10">
        <f>SUMIFS(_teams[draws_on_date],_teams[date],_stats[[#This Row],[date]],_teams[team_number],_stats[[#This Row],[team_number]])</f>
        <v>1</v>
      </c>
      <c r="I1209" s="10">
        <v>3</v>
      </c>
      <c r="J1209" s="16" t="s">
        <v>104</v>
      </c>
    </row>
    <row r="1210" spans="1:10" x14ac:dyDescent="0.25">
      <c r="A1210" s="6">
        <v>46159</v>
      </c>
      <c r="B1210" s="7">
        <v>3</v>
      </c>
      <c r="C1210" s="7" t="s">
        <v>43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6" t="s">
        <v>104</v>
      </c>
    </row>
    <row r="1211" spans="1:10" x14ac:dyDescent="0.25">
      <c r="A1211" s="6">
        <v>46159</v>
      </c>
      <c r="B1211" s="7">
        <v>3</v>
      </c>
      <c r="C1211" s="7" t="s">
        <v>22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6" t="s">
        <v>104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71"/>
  <sheetViews>
    <sheetView topLeftCell="A138" workbookViewId="0">
      <selection activeCell="E168" sqref="E168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100</v>
      </c>
      <c r="E1" s="5" t="s">
        <v>101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102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102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102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102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102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102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102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102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102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102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102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102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102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102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102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102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102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102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102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102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102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102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102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102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102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102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102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102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102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102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102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102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102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102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102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102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102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102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102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102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102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102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102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102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102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102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102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102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102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102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102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102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102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102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102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102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102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102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102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102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102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102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102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102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102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102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102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102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102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102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102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102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102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102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102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104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104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104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102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102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102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104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104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104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102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102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102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104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104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104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102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102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102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104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104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104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104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104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104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104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104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104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104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104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104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104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104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104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104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104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104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104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104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104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104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104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104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104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104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104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104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104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104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104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104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104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104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104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104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104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104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104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104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104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104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104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104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104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104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104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104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104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104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104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104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104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104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104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104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104</v>
      </c>
    </row>
    <row r="152" spans="1:5" x14ac:dyDescent="0.25">
      <c r="A152" s="13">
        <v>46138</v>
      </c>
      <c r="B152" s="7">
        <v>1</v>
      </c>
      <c r="C152" s="8">
        <v>2</v>
      </c>
      <c r="D152" s="8">
        <v>1</v>
      </c>
      <c r="E152" s="8" t="s">
        <v>104</v>
      </c>
    </row>
    <row r="153" spans="1:5" x14ac:dyDescent="0.25">
      <c r="A153" s="13">
        <v>46138</v>
      </c>
      <c r="B153" s="7">
        <v>2</v>
      </c>
      <c r="C153" s="8">
        <v>9</v>
      </c>
      <c r="D153" s="8">
        <v>1</v>
      </c>
      <c r="E153" s="8" t="s">
        <v>104</v>
      </c>
    </row>
    <row r="154" spans="1:5" x14ac:dyDescent="0.25">
      <c r="A154" s="13">
        <v>46138</v>
      </c>
      <c r="B154" s="7">
        <v>3</v>
      </c>
      <c r="C154" s="8">
        <v>0</v>
      </c>
      <c r="D154" s="8">
        <v>1</v>
      </c>
      <c r="E154" s="8" t="s">
        <v>104</v>
      </c>
    </row>
    <row r="155" spans="1:5" x14ac:dyDescent="0.25">
      <c r="A155" s="13">
        <v>46138</v>
      </c>
      <c r="B155" s="7">
        <v>4</v>
      </c>
      <c r="C155" s="8">
        <v>5</v>
      </c>
      <c r="D155" s="8">
        <v>1</v>
      </c>
      <c r="E155" s="8" t="s">
        <v>104</v>
      </c>
    </row>
    <row r="156" spans="1:5" x14ac:dyDescent="0.25">
      <c r="A156" s="13">
        <v>46142</v>
      </c>
      <c r="B156" s="7">
        <v>1</v>
      </c>
      <c r="C156" s="8">
        <v>6</v>
      </c>
      <c r="D156" s="8">
        <v>0</v>
      </c>
      <c r="E156" s="8" t="s">
        <v>104</v>
      </c>
    </row>
    <row r="157" spans="1:5" x14ac:dyDescent="0.25">
      <c r="A157" s="13">
        <v>46142</v>
      </c>
      <c r="B157" s="7">
        <v>2</v>
      </c>
      <c r="C157" s="8">
        <v>6</v>
      </c>
      <c r="D157" s="8">
        <v>1</v>
      </c>
      <c r="E157" s="8" t="s">
        <v>104</v>
      </c>
    </row>
    <row r="158" spans="1:5" x14ac:dyDescent="0.25">
      <c r="A158" s="13">
        <v>46142</v>
      </c>
      <c r="B158" s="7">
        <v>3</v>
      </c>
      <c r="C158" s="8">
        <v>0</v>
      </c>
      <c r="D158" s="8">
        <v>1</v>
      </c>
      <c r="E158" s="8" t="s">
        <v>104</v>
      </c>
    </row>
    <row r="159" spans="1:5" x14ac:dyDescent="0.25">
      <c r="A159" s="13">
        <v>46145</v>
      </c>
      <c r="B159" s="7">
        <v>1</v>
      </c>
      <c r="C159" s="8">
        <v>4</v>
      </c>
      <c r="D159" s="8">
        <v>1</v>
      </c>
      <c r="E159" s="8" t="s">
        <v>104</v>
      </c>
    </row>
    <row r="160" spans="1:5" x14ac:dyDescent="0.25">
      <c r="A160" s="13">
        <v>46145</v>
      </c>
      <c r="B160" s="7">
        <v>2</v>
      </c>
      <c r="C160" s="8">
        <v>7</v>
      </c>
      <c r="D160" s="8">
        <v>1</v>
      </c>
      <c r="E160" s="8" t="s">
        <v>104</v>
      </c>
    </row>
    <row r="161" spans="1:5" x14ac:dyDescent="0.25">
      <c r="A161" s="13">
        <v>46145</v>
      </c>
      <c r="B161" s="7">
        <v>3</v>
      </c>
      <c r="C161" s="8">
        <v>4</v>
      </c>
      <c r="D161" s="8">
        <v>0</v>
      </c>
      <c r="E161" s="8" t="s">
        <v>104</v>
      </c>
    </row>
    <row r="162" spans="1:5" x14ac:dyDescent="0.25">
      <c r="A162" s="13">
        <v>46145</v>
      </c>
      <c r="B162" s="7">
        <v>4</v>
      </c>
      <c r="C162" s="8">
        <v>1</v>
      </c>
      <c r="D162" s="8">
        <v>0</v>
      </c>
      <c r="E162" s="8" t="s">
        <v>104</v>
      </c>
    </row>
    <row r="163" spans="1:5" x14ac:dyDescent="0.25">
      <c r="A163" s="13">
        <v>46149</v>
      </c>
      <c r="B163" s="7">
        <v>1</v>
      </c>
      <c r="C163" s="8">
        <v>5</v>
      </c>
      <c r="D163" s="8">
        <v>1</v>
      </c>
      <c r="E163" s="8" t="s">
        <v>104</v>
      </c>
    </row>
    <row r="164" spans="1:5" x14ac:dyDescent="0.25">
      <c r="A164" s="13">
        <v>46149</v>
      </c>
      <c r="B164" s="7">
        <v>2</v>
      </c>
      <c r="C164" s="8">
        <v>6</v>
      </c>
      <c r="D164" s="8">
        <v>1</v>
      </c>
      <c r="E164" s="8" t="s">
        <v>104</v>
      </c>
    </row>
    <row r="165" spans="1:5" x14ac:dyDescent="0.25">
      <c r="A165" s="13">
        <v>46156</v>
      </c>
      <c r="B165" s="7">
        <v>1</v>
      </c>
      <c r="C165" s="8">
        <v>4</v>
      </c>
      <c r="D165" s="8">
        <v>1</v>
      </c>
      <c r="E165" s="8" t="s">
        <v>104</v>
      </c>
    </row>
    <row r="166" spans="1:5" x14ac:dyDescent="0.25">
      <c r="A166" s="13">
        <v>46156</v>
      </c>
      <c r="B166" s="7">
        <v>2</v>
      </c>
      <c r="C166" s="8">
        <v>3</v>
      </c>
      <c r="D166" s="8">
        <v>2</v>
      </c>
      <c r="E166" s="8" t="s">
        <v>104</v>
      </c>
    </row>
    <row r="167" spans="1:5" x14ac:dyDescent="0.25">
      <c r="A167" s="13">
        <v>46156</v>
      </c>
      <c r="B167" s="7">
        <v>3</v>
      </c>
      <c r="C167" s="8">
        <v>2</v>
      </c>
      <c r="D167" s="8">
        <v>1</v>
      </c>
      <c r="E167" s="8" t="s">
        <v>104</v>
      </c>
    </row>
    <row r="168" spans="1:5" x14ac:dyDescent="0.25">
      <c r="A168" s="13">
        <v>46159</v>
      </c>
      <c r="B168" s="7">
        <v>1</v>
      </c>
      <c r="C168" s="8">
        <v>3</v>
      </c>
      <c r="D168" s="8">
        <v>1</v>
      </c>
      <c r="E168" s="8" t="s">
        <v>104</v>
      </c>
    </row>
    <row r="169" spans="1:5" x14ac:dyDescent="0.25">
      <c r="A169" s="13">
        <v>46159</v>
      </c>
      <c r="B169" s="7">
        <v>2</v>
      </c>
      <c r="C169" s="8">
        <v>4</v>
      </c>
      <c r="D169" s="8">
        <v>0</v>
      </c>
      <c r="E169" s="8" t="s">
        <v>104</v>
      </c>
    </row>
    <row r="170" spans="1:5" x14ac:dyDescent="0.25">
      <c r="A170" s="13">
        <v>46159</v>
      </c>
      <c r="B170" s="7">
        <v>3</v>
      </c>
      <c r="C170" s="8">
        <v>1</v>
      </c>
      <c r="D170" s="8">
        <v>0</v>
      </c>
      <c r="E170" s="8" t="s">
        <v>104</v>
      </c>
    </row>
    <row r="171" spans="1:5" x14ac:dyDescent="0.25">
      <c r="A171" s="13">
        <v>46159</v>
      </c>
      <c r="B171" s="7">
        <v>4</v>
      </c>
      <c r="C171" s="8">
        <v>10</v>
      </c>
      <c r="D171" s="8">
        <v>1</v>
      </c>
      <c r="E171" s="8" t="s">
        <v>104</v>
      </c>
    </row>
  </sheetData>
  <dataValidations count="1">
    <dataValidation type="list" allowBlank="1" showInputMessage="1" showErrorMessage="1" sqref="B2:B171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2026-05-17T11:17:14Z</dcterms:modified>
</cp:coreProperties>
</file>