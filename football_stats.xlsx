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AF1D3844-1012-4C64-B4ED-C41455AF89EA}" xr6:coauthVersionLast="47" xr6:coauthVersionMax="47" xr10:uidLastSave="{00000000-0000-0000-0000-000000000000}"/>
  <bookViews>
    <workbookView xWindow="12075" yWindow="405" windowWidth="16605" windowHeight="1515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2" i="1" l="1"/>
  <c r="D112" i="1"/>
  <c r="E112" i="1"/>
  <c r="F112" i="1"/>
  <c r="C111" i="1"/>
  <c r="D111" i="1"/>
  <c r="E111" i="1"/>
  <c r="F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2" i="1" l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G104" i="1" s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7" i="1" l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<sst xmlns="http://schemas.openxmlformats.org/spreadsheetml/2006/main" count="2100" uniqueCount="129">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</sst>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12" totalsRowShown="0" headerRowDxfId="35" headerRowBorderDxfId="34" tableBorderDxfId="33" totalsRowBorderDxfId="32">
  <autoFilter ref="A1:G112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866" totalsRowShown="0" headerRowDxfId="24" dataDxfId="22" headerRowBorderDxfId="23" tableBorderDxfId="21" totalsRowBorderDxfId="20">
  <autoFilter ref="A1:J866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27" totalsRowShown="0" headerRowDxfId="9" dataDxfId="7" headerRowBorderDxfId="8" tableBorderDxfId="6" totalsRowBorderDxfId="5">
  <autoFilter ref="A1:E12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12"/>
  <sheetViews>
    <sheetView topLeftCell="A84" workbookViewId="0">
      <selection activeCell="A112" sqref="A11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51</v>
      </c>
      <c r="D3" s="11">
        <f>SUMIFS(_stats[assists_on_date],_stats[player_id],_players[[#This Row],[player_id]])</f>
        <v>39</v>
      </c>
      <c r="E3" s="11">
        <f>SUMIFS(_stats[wins_on_date],_stats[player_id],_players[[#This Row],[player_id]])</f>
        <v>136</v>
      </c>
      <c r="F3" s="12">
        <f>SUMIFS(_stats[draws_on_date],_stats[player_id],_players[[#This Row],[player_id]])</f>
        <v>22</v>
      </c>
      <c r="G3" s="12">
        <f>SUM(_players[[#This Row],[goals]:[draws]])</f>
        <v>248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76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141</v>
      </c>
      <c r="F4" s="17">
        <f>SUMIFS(_stats[draws_on_date],_stats[player_id],_players[[#This Row],[player_id]])</f>
        <v>21</v>
      </c>
      <c r="G4" s="17">
        <f>SUM(_players[[#This Row],[goals]:[draws]])</f>
        <v>262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19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147</v>
      </c>
      <c r="F6" s="17">
        <f>SUMIFS(_stats[draws_on_date],_stats[player_id],_players[[#This Row],[player_id]])</f>
        <v>21</v>
      </c>
      <c r="G6" s="17">
        <f>SUM(_players[[#This Row],[goals]:[draws]])</f>
        <v>202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49</v>
      </c>
      <c r="D7" s="11">
        <f>SUMIFS(_stats[assists_on_date],_stats[player_id],_players[[#This Row],[player_id]])</f>
        <v>34</v>
      </c>
      <c r="E7" s="11">
        <f>SUMIFS(_stats[wins_on_date],_stats[player_id],_players[[#This Row],[player_id]])</f>
        <v>80</v>
      </c>
      <c r="F7" s="12">
        <f>SUMIFS(_stats[draws_on_date],_stats[player_id],_players[[#This Row],[player_id]])</f>
        <v>17</v>
      </c>
      <c r="G7" s="12">
        <f>SUM(_players[[#This Row],[goals]:[draws]])</f>
        <v>180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40</v>
      </c>
      <c r="D12" s="16">
        <f>SUMIFS(_stats[assists_on_date],_stats[player_id],_players[[#This Row],[player_id]])</f>
        <v>49</v>
      </c>
      <c r="E12" s="16">
        <f>SUMIFS(_stats[wins_on_date],_stats[player_id],_players[[#This Row],[player_id]])</f>
        <v>78</v>
      </c>
      <c r="F12" s="17">
        <f>SUMIFS(_stats[draws_on_date],_stats[player_id],_players[[#This Row],[player_id]])</f>
        <v>21</v>
      </c>
      <c r="G12" s="17">
        <f>SUM(_players[[#This Row],[goals]:[draws]])</f>
        <v>188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107</v>
      </c>
      <c r="F14" s="12">
        <f>SUMIFS(_stats[draws_on_date],_stats[player_id],_players[[#This Row],[player_id]])</f>
        <v>14</v>
      </c>
      <c r="G14" s="12">
        <f>SUM(_players[[#This Row],[goals]:[draws]])</f>
        <v>134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25</v>
      </c>
      <c r="F19" s="17">
        <f>SUMIFS(_stats[draws_on_date],_stats[player_id],_players[[#This Row],[player_id]])</f>
        <v>2</v>
      </c>
      <c r="G19" s="17">
        <f>SUM(_players[[#This Row],[goals]:[draws]])</f>
        <v>42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26</v>
      </c>
      <c r="D21" s="11">
        <f>SUMIFS(_stats[assists_on_date],_stats[player_id],_players[[#This Row],[player_id]])</f>
        <v>35</v>
      </c>
      <c r="E21" s="11">
        <f>SUMIFS(_stats[wins_on_date],_stats[player_id],_players[[#This Row],[player_id]])</f>
        <v>85</v>
      </c>
      <c r="F21" s="12">
        <f>SUMIFS(_stats[draws_on_date],_stats[player_id],_players[[#This Row],[player_id]])</f>
        <v>17</v>
      </c>
      <c r="G21" s="12">
        <f>SUM(_players[[#This Row],[goals]:[draws]])</f>
        <v>163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77</v>
      </c>
      <c r="F22" s="17">
        <f>SUMIFS(_stats[draws_on_date],_stats[player_id],_players[[#This Row],[player_id]])</f>
        <v>7</v>
      </c>
      <c r="G22" s="17">
        <f>SUM(_players[[#This Row],[goals]:[draws]])</f>
        <v>89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26</v>
      </c>
      <c r="D23" s="11">
        <f>SUMIFS(_stats[assists_on_date],_stats[player_id],_players[[#This Row],[player_id]])</f>
        <v>29</v>
      </c>
      <c r="E23" s="11">
        <f>SUMIFS(_stats[wins_on_date],_stats[player_id],_players[[#This Row],[player_id]])</f>
        <v>99</v>
      </c>
      <c r="F23" s="12">
        <f>SUMIFS(_stats[draws_on_date],_stats[player_id],_players[[#This Row],[player_id]])</f>
        <v>19</v>
      </c>
      <c r="G23" s="12">
        <f>SUM(_players[[#This Row],[goals]:[draws]])</f>
        <v>173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75</v>
      </c>
      <c r="F25" s="12">
        <f>SUMIFS(_stats[draws_on_date],_stats[player_id],_players[[#This Row],[player_id]])</f>
        <v>20</v>
      </c>
      <c r="G25" s="12">
        <f>SUM(_players[[#This Row],[goals]:[draws]])</f>
        <v>122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11</v>
      </c>
      <c r="E27" s="11">
        <f>SUMIFS(_stats[wins_on_date],_stats[player_id],_players[[#This Row],[player_id]])</f>
        <v>71</v>
      </c>
      <c r="F27" s="12">
        <f>SUMIFS(_stats[draws_on_date],_stats[player_id],_players[[#This Row],[player_id]])</f>
        <v>10</v>
      </c>
      <c r="G27" s="12">
        <f>SUM(_players[[#This Row],[goals]:[draws]])</f>
        <v>103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54</v>
      </c>
      <c r="F28" s="12">
        <f>SUMIFS(_stats[draws_on_date],_stats[player_id],_players[[#This Row],[player_id]])</f>
        <v>16</v>
      </c>
      <c r="G28" s="12">
        <f>SUM(_players[[#This Row],[goals]:[draws]])</f>
        <v>73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4</v>
      </c>
      <c r="D32" s="11">
        <f>SUMIFS(_stats[assists_on_date],_stats[player_id],_players[[#This Row],[player_id]])</f>
        <v>9</v>
      </c>
      <c r="E32" s="11">
        <f>SUMIFS(_stats[wins_on_date],_stats[player_id],_players[[#This Row],[player_id]])</f>
        <v>21</v>
      </c>
      <c r="F32" s="12">
        <f>SUMIFS(_stats[draws_on_date],_stats[player_id],_players[[#This Row],[player_id]])</f>
        <v>5</v>
      </c>
      <c r="G32" s="12">
        <f>SUM(_players[[#This Row],[goals]:[draws]])</f>
        <v>39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3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1</v>
      </c>
      <c r="G33" s="12">
        <f>SUM(_players[[#This Row],[goals]:[draws]])</f>
        <v>23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7</v>
      </c>
      <c r="D35" s="16">
        <f>SUMIFS(_stats[assists_on_date],_stats[player_id],_players[[#This Row],[player_id]])</f>
        <v>7</v>
      </c>
      <c r="E35" s="16">
        <f>SUMIFS(_stats[wins_on_date],_stats[player_id],_players[[#This Row],[player_id]])</f>
        <v>56</v>
      </c>
      <c r="F35" s="17">
        <f>SUMIFS(_stats[draws_on_date],_stats[player_id],_players[[#This Row],[player_id]])</f>
        <v>11</v>
      </c>
      <c r="G35" s="17">
        <f>SUM(_players[[#This Row],[goals]:[draws]])</f>
        <v>81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1</v>
      </c>
      <c r="E37" s="11">
        <f>SUMIFS(_stats[wins_on_date],_stats[player_id],_players[[#This Row],[player_id]])</f>
        <v>37</v>
      </c>
      <c r="F37" s="12">
        <f>SUMIFS(_stats[draws_on_date],_stats[player_id],_players[[#This Row],[player_id]])</f>
        <v>6</v>
      </c>
      <c r="G37" s="12">
        <f>SUM(_players[[#This Row],[goals]:[draws]])</f>
        <v>47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8</v>
      </c>
      <c r="D38" s="11">
        <f>SUMIFS(_stats[assists_on_date],_stats[player_id],_players[[#This Row],[player_id]])</f>
        <v>12</v>
      </c>
      <c r="E38" s="11">
        <f>SUMIFS(_stats[wins_on_date],_stats[player_id],_players[[#This Row],[player_id]])</f>
        <v>41</v>
      </c>
      <c r="F38" s="12">
        <f>SUMIFS(_stats[draws_on_date],_stats[player_id],_players[[#This Row],[player_id]])</f>
        <v>10</v>
      </c>
      <c r="G38" s="12">
        <f>SUM(_players[[#This Row],[goals]:[draws]])</f>
        <v>71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1</v>
      </c>
      <c r="E39" s="11">
        <f>SUMIFS(_stats[wins_on_date],_stats[player_id],_players[[#This Row],[player_id]])</f>
        <v>104</v>
      </c>
      <c r="F39" s="12">
        <f>SUMIFS(_stats[draws_on_date],_stats[player_id],_players[[#This Row],[player_id]])</f>
        <v>26</v>
      </c>
      <c r="G39" s="12">
        <f>SUM(_players[[#This Row],[goals]:[draws]])</f>
        <v>131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17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60</v>
      </c>
      <c r="F41" s="12">
        <f>SUMIFS(_stats[draws_on_date],_stats[player_id],_players[[#This Row],[player_id]])</f>
        <v>13</v>
      </c>
      <c r="G41" s="12">
        <f>SUM(_players[[#This Row],[goals]:[draws]])</f>
        <v>101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1</v>
      </c>
      <c r="D45" s="16">
        <f>SUMIFS(_stats[assists_on_date],_stats[player_id],_players[[#This Row],[player_id]])</f>
        <v>2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21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55</v>
      </c>
      <c r="F48" s="17">
        <f>SUMIFS(_stats[draws_on_date],_stats[player_id],_players[[#This Row],[player_id]])</f>
        <v>13</v>
      </c>
      <c r="G48" s="17">
        <f>SUM(_players[[#This Row],[goals]:[draws]])</f>
        <v>72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21</v>
      </c>
      <c r="F54" s="18">
        <f>SUMIFS(_stats[draws_on_date],_stats[player_id],_players[[#This Row],[player_id]])</f>
        <v>9</v>
      </c>
      <c r="G54" s="18">
        <f>SUM(_players[[#This Row],[goals]:[draws]])</f>
        <v>32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7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28</v>
      </c>
      <c r="F59" s="18">
        <f>SUMIFS(_stats[draws_on_date],_stats[player_id],_players[[#This Row],[player_id]])</f>
        <v>2</v>
      </c>
      <c r="G59" s="18">
        <f>SUM(_players[[#This Row],[goals]:[draws]])</f>
        <v>41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12</v>
      </c>
      <c r="D64" s="10">
        <f>SUMIFS(_stats[assists_on_date],_stats[player_id],_players[[#This Row],[player_id]])</f>
        <v>11</v>
      </c>
      <c r="E64" s="10">
        <f>SUMIFS(_stats[wins_on_date],_stats[player_id],_players[[#This Row],[player_id]])</f>
        <v>49</v>
      </c>
      <c r="F64" s="18">
        <f>SUMIFS(_stats[draws_on_date],_stats[player_id],_players[[#This Row],[player_id]])</f>
        <v>10</v>
      </c>
      <c r="G64" s="18">
        <f>SUM(_players[[#This Row],[goals]:[draws]])</f>
        <v>82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10</v>
      </c>
      <c r="D68" s="7">
        <f>SUMIFS(_stats[assists_on_date],_stats[player_id],_players[[#This Row],[player_id]])</f>
        <v>13</v>
      </c>
      <c r="E68" s="7">
        <f>SUMIFS(_stats[wins_on_date],_stats[player_id],_players[[#This Row],[player_id]])</f>
        <v>31</v>
      </c>
      <c r="F68" s="8">
        <f>SUMIFS(_stats[draws_on_date],_stats[player_id],_players[[#This Row],[player_id]])</f>
        <v>2</v>
      </c>
      <c r="G68" s="8">
        <f>SUM(_players[[#This Row],[goals]:[draws]])</f>
        <v>56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40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57</v>
      </c>
      <c r="F79" s="18">
        <f>SUMIFS(_stats[draws_on_date],_stats[player_id],_players[[#This Row],[player_id]])</f>
        <v>11</v>
      </c>
      <c r="G79" s="18">
        <f>SUM(_players[[#This Row],[goals]:[draws]])</f>
        <v>123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</v>
      </c>
      <c r="F110" s="18">
        <f>SUMIFS(_stats[draws_on_date],_stats[player_id],_players[[#This Row],[player_id]])</f>
        <v>1</v>
      </c>
      <c r="G110" s="18">
        <f>SUM(_players[[#This Row],[goals]:[draws]])</f>
        <v>4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866"/>
  <sheetViews>
    <sheetView tabSelected="1" topLeftCell="A843" workbookViewId="0">
      <selection activeCell="D860" sqref="D860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</sheetData>
  <phoneticPr fontId="5" type="noConversion"/>
  <dataValidations count="1">
    <dataValidation type="list" allowBlank="1" showInputMessage="1" showErrorMessage="1" sqref="C2:C866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27"/>
  <sheetViews>
    <sheetView topLeftCell="A110" workbookViewId="0">
      <selection activeCell="D126" sqref="D126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</sheetData>
  <dataValidations count="1">
    <dataValidation type="list" allowBlank="1" showInputMessage="1" showErrorMessage="1" sqref="B2:B12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2025-11-23T11:16:59Z</dcterms:modified>
</cp:coreProperties>
</file>