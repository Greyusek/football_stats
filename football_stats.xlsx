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2D2A6EC5-CB02-4592-B7D4-E4169C4FE75A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55" i="2" l="1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E137" i="1" s="1"/>
  <c r="H1123" i="2"/>
  <c r="F137" i="1" s="1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E134" i="1" s="1"/>
  <c r="H1080" i="2"/>
  <c r="F134" i="1" s="1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26" i="1" l="1"/>
  <c r="E125" i="1"/>
  <c r="E133" i="1"/>
  <c r="F133" i="1"/>
  <c r="G137" i="1"/>
  <c r="F124" i="1"/>
  <c r="G124" i="1" s="1"/>
  <c r="G138" i="1"/>
  <c r="G136" i="1"/>
  <c r="G135" i="1"/>
  <c r="F125" i="1"/>
  <c r="G134" i="1"/>
  <c r="G132" i="1"/>
  <c r="E121" i="1"/>
  <c r="F123" i="1"/>
  <c r="E123" i="1"/>
  <c r="G131" i="1"/>
  <c r="G130" i="1"/>
  <c r="G129" i="1"/>
  <c r="F121" i="1"/>
  <c r="F126" i="1"/>
  <c r="G126" i="1" s="1"/>
  <c r="F120" i="1"/>
  <c r="F122" i="1"/>
  <c r="E122" i="1"/>
  <c r="G128" i="1"/>
  <c r="G127" i="1"/>
  <c r="E120" i="1"/>
  <c r="G119" i="1"/>
  <c r="G118" i="1"/>
  <c r="G133" i="1" l="1"/>
  <c r="G125" i="1"/>
  <c r="G121" i="1"/>
  <c r="G123" i="1"/>
  <c r="G120" i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<sst xmlns="http://schemas.openxmlformats.org/spreadsheetml/2006/main" count="2767" uniqueCount="155">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</sst>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38" totalsRowShown="0" headerRowDxfId="35" headerRowBorderDxfId="34" tableBorderDxfId="33" totalsRowBorderDxfId="32">
  <autoFilter ref="A1:G138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155" totalsRowShown="0" headerRowDxfId="24" dataDxfId="22" headerRowBorderDxfId="23" tableBorderDxfId="21" totalsRowBorderDxfId="20">
  <autoFilter ref="A1:J1155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64" totalsRowShown="0" headerRowDxfId="9" dataDxfId="7" headerRowBorderDxfId="8" tableBorderDxfId="6" totalsRowBorderDxfId="5">
  <autoFilter ref="A1:E164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38"/>
  <sheetViews>
    <sheetView topLeftCell="A35" workbookViewId="0">
      <selection activeCell="A21" sqref="A21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83</v>
      </c>
      <c r="D2" s="19">
        <f>SUMIFS(_stats[assists_on_date],_stats[player_id],_players[[#This Row],[player_id]])</f>
        <v>33</v>
      </c>
      <c r="E2" s="19">
        <f>SUMIFS(_stats[wins_on_date],_stats[player_id],_players[[#This Row],[player_id]])</f>
        <v>104</v>
      </c>
      <c r="F2" s="20">
        <f>SUMIFS(_stats[draws_on_date],_stats[player_id],_players[[#This Row],[player_id]])</f>
        <v>11</v>
      </c>
      <c r="G2" s="20">
        <f>SUM(_players[[#This Row],[goals]:[draws]])</f>
        <v>231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156</v>
      </c>
      <c r="F3" s="12">
        <f>SUMIFS(_stats[draws_on_date],_stats[player_id],_players[[#This Row],[player_id]])</f>
        <v>33</v>
      </c>
      <c r="G3" s="12">
        <f>SUM(_players[[#This Row],[goals]:[draws]])</f>
        <v>286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165</v>
      </c>
      <c r="F4" s="17">
        <f>SUMIFS(_stats[draws_on_date],_stats[player_id],_players[[#This Row],[player_id]])</f>
        <v>35</v>
      </c>
      <c r="G4" s="17">
        <f>SUM(_players[[#This Row],[goals]:[draws]])</f>
        <v>306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27</v>
      </c>
      <c r="E5" s="21">
        <f>SUMIFS(_stats[wins_on_date],_stats[player_id],_players[[#This Row],[player_id]])</f>
        <v>97</v>
      </c>
      <c r="F5" s="22">
        <f>SUMIFS(_stats[draws_on_date],_stats[player_id],_players[[#This Row],[player_id]])</f>
        <v>8</v>
      </c>
      <c r="G5" s="22">
        <f>SUM(_players[[#This Row],[goals]:[draws]])</f>
        <v>148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25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177</v>
      </c>
      <c r="F6" s="17">
        <f>SUMIFS(_stats[draws_on_date],_stats[player_id],_players[[#This Row],[player_id]])</f>
        <v>37</v>
      </c>
      <c r="G6" s="17">
        <f>SUM(_players[[#This Row],[goals]:[draws]])</f>
        <v>256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56</v>
      </c>
      <c r="D7" s="11">
        <f>SUMIFS(_stats[assists_on_date],_stats[player_id],_players[[#This Row],[player_id]])</f>
        <v>37</v>
      </c>
      <c r="E7" s="11">
        <f>SUMIFS(_stats[wins_on_date],_stats[player_id],_players[[#This Row],[player_id]])</f>
        <v>94</v>
      </c>
      <c r="F7" s="12">
        <f>SUMIFS(_stats[draws_on_date],_stats[player_id],_players[[#This Row],[player_id]])</f>
        <v>24</v>
      </c>
      <c r="G7" s="12">
        <f>SUM(_players[[#This Row],[goals]:[draws]])</f>
        <v>211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37</v>
      </c>
      <c r="D8" s="11">
        <f>SUMIFS(_stats[assists_on_date],_stats[player_id],_players[[#This Row],[player_id]])</f>
        <v>25</v>
      </c>
      <c r="E8" s="11">
        <f>SUMIFS(_stats[wins_on_date],_stats[player_id],_players[[#This Row],[player_id]])</f>
        <v>143</v>
      </c>
      <c r="F8" s="12">
        <f>SUMIFS(_stats[draws_on_date],_stats[player_id],_players[[#This Row],[player_id]])</f>
        <v>34</v>
      </c>
      <c r="G8" s="12">
        <f>SUM(_players[[#This Row],[goals]:[draws]])</f>
        <v>239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61</v>
      </c>
      <c r="D12" s="16">
        <f>SUMIFS(_stats[assists_on_date],_stats[player_id],_players[[#This Row],[player_id]])</f>
        <v>70</v>
      </c>
      <c r="E12" s="16">
        <f>SUMIFS(_stats[wins_on_date],_stats[player_id],_players[[#This Row],[player_id]])</f>
        <v>124</v>
      </c>
      <c r="F12" s="17">
        <f>SUMIFS(_stats[draws_on_date],_stats[player_id],_players[[#This Row],[player_id]])</f>
        <v>36</v>
      </c>
      <c r="G12" s="17">
        <f>SUM(_players[[#This Row],[goals]:[draws]])</f>
        <v>291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137</v>
      </c>
      <c r="F14" s="12">
        <f>SUMIFS(_stats[draws_on_date],_stats[player_id],_players[[#This Row],[player_id]])</f>
        <v>32</v>
      </c>
      <c r="G14" s="12">
        <f>SUM(_players[[#This Row],[goals]:[draws]])</f>
        <v>186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16</v>
      </c>
      <c r="D15" s="11">
        <f>SUMIFS(_stats[assists_on_date],_stats[player_id],_players[[#This Row],[player_id]])</f>
        <v>30</v>
      </c>
      <c r="E15" s="11">
        <f>SUMIFS(_stats[wins_on_date],_stats[player_id],_players[[#This Row],[player_id]])</f>
        <v>62</v>
      </c>
      <c r="F15" s="12">
        <f>SUMIFS(_stats[draws_on_date],_stats[player_id],_players[[#This Row],[player_id]])</f>
        <v>5</v>
      </c>
      <c r="G15" s="12">
        <f>SUM(_players[[#This Row],[goals]:[draws]])</f>
        <v>113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16</v>
      </c>
      <c r="D16" s="11">
        <f>SUMIFS(_stats[assists_on_date],_stats[player_id],_players[[#This Row],[player_id]])</f>
        <v>24</v>
      </c>
      <c r="E16" s="11">
        <f>SUMIFS(_stats[wins_on_date],_stats[player_id],_players[[#This Row],[player_id]])</f>
        <v>53</v>
      </c>
      <c r="F16" s="12">
        <f>SUMIFS(_stats[draws_on_date],_stats[player_id],_players[[#This Row],[player_id]])</f>
        <v>4</v>
      </c>
      <c r="G16" s="12">
        <f>SUM(_players[[#This Row],[goals]:[draws]])</f>
        <v>97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53</v>
      </c>
      <c r="F17" s="12">
        <f>SUMIFS(_stats[draws_on_date],_stats[player_id],_players[[#This Row],[player_id]])</f>
        <v>11</v>
      </c>
      <c r="G17" s="12">
        <f>SUM(_players[[#This Row],[goals]:[draws]])</f>
        <v>89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38</v>
      </c>
      <c r="D18" s="11">
        <f>SUMIFS(_stats[assists_on_date],_stats[player_id],_players[[#This Row],[player_id]])</f>
        <v>32</v>
      </c>
      <c r="E18" s="11">
        <f>SUMIFS(_stats[wins_on_date],_stats[player_id],_players[[#This Row],[player_id]])</f>
        <v>96</v>
      </c>
      <c r="F18" s="12">
        <f>SUMIFS(_stats[draws_on_date],_stats[player_id],_players[[#This Row],[player_id]])</f>
        <v>10</v>
      </c>
      <c r="G18" s="12">
        <f>SUM(_players[[#This Row],[goals]:[draws]])</f>
        <v>176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SUM(_players[[#This Row],[goals]:[draws]])</f>
        <v>44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101</v>
      </c>
      <c r="F20" s="12">
        <f>SUMIFS(_stats[draws_on_date],_stats[player_id],_players[[#This Row],[player_id]])</f>
        <v>20</v>
      </c>
      <c r="G20" s="12">
        <f>SUM(_players[[#This Row],[goals]:[draws]])</f>
        <v>157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36</v>
      </c>
      <c r="D21" s="11">
        <f>SUMIFS(_stats[assists_on_date],_stats[player_id],_players[[#This Row],[player_id]])</f>
        <v>42</v>
      </c>
      <c r="E21" s="11">
        <f>SUMIFS(_stats[wins_on_date],_stats[player_id],_players[[#This Row],[player_id]])</f>
        <v>115</v>
      </c>
      <c r="F21" s="12">
        <f>SUMIFS(_stats[draws_on_date],_stats[player_id],_players[[#This Row],[player_id]])</f>
        <v>29</v>
      </c>
      <c r="G21" s="12">
        <f>SUM(_players[[#This Row],[goals]:[draws]])</f>
        <v>222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5</v>
      </c>
      <c r="E22" s="16">
        <f>SUMIFS(_stats[wins_on_date],_stats[player_id],_players[[#This Row],[player_id]])</f>
        <v>101</v>
      </c>
      <c r="F22" s="17">
        <f>SUMIFS(_stats[draws_on_date],_stats[player_id],_players[[#This Row],[player_id]])</f>
        <v>18</v>
      </c>
      <c r="G22" s="17">
        <f>SUM(_players[[#This Row],[goals]:[draws]])</f>
        <v>128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31</v>
      </c>
      <c r="D23" s="11">
        <f>SUMIFS(_stats[assists_on_date],_stats[player_id],_players[[#This Row],[player_id]])</f>
        <v>35</v>
      </c>
      <c r="E23" s="11">
        <f>SUMIFS(_stats[wins_on_date],_stats[player_id],_players[[#This Row],[player_id]])</f>
        <v>107</v>
      </c>
      <c r="F23" s="12">
        <f>SUMIFS(_stats[draws_on_date],_stats[player_id],_players[[#This Row],[player_id]])</f>
        <v>23</v>
      </c>
      <c r="G23" s="12">
        <f>SUM(_players[[#This Row],[goals]:[draws]])</f>
        <v>196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14</v>
      </c>
      <c r="D25" s="11">
        <f>SUMIFS(_stats[assists_on_date],_stats[player_id],_players[[#This Row],[player_id]])</f>
        <v>20</v>
      </c>
      <c r="E25" s="11">
        <f>SUMIFS(_stats[wins_on_date],_stats[player_id],_players[[#This Row],[player_id]])</f>
        <v>101</v>
      </c>
      <c r="F25" s="12">
        <f>SUMIFS(_stats[draws_on_date],_stats[player_id],_players[[#This Row],[player_id]])</f>
        <v>30</v>
      </c>
      <c r="G25" s="12">
        <f>SUM(_players[[#This Row],[goals]:[draws]])</f>
        <v>165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17</v>
      </c>
      <c r="E27" s="11">
        <f>SUMIFS(_stats[wins_on_date],_stats[player_id],_players[[#This Row],[player_id]])</f>
        <v>84</v>
      </c>
      <c r="F27" s="12">
        <f>SUMIFS(_stats[draws_on_date],_stats[player_id],_players[[#This Row],[player_id]])</f>
        <v>16</v>
      </c>
      <c r="G27" s="12">
        <f>SUM(_players[[#This Row],[goals]:[draws]])</f>
        <v>129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SUM(_players[[#This Row],[goals]:[draws]])</f>
        <v>71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5</v>
      </c>
      <c r="G31" s="17">
        <f>SUM(_players[[#This Row],[goals]:[draws]])</f>
        <v>70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SUM(_players[[#This Row],[goals]:[draws]])</f>
        <v>71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12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72</v>
      </c>
      <c r="F35" s="17">
        <f>SUMIFS(_stats[draws_on_date],_stats[player_id],_players[[#This Row],[player_id]])</f>
        <v>23</v>
      </c>
      <c r="G35" s="17">
        <f>SUM(_players[[#This Row],[goals]:[draws]])</f>
        <v>117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SUM(_players[[#This Row],[goals]:[draws]])</f>
        <v>81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13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56</v>
      </c>
      <c r="F38" s="12">
        <f>SUMIFS(_stats[draws_on_date],_stats[player_id],_players[[#This Row],[player_id]])</f>
        <v>19</v>
      </c>
      <c r="G38" s="12">
        <f>SUM(_players[[#This Row],[goals]:[draws]])</f>
        <v>102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140</v>
      </c>
      <c r="F39" s="12">
        <f>SUMIFS(_stats[draws_on_date],_stats[player_id],_players[[#This Row],[player_id]])</f>
        <v>44</v>
      </c>
      <c r="G39" s="12">
        <f>SUM(_players[[#This Row],[goals]:[draws]])</f>
        <v>186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72</v>
      </c>
      <c r="F41" s="12">
        <f>SUMIFS(_stats[draws_on_date],_stats[player_id],_players[[#This Row],[player_id]])</f>
        <v>24</v>
      </c>
      <c r="G41" s="12">
        <f>SUM(_players[[#This Row],[goals]:[draws]])</f>
        <v>134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13</v>
      </c>
      <c r="D42" s="16">
        <f>SUMIFS(_stats[assists_on_date],_stats[player_id],_players[[#This Row],[player_id]])</f>
        <v>10</v>
      </c>
      <c r="E42" s="16">
        <f>SUMIFS(_stats[wins_on_date],_stats[player_id],_players[[#This Row],[player_id]])</f>
        <v>46</v>
      </c>
      <c r="F42" s="17">
        <f>SUMIFS(_stats[draws_on_date],_stats[player_id],_players[[#This Row],[player_id]])</f>
        <v>11</v>
      </c>
      <c r="G42" s="17">
        <f>SUM(_players[[#This Row],[goals]:[draws]])</f>
        <v>80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34</v>
      </c>
      <c r="F43" s="12">
        <f>SUMIFS(_stats[draws_on_date],_stats[player_id],_players[[#This Row],[player_id]])</f>
        <v>10</v>
      </c>
      <c r="G43" s="12">
        <f>SUM(_players[[#This Row],[goals]:[draws]])</f>
        <v>59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SUM(_players[[#This Row],[goals]:[draws]])</f>
        <v>91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SUM(_players[[#This Row],[goals]:[draws]])</f>
        <v>13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SUM(_players[[#This Row],[goals]:[draws]])</f>
        <v>19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12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35</v>
      </c>
      <c r="F59" s="18">
        <f>SUMIFS(_stats[draws_on_date],_stats[player_id],_players[[#This Row],[player_id]])</f>
        <v>7</v>
      </c>
      <c r="G59" s="18">
        <f>SUM(_players[[#This Row],[goals]:[draws]])</f>
        <v>58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19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81</v>
      </c>
      <c r="F64" s="18">
        <f>SUMIFS(_stats[draws_on_date],_stats[player_id],_players[[#This Row],[player_id]])</f>
        <v>22</v>
      </c>
      <c r="G64" s="18">
        <f>SUM(_players[[#This Row],[goals]:[draws]])</f>
        <v>139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8</v>
      </c>
      <c r="G68" s="8">
        <f>SUM(_players[[#This Row],[goals]:[draws]])</f>
        <v>76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SUM(_players[[#This Row],[goals]:[draws]])</f>
        <v>9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37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SUM(_players[[#This Row],[goals]:[draws]])</f>
        <v>105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SUM(_players[[#This Row],[goals]:[draws]])</f>
        <v>157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18</v>
      </c>
      <c r="F84" s="18">
        <f>SUMIFS(_stats[draws_on_date],_stats[player_id],_players[[#This Row],[player_id]])</f>
        <v>2</v>
      </c>
      <c r="G84" s="18">
        <f>SUM(_players[[#This Row],[goals]:[draws]])</f>
        <v>28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16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31</v>
      </c>
      <c r="F87" s="18">
        <f>SUMIFS(_stats[draws_on_date],_stats[player_id],_players[[#This Row],[player_id]])</f>
        <v>10</v>
      </c>
      <c r="G87" s="18">
        <f>SUM(_players[[#This Row],[goals]:[draws]])</f>
        <v>65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SUM(_players[[#This Row],[goals]:[draws]])</f>
        <v>15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SUM(_players[[#This Row],[goals]:[draws]])</f>
        <v>39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SUM(_players[[#This Row],[goals]:[draws]])</f>
        <v>19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25</v>
      </c>
      <c r="F110" s="18">
        <f>SUMIFS(_stats[draws_on_date],_stats[player_id],_players[[#This Row],[player_id]])</f>
        <v>10</v>
      </c>
      <c r="G110" s="18">
        <f>SUM(_players[[#This Row],[goals]:[draws]])</f>
        <v>35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17</v>
      </c>
      <c r="F120" s="18">
        <f>SUMIFS(_stats[draws_on_date],_stats[player_id],_players[[#This Row],[player_id]])</f>
        <v>7</v>
      </c>
      <c r="G120" s="18">
        <f>SUM(_players[[#This Row],[goals]:[draws]])</f>
        <v>34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12</v>
      </c>
      <c r="D121" s="10">
        <f>SUMIFS(_stats[assists_on_date],_stats[player_id],_players[[#This Row],[player_id]])</f>
        <v>8</v>
      </c>
      <c r="E121" s="10">
        <f>SUMIFS(_stats[wins_on_date],_stats[player_id],_players[[#This Row],[player_id]])</f>
        <v>37</v>
      </c>
      <c r="F121" s="18">
        <f>SUMIFS(_stats[draws_on_date],_stats[player_id],_players[[#This Row],[player_id]])</f>
        <v>12</v>
      </c>
      <c r="G121" s="18">
        <f>SUM(_players[[#This Row],[goals]:[draws]])</f>
        <v>69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SUM(_players[[#This Row],[goals]:[draws]])</f>
        <v>12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SUM(_players[[#This Row],[goals]:[draws]])</f>
        <v>15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2</v>
      </c>
      <c r="E126" s="10">
        <f>SUMIFS(_stats[wins_on_date],_stats[player_id],_players[[#This Row],[player_id]])</f>
        <v>7</v>
      </c>
      <c r="F126" s="18">
        <f>SUMIFS(_stats[draws_on_date],_stats[player_id],_players[[#This Row],[player_id]])</f>
        <v>3</v>
      </c>
      <c r="G126" s="18">
        <f>SUM(_players[[#This Row],[goals]:[draws]])</f>
        <v>16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SUM(_players[[#This Row],[goals]:[draws]])</f>
        <v>10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  <row r="132" spans="1:7" x14ac:dyDescent="0.25">
      <c r="A132" s="36" t="s">
        <v>148</v>
      </c>
      <c r="B132" s="36" t="s">
        <v>148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SUM(_players[[#This Row],[goals]:[draws]])</f>
        <v>6</v>
      </c>
    </row>
    <row r="133" spans="1:7" x14ac:dyDescent="0.25">
      <c r="A133" s="36" t="s">
        <v>149</v>
      </c>
      <c r="B133" s="36" t="s">
        <v>149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SUM(_players[[#This Row],[goals]:[draws]])</f>
        <v>18</v>
      </c>
    </row>
    <row r="134" spans="1:7" x14ac:dyDescent="0.25">
      <c r="A134" s="36" t="s">
        <v>150</v>
      </c>
      <c r="B134" s="36" t="s">
        <v>150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7</v>
      </c>
      <c r="F134" s="18">
        <f>SUMIFS(_stats[draws_on_date],_stats[player_id],_players[[#This Row],[player_id]])</f>
        <v>2</v>
      </c>
      <c r="G134" s="18">
        <f>SUM(_players[[#This Row],[goals]:[draws]])</f>
        <v>9</v>
      </c>
    </row>
    <row r="135" spans="1:7" x14ac:dyDescent="0.25">
      <c r="A135" s="36" t="s">
        <v>151</v>
      </c>
      <c r="B135" s="36" t="s">
        <v>151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SUM(_players[[#This Row],[goals]:[draws]])</f>
        <v>1</v>
      </c>
    </row>
    <row r="136" spans="1:7" x14ac:dyDescent="0.25">
      <c r="A136" s="36" t="s">
        <v>152</v>
      </c>
      <c r="B136" s="36" t="s">
        <v>152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SUM(_players[[#This Row],[goals]:[draws]])</f>
        <v>8</v>
      </c>
    </row>
    <row r="137" spans="1:7" x14ac:dyDescent="0.25">
      <c r="A137" s="36" t="s">
        <v>153</v>
      </c>
      <c r="B137" s="36" t="s">
        <v>153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7</v>
      </c>
      <c r="F137" s="18">
        <f>SUMIFS(_stats[draws_on_date],_stats[player_id],_players[[#This Row],[player_id]])</f>
        <v>1</v>
      </c>
      <c r="G137" s="18">
        <f>SUM(_players[[#This Row],[goals]:[draws]])</f>
        <v>10</v>
      </c>
    </row>
    <row r="138" spans="1:7" x14ac:dyDescent="0.25">
      <c r="A138" s="36" t="s">
        <v>154</v>
      </c>
      <c r="B138" s="36" t="s">
        <v>154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SUM(_players[[#This Row],[goals]:[draws]])</f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155"/>
  <sheetViews>
    <sheetView topLeftCell="A1123" workbookViewId="0">
      <selection activeCell="F1150" sqref="F1150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  <row r="1051" spans="1:10" x14ac:dyDescent="0.25">
      <c r="A1051" s="6">
        <v>46138</v>
      </c>
      <c r="B1051" s="7">
        <v>2</v>
      </c>
      <c r="C1051" s="7" t="s">
        <v>45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6" t="s">
        <v>104</v>
      </c>
    </row>
    <row r="1052" spans="1:10" x14ac:dyDescent="0.25">
      <c r="A1052" s="6">
        <v>46138</v>
      </c>
      <c r="B1052" s="7">
        <v>1</v>
      </c>
      <c r="C1052" s="7" t="s">
        <v>135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6" t="s">
        <v>104</v>
      </c>
    </row>
    <row r="1053" spans="1:10" x14ac:dyDescent="0.25">
      <c r="A1053" s="6">
        <v>46138</v>
      </c>
      <c r="B1053" s="7">
        <v>1</v>
      </c>
      <c r="C1053" s="7" t="s">
        <v>147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6" t="s">
        <v>104</v>
      </c>
    </row>
    <row r="1054" spans="1:10" x14ac:dyDescent="0.25">
      <c r="A1054" s="6">
        <v>46138</v>
      </c>
      <c r="B1054" s="7">
        <v>2</v>
      </c>
      <c r="C1054" s="7" t="s">
        <v>43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6" t="s">
        <v>104</v>
      </c>
    </row>
    <row r="1055" spans="1:10" x14ac:dyDescent="0.25">
      <c r="A1055" s="6">
        <v>46138</v>
      </c>
      <c r="B1055" s="7">
        <v>1</v>
      </c>
      <c r="C1055" s="7" t="s">
        <v>18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6" t="s">
        <v>104</v>
      </c>
    </row>
    <row r="1056" spans="1:10" x14ac:dyDescent="0.25">
      <c r="A1056" s="6">
        <v>46138</v>
      </c>
      <c r="B1056" s="7">
        <v>1</v>
      </c>
      <c r="C1056" s="7" t="s">
        <v>80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6" t="s">
        <v>104</v>
      </c>
    </row>
    <row r="1057" spans="1:10" x14ac:dyDescent="0.25">
      <c r="A1057" s="6">
        <v>46138</v>
      </c>
      <c r="B1057" s="7">
        <v>4</v>
      </c>
      <c r="C1057" s="7" t="s">
        <v>19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6" t="s">
        <v>104</v>
      </c>
    </row>
    <row r="1058" spans="1:10" x14ac:dyDescent="0.25">
      <c r="A1058" s="6">
        <v>46138</v>
      </c>
      <c r="B1058" s="7">
        <v>1</v>
      </c>
      <c r="C1058" s="7" t="s">
        <v>20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6" t="s">
        <v>104</v>
      </c>
    </row>
    <row r="1059" spans="1:10" x14ac:dyDescent="0.25">
      <c r="A1059" s="6">
        <v>46138</v>
      </c>
      <c r="B1059" s="7">
        <v>3</v>
      </c>
      <c r="C1059" s="7" t="s">
        <v>23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6" t="s">
        <v>104</v>
      </c>
    </row>
    <row r="1060" spans="1:10" x14ac:dyDescent="0.25">
      <c r="A1060" s="6">
        <v>46138</v>
      </c>
      <c r="B1060" s="7">
        <v>3</v>
      </c>
      <c r="C1060" s="7" t="s">
        <v>26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6" t="s">
        <v>104</v>
      </c>
    </row>
    <row r="1061" spans="1:10" x14ac:dyDescent="0.25">
      <c r="A1061" s="6">
        <v>46138</v>
      </c>
      <c r="B1061" s="7">
        <v>2</v>
      </c>
      <c r="C1061" s="7" t="s">
        <v>53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6" t="s">
        <v>104</v>
      </c>
    </row>
    <row r="1062" spans="1:10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6" t="s">
        <v>104</v>
      </c>
    </row>
    <row r="1063" spans="1:10" x14ac:dyDescent="0.25">
      <c r="A1063" s="6">
        <v>46138</v>
      </c>
      <c r="B1063" s="7">
        <v>2</v>
      </c>
      <c r="C1063" s="7" t="s">
        <v>35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6" t="s">
        <v>104</v>
      </c>
    </row>
    <row r="1064" spans="1:10" x14ac:dyDescent="0.25">
      <c r="A1064" s="6">
        <v>46138</v>
      </c>
      <c r="B1064" s="7">
        <v>4</v>
      </c>
      <c r="C1064" s="7" t="s">
        <v>140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6" t="s">
        <v>104</v>
      </c>
    </row>
    <row r="1065" spans="1:10" x14ac:dyDescent="0.25">
      <c r="A1065" s="6">
        <v>46138</v>
      </c>
      <c r="B1065" s="7">
        <v>4</v>
      </c>
      <c r="C1065" s="7" t="s">
        <v>148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6" t="s">
        <v>104</v>
      </c>
    </row>
    <row r="1066" spans="1:10" x14ac:dyDescent="0.25">
      <c r="A1066" s="6">
        <v>46138</v>
      </c>
      <c r="B1066" s="7">
        <v>4</v>
      </c>
      <c r="C1066" s="7" t="s">
        <v>145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6" t="s">
        <v>104</v>
      </c>
    </row>
    <row r="1067" spans="1:10" x14ac:dyDescent="0.25">
      <c r="A1067" s="6">
        <v>46138</v>
      </c>
      <c r="B1067" s="7">
        <v>2</v>
      </c>
      <c r="C1067" s="7" t="s">
        <v>125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6" t="s">
        <v>104</v>
      </c>
    </row>
    <row r="1068" spans="1:10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6" t="s">
        <v>104</v>
      </c>
    </row>
    <row r="1069" spans="1:10" x14ac:dyDescent="0.25">
      <c r="A1069" s="6">
        <v>46138</v>
      </c>
      <c r="B1069" s="7">
        <v>1</v>
      </c>
      <c r="C1069" s="7" t="s">
        <v>16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6" t="s">
        <v>104</v>
      </c>
    </row>
    <row r="1070" spans="1:10" x14ac:dyDescent="0.25">
      <c r="A1070" s="6">
        <v>46138</v>
      </c>
      <c r="B1070" s="7">
        <v>4</v>
      </c>
      <c r="C1070" s="7" t="s">
        <v>149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6" t="s">
        <v>104</v>
      </c>
    </row>
    <row r="1071" spans="1:10" x14ac:dyDescent="0.25">
      <c r="A1071" s="6">
        <v>46138</v>
      </c>
      <c r="B1071" s="7">
        <v>4</v>
      </c>
      <c r="C1071" s="7" t="s">
        <v>27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6" t="s">
        <v>104</v>
      </c>
    </row>
    <row r="1072" spans="1:10" x14ac:dyDescent="0.25">
      <c r="A1072" s="6">
        <v>46138</v>
      </c>
      <c r="B1072" s="7">
        <v>4</v>
      </c>
      <c r="C1072" s="7" t="s">
        <v>97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6" t="s">
        <v>104</v>
      </c>
    </row>
    <row r="1073" spans="1:10" x14ac:dyDescent="0.25">
      <c r="A1073" s="6">
        <v>46138</v>
      </c>
      <c r="B1073" s="7">
        <v>2</v>
      </c>
      <c r="C1073" s="7" t="s">
        <v>60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6" t="s">
        <v>104</v>
      </c>
    </row>
    <row r="1074" spans="1:10" x14ac:dyDescent="0.25">
      <c r="A1074" s="6">
        <v>46138</v>
      </c>
      <c r="B1074" s="7">
        <v>3</v>
      </c>
      <c r="C1074" s="7" t="s">
        <v>33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6" t="s">
        <v>104</v>
      </c>
    </row>
    <row r="1075" spans="1:10" x14ac:dyDescent="0.25">
      <c r="A1075" s="6">
        <v>46138</v>
      </c>
      <c r="B1075" s="7">
        <v>3</v>
      </c>
      <c r="C1075" s="7" t="s">
        <v>52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6" t="s">
        <v>104</v>
      </c>
    </row>
    <row r="1076" spans="1:10" x14ac:dyDescent="0.25">
      <c r="A1076" s="6">
        <v>46138</v>
      </c>
      <c r="B1076" s="7">
        <v>4</v>
      </c>
      <c r="C1076" s="7" t="s">
        <v>42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6" t="s">
        <v>104</v>
      </c>
    </row>
    <row r="1077" spans="1:10" x14ac:dyDescent="0.25">
      <c r="A1077" s="6">
        <v>46138</v>
      </c>
      <c r="B1077" s="7">
        <v>2</v>
      </c>
      <c r="C1077" s="7" t="s">
        <v>136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6" t="s">
        <v>104</v>
      </c>
    </row>
    <row r="1078" spans="1:10" x14ac:dyDescent="0.25">
      <c r="A1078" s="6">
        <v>46138</v>
      </c>
      <c r="B1078" s="7">
        <v>3</v>
      </c>
      <c r="C1078" s="7" t="s">
        <v>24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6" t="s">
        <v>104</v>
      </c>
    </row>
    <row r="1079" spans="1:10" x14ac:dyDescent="0.25">
      <c r="A1079" s="6">
        <v>46138</v>
      </c>
      <c r="B1079" s="7">
        <v>3</v>
      </c>
      <c r="C1079" s="7" t="s">
        <v>121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6" t="s">
        <v>104</v>
      </c>
    </row>
    <row r="1080" spans="1:10" x14ac:dyDescent="0.25">
      <c r="A1080" s="6">
        <v>46138</v>
      </c>
      <c r="B1080" s="7">
        <v>3</v>
      </c>
      <c r="C1080" s="7" t="s">
        <v>150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6" t="s">
        <v>104</v>
      </c>
    </row>
    <row r="1081" spans="1:10" x14ac:dyDescent="0.25">
      <c r="A1081" s="6">
        <v>46142</v>
      </c>
      <c r="B1081" s="7">
        <v>2</v>
      </c>
      <c r="C1081" s="7" t="s">
        <v>22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6" t="s">
        <v>104</v>
      </c>
    </row>
    <row r="1082" spans="1:10" x14ac:dyDescent="0.25">
      <c r="A1082" s="6">
        <v>46142</v>
      </c>
      <c r="B1082" s="7">
        <v>2</v>
      </c>
      <c r="C1082" s="7" t="s">
        <v>95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6" t="s">
        <v>104</v>
      </c>
    </row>
    <row r="1083" spans="1:10" x14ac:dyDescent="0.25">
      <c r="A1083" s="6">
        <v>46142</v>
      </c>
      <c r="B1083" s="7">
        <v>1</v>
      </c>
      <c r="C1083" s="7" t="s">
        <v>46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6" t="s">
        <v>104</v>
      </c>
    </row>
    <row r="1084" spans="1:10" x14ac:dyDescent="0.25">
      <c r="A1084" s="6">
        <v>46142</v>
      </c>
      <c r="B1084" s="7">
        <v>1</v>
      </c>
      <c r="C1084" s="7" t="s">
        <v>13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6" t="s">
        <v>104</v>
      </c>
    </row>
    <row r="1085" spans="1:10" x14ac:dyDescent="0.25">
      <c r="A1085" s="6">
        <v>46142</v>
      </c>
      <c r="B1085" s="7">
        <v>3</v>
      </c>
      <c r="C1085" s="7" t="s">
        <v>18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6" t="s">
        <v>104</v>
      </c>
    </row>
    <row r="1086" spans="1:10" x14ac:dyDescent="0.25">
      <c r="A1086" s="6">
        <v>46142</v>
      </c>
      <c r="B1086" s="7">
        <v>3</v>
      </c>
      <c r="C1086" s="7" t="s">
        <v>64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6" t="s">
        <v>104</v>
      </c>
    </row>
    <row r="1087" spans="1:10" x14ac:dyDescent="0.25">
      <c r="A1087" s="6">
        <v>46142</v>
      </c>
      <c r="B1087" s="7">
        <v>1</v>
      </c>
      <c r="C1087" s="7" t="s">
        <v>60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6" t="s">
        <v>104</v>
      </c>
    </row>
    <row r="1088" spans="1:10" x14ac:dyDescent="0.25">
      <c r="A1088" s="6">
        <v>46142</v>
      </c>
      <c r="B1088" s="7">
        <v>1</v>
      </c>
      <c r="C1088" s="7" t="s">
        <v>136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6" t="s">
        <v>104</v>
      </c>
    </row>
    <row r="1089" spans="1:10" x14ac:dyDescent="0.25">
      <c r="A1089" s="6">
        <v>46142</v>
      </c>
      <c r="B1089" s="7">
        <v>2</v>
      </c>
      <c r="C1089" s="7" t="s">
        <v>43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6" t="s">
        <v>104</v>
      </c>
    </row>
    <row r="1090" spans="1:10" x14ac:dyDescent="0.25">
      <c r="A1090" s="6">
        <v>46142</v>
      </c>
      <c r="B1090" s="7">
        <v>1</v>
      </c>
      <c r="C1090" s="7" t="s">
        <v>45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6" t="s">
        <v>104</v>
      </c>
    </row>
    <row r="1091" spans="1:10" x14ac:dyDescent="0.25">
      <c r="A1091" s="6">
        <v>46142</v>
      </c>
      <c r="B1091" s="7">
        <v>3</v>
      </c>
      <c r="C1091" s="7" t="s">
        <v>50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6" t="s">
        <v>104</v>
      </c>
    </row>
    <row r="1092" spans="1:10" x14ac:dyDescent="0.25">
      <c r="A1092" s="6">
        <v>46142</v>
      </c>
      <c r="B1092" s="7">
        <v>1</v>
      </c>
      <c r="C1092" s="7" t="s">
        <v>23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6" t="s">
        <v>104</v>
      </c>
    </row>
    <row r="1093" spans="1:10" x14ac:dyDescent="0.25">
      <c r="A1093" s="6">
        <v>46142</v>
      </c>
      <c r="B1093" s="7">
        <v>2</v>
      </c>
      <c r="C1093" s="7" t="s">
        <v>92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6" t="s">
        <v>104</v>
      </c>
    </row>
    <row r="1094" spans="1:10" x14ac:dyDescent="0.25">
      <c r="A1094" s="6">
        <v>46142</v>
      </c>
      <c r="B1094" s="7">
        <v>2</v>
      </c>
      <c r="C1094" s="7" t="s">
        <v>15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6" t="s">
        <v>104</v>
      </c>
    </row>
    <row r="1095" spans="1:10" x14ac:dyDescent="0.25">
      <c r="A1095" s="6">
        <v>46142</v>
      </c>
      <c r="B1095" s="7">
        <v>1</v>
      </c>
      <c r="C1095" s="7" t="s">
        <v>80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6" t="s">
        <v>104</v>
      </c>
    </row>
    <row r="1096" spans="1:10" x14ac:dyDescent="0.25">
      <c r="A1096" s="6">
        <v>46142</v>
      </c>
      <c r="B1096" s="7">
        <v>2</v>
      </c>
      <c r="C1096" s="7" t="s">
        <v>20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6" t="s">
        <v>104</v>
      </c>
    </row>
    <row r="1097" spans="1:10" x14ac:dyDescent="0.25">
      <c r="A1097" s="6">
        <v>46142</v>
      </c>
      <c r="B1097" s="7">
        <v>3</v>
      </c>
      <c r="C1097" s="7" t="s">
        <v>68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6" t="s">
        <v>104</v>
      </c>
    </row>
    <row r="1098" spans="1:10" x14ac:dyDescent="0.25">
      <c r="A1098" s="6">
        <v>46142</v>
      </c>
      <c r="B1098" s="7">
        <v>3</v>
      </c>
      <c r="C1098" s="7" t="s">
        <v>151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6" t="s">
        <v>104</v>
      </c>
    </row>
    <row r="1099" spans="1:10" x14ac:dyDescent="0.25">
      <c r="A1099" s="6">
        <v>46142</v>
      </c>
      <c r="B1099" s="7">
        <v>3</v>
      </c>
      <c r="C1099" s="7" t="s">
        <v>66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6" t="s">
        <v>104</v>
      </c>
    </row>
    <row r="1100" spans="1:10" x14ac:dyDescent="0.25">
      <c r="A1100" s="6">
        <v>46142</v>
      </c>
      <c r="B1100" s="7">
        <v>2</v>
      </c>
      <c r="C1100" s="7" t="s">
        <v>81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6" t="s">
        <v>104</v>
      </c>
    </row>
    <row r="1101" spans="1:10" x14ac:dyDescent="0.25">
      <c r="A1101" s="6">
        <v>46142</v>
      </c>
      <c r="B1101" s="7">
        <v>3</v>
      </c>
      <c r="C1101" s="7" t="s">
        <v>125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6" t="s">
        <v>104</v>
      </c>
    </row>
    <row r="1102" spans="1:10" x14ac:dyDescent="0.25">
      <c r="A1102" s="6">
        <v>46145</v>
      </c>
      <c r="B1102" s="7">
        <v>2</v>
      </c>
      <c r="C1102" s="7" t="s">
        <v>12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6" t="s">
        <v>104</v>
      </c>
    </row>
    <row r="1103" spans="1:10" x14ac:dyDescent="0.25">
      <c r="A1103" s="6">
        <v>46145</v>
      </c>
      <c r="B1103" s="7">
        <v>4</v>
      </c>
      <c r="C1103" s="7" t="s">
        <v>125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6" t="s">
        <v>104</v>
      </c>
    </row>
    <row r="1104" spans="1:10" x14ac:dyDescent="0.25">
      <c r="A1104" s="6">
        <v>46145</v>
      </c>
      <c r="B1104" s="7">
        <v>3</v>
      </c>
      <c r="C1104" s="7" t="s">
        <v>111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6" t="s">
        <v>104</v>
      </c>
    </row>
    <row r="1105" spans="1:10" x14ac:dyDescent="0.25">
      <c r="A1105" s="6">
        <v>46145</v>
      </c>
      <c r="B1105" s="7">
        <v>2</v>
      </c>
      <c r="C1105" s="7" t="s">
        <v>65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6" t="s">
        <v>104</v>
      </c>
    </row>
    <row r="1106" spans="1:10" x14ac:dyDescent="0.25">
      <c r="A1106" s="6">
        <v>46145</v>
      </c>
      <c r="B1106" s="7">
        <v>2</v>
      </c>
      <c r="C1106" s="7" t="s">
        <v>152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6" t="s">
        <v>104</v>
      </c>
    </row>
    <row r="1107" spans="1:10" x14ac:dyDescent="0.25">
      <c r="A1107" s="6">
        <v>46145</v>
      </c>
      <c r="B1107" s="7">
        <v>1</v>
      </c>
      <c r="C1107" s="7" t="s">
        <v>50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6" t="s">
        <v>104</v>
      </c>
    </row>
    <row r="1108" spans="1:10" x14ac:dyDescent="0.25">
      <c r="A1108" s="6">
        <v>46145</v>
      </c>
      <c r="B1108" s="7">
        <v>2</v>
      </c>
      <c r="C1108" s="7" t="s">
        <v>60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6" t="s">
        <v>104</v>
      </c>
    </row>
    <row r="1109" spans="1:10" x14ac:dyDescent="0.25">
      <c r="A1109" s="6">
        <v>46145</v>
      </c>
      <c r="B1109" s="7">
        <v>2</v>
      </c>
      <c r="C1109" s="7" t="s">
        <v>15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6" t="s">
        <v>104</v>
      </c>
    </row>
    <row r="1110" spans="1:10" x14ac:dyDescent="0.25">
      <c r="A1110" s="6">
        <v>46145</v>
      </c>
      <c r="B1110" s="7">
        <v>4</v>
      </c>
      <c r="C1110" s="7" t="s">
        <v>76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6" t="s">
        <v>104</v>
      </c>
    </row>
    <row r="1111" spans="1:10" x14ac:dyDescent="0.25">
      <c r="A1111" s="6">
        <v>46145</v>
      </c>
      <c r="B1111" s="7">
        <v>1</v>
      </c>
      <c r="C1111" s="7" t="s">
        <v>46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6" t="s">
        <v>104</v>
      </c>
    </row>
    <row r="1112" spans="1:10" x14ac:dyDescent="0.25">
      <c r="A1112" s="6">
        <v>46145</v>
      </c>
      <c r="B1112" s="7">
        <v>1</v>
      </c>
      <c r="C1112" s="7" t="s">
        <v>135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6" t="s">
        <v>104</v>
      </c>
    </row>
    <row r="1113" spans="1:10" x14ac:dyDescent="0.25">
      <c r="A1113" s="6">
        <v>46145</v>
      </c>
      <c r="B1113" s="7">
        <v>4</v>
      </c>
      <c r="C1113" s="7" t="s">
        <v>86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6" t="s">
        <v>104</v>
      </c>
    </row>
    <row r="1114" spans="1:10" x14ac:dyDescent="0.25">
      <c r="A1114" s="6">
        <v>46145</v>
      </c>
      <c r="B1114" s="7">
        <v>1</v>
      </c>
      <c r="C1114" s="7" t="s">
        <v>16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6" t="s">
        <v>104</v>
      </c>
    </row>
    <row r="1115" spans="1:10" x14ac:dyDescent="0.25">
      <c r="A1115" s="6">
        <v>46145</v>
      </c>
      <c r="B1115" s="7">
        <v>2</v>
      </c>
      <c r="C1115" s="7" t="s">
        <v>23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6" t="s">
        <v>104</v>
      </c>
    </row>
    <row r="1116" spans="1:10" x14ac:dyDescent="0.25">
      <c r="A1116" s="6">
        <v>46145</v>
      </c>
      <c r="B1116" s="7">
        <v>1</v>
      </c>
      <c r="C1116" s="7" t="s">
        <v>136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6" t="s">
        <v>104</v>
      </c>
    </row>
    <row r="1117" spans="1:10" x14ac:dyDescent="0.25">
      <c r="A1117" s="6">
        <v>46145</v>
      </c>
      <c r="B1117" s="7">
        <v>1</v>
      </c>
      <c r="C1117" s="7" t="s">
        <v>80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6" t="s">
        <v>104</v>
      </c>
    </row>
    <row r="1118" spans="1:10" x14ac:dyDescent="0.25">
      <c r="A1118" s="6">
        <v>46145</v>
      </c>
      <c r="B1118" s="7">
        <v>1</v>
      </c>
      <c r="C1118" s="7" t="s">
        <v>18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6" t="s">
        <v>104</v>
      </c>
    </row>
    <row r="1119" spans="1:10" x14ac:dyDescent="0.25">
      <c r="A1119" s="6">
        <v>46145</v>
      </c>
      <c r="B1119" s="7">
        <v>4</v>
      </c>
      <c r="C1119" s="7" t="s">
        <v>141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6" t="s">
        <v>104</v>
      </c>
    </row>
    <row r="1120" spans="1:10" x14ac:dyDescent="0.25">
      <c r="A1120" s="6">
        <v>46145</v>
      </c>
      <c r="B1120" s="7">
        <v>3</v>
      </c>
      <c r="C1120" s="7" t="s">
        <v>29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6" t="s">
        <v>104</v>
      </c>
    </row>
    <row r="1121" spans="1:10" x14ac:dyDescent="0.25">
      <c r="A1121" s="6">
        <v>46145</v>
      </c>
      <c r="B1121" s="7">
        <v>2</v>
      </c>
      <c r="C1121" s="7" t="s">
        <v>53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6" t="s">
        <v>104</v>
      </c>
    </row>
    <row r="1122" spans="1:10" x14ac:dyDescent="0.25">
      <c r="A1122" s="6">
        <v>46145</v>
      </c>
      <c r="B1122" s="7">
        <v>1</v>
      </c>
      <c r="C1122" s="7" t="s">
        <v>20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6" t="s">
        <v>104</v>
      </c>
    </row>
    <row r="1123" spans="1:10" x14ac:dyDescent="0.25">
      <c r="A1123" s="6">
        <v>46145</v>
      </c>
      <c r="B1123" s="7">
        <v>2</v>
      </c>
      <c r="C1123" s="7" t="s">
        <v>153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6" t="s">
        <v>104</v>
      </c>
    </row>
    <row r="1124" spans="1:10" x14ac:dyDescent="0.25">
      <c r="A1124" s="6">
        <v>46145</v>
      </c>
      <c r="B1124" s="7">
        <v>1</v>
      </c>
      <c r="C1124" s="7" t="s">
        <v>24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6" t="s">
        <v>104</v>
      </c>
    </row>
    <row r="1125" spans="1:10" x14ac:dyDescent="0.25">
      <c r="A1125" s="6">
        <v>46145</v>
      </c>
      <c r="B1125" s="7">
        <v>2</v>
      </c>
      <c r="C1125" s="7" t="s">
        <v>139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6" t="s">
        <v>104</v>
      </c>
    </row>
    <row r="1126" spans="1:10" x14ac:dyDescent="0.25">
      <c r="A1126" s="6">
        <v>46145</v>
      </c>
      <c r="B1126" s="7">
        <v>4</v>
      </c>
      <c r="C1126" s="7" t="s">
        <v>81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6" t="s">
        <v>104</v>
      </c>
    </row>
    <row r="1127" spans="1:10" x14ac:dyDescent="0.25">
      <c r="A1127" s="6">
        <v>46145</v>
      </c>
      <c r="B1127" s="7">
        <v>3</v>
      </c>
      <c r="C1127" s="7" t="s">
        <v>43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6" t="s">
        <v>104</v>
      </c>
    </row>
    <row r="1128" spans="1:10" x14ac:dyDescent="0.25">
      <c r="A1128" s="6">
        <v>46145</v>
      </c>
      <c r="B1128" s="7">
        <v>3</v>
      </c>
      <c r="C1128" s="7" t="s">
        <v>111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6" t="s">
        <v>104</v>
      </c>
    </row>
    <row r="1129" spans="1:10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6" t="s">
        <v>104</v>
      </c>
    </row>
    <row r="1130" spans="1:10" x14ac:dyDescent="0.25">
      <c r="A1130" s="6">
        <v>46145</v>
      </c>
      <c r="B1130" s="7">
        <v>4</v>
      </c>
      <c r="C1130" s="7" t="s">
        <v>54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6" t="s">
        <v>104</v>
      </c>
    </row>
    <row r="1131" spans="1:10" x14ac:dyDescent="0.25">
      <c r="A1131" s="6">
        <v>46145</v>
      </c>
      <c r="B1131" s="7">
        <v>4</v>
      </c>
      <c r="C1131" s="7" t="s">
        <v>141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6" t="s">
        <v>104</v>
      </c>
    </row>
    <row r="1132" spans="1:10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6" t="s">
        <v>104</v>
      </c>
    </row>
    <row r="1133" spans="1:10" x14ac:dyDescent="0.25">
      <c r="A1133" s="6">
        <v>46145</v>
      </c>
      <c r="B1133" s="7">
        <v>3</v>
      </c>
      <c r="C1133" s="7" t="s">
        <v>51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6" t="s">
        <v>104</v>
      </c>
    </row>
    <row r="1134" spans="1:10" x14ac:dyDescent="0.25">
      <c r="A1134" s="6">
        <v>46145</v>
      </c>
      <c r="B1134" s="7">
        <v>3</v>
      </c>
      <c r="C1134" s="7" t="s">
        <v>19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6" t="s">
        <v>104</v>
      </c>
    </row>
    <row r="1135" spans="1:10" x14ac:dyDescent="0.25">
      <c r="A1135" s="6">
        <v>46145</v>
      </c>
      <c r="B1135" s="7">
        <v>2</v>
      </c>
      <c r="C1135" s="7" t="s">
        <v>150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6" t="s">
        <v>104</v>
      </c>
    </row>
    <row r="1136" spans="1:10" x14ac:dyDescent="0.25">
      <c r="A1136" s="6">
        <v>46145</v>
      </c>
      <c r="B1136" s="7">
        <v>3</v>
      </c>
      <c r="C1136" s="7" t="s">
        <v>149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6" t="s">
        <v>104</v>
      </c>
    </row>
    <row r="1137" spans="1:10" x14ac:dyDescent="0.25">
      <c r="A1137" s="6">
        <v>46145</v>
      </c>
      <c r="B1137" s="7">
        <v>4</v>
      </c>
      <c r="C1137" s="7" t="s">
        <v>154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6" t="s">
        <v>104</v>
      </c>
    </row>
    <row r="1138" spans="1:10" x14ac:dyDescent="0.25">
      <c r="A1138" s="6">
        <v>46145</v>
      </c>
      <c r="B1138" s="7">
        <v>3</v>
      </c>
      <c r="C1138" s="7" t="s">
        <v>42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6" t="s">
        <v>104</v>
      </c>
    </row>
    <row r="1139" spans="1:10" x14ac:dyDescent="0.25">
      <c r="A1139" s="6">
        <v>46145</v>
      </c>
      <c r="B1139" s="7">
        <v>3</v>
      </c>
      <c r="C1139" s="7" t="s">
        <v>47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6" t="s">
        <v>104</v>
      </c>
    </row>
    <row r="1140" spans="1:10" x14ac:dyDescent="0.25">
      <c r="A1140" s="6">
        <v>46145</v>
      </c>
      <c r="B1140" s="7">
        <v>3</v>
      </c>
      <c r="C1140" s="7" t="s">
        <v>140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6" t="s">
        <v>104</v>
      </c>
    </row>
    <row r="1141" spans="1:10" x14ac:dyDescent="0.25">
      <c r="A1141" s="6">
        <v>46149</v>
      </c>
      <c r="B1141" s="7">
        <v>1</v>
      </c>
      <c r="C1141" s="7" t="s">
        <v>60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6" t="s">
        <v>104</v>
      </c>
    </row>
    <row r="1142" spans="1:10" x14ac:dyDescent="0.25">
      <c r="A1142" s="6">
        <v>46149</v>
      </c>
      <c r="B1142" s="7">
        <v>1</v>
      </c>
      <c r="C1142" s="7" t="s">
        <v>22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6" t="s">
        <v>104</v>
      </c>
    </row>
    <row r="1143" spans="1:10" x14ac:dyDescent="0.25">
      <c r="A1143" s="6">
        <v>46149</v>
      </c>
      <c r="B1143" s="7">
        <v>2</v>
      </c>
      <c r="C1143" s="7" t="s">
        <v>46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6" t="s">
        <v>104</v>
      </c>
    </row>
    <row r="1144" spans="1:10" x14ac:dyDescent="0.25">
      <c r="A1144" s="6">
        <v>46149</v>
      </c>
      <c r="B1144" s="7">
        <v>2</v>
      </c>
      <c r="C1144" s="7" t="s">
        <v>15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6" t="s">
        <v>104</v>
      </c>
    </row>
    <row r="1145" spans="1:10" x14ac:dyDescent="0.25">
      <c r="A1145" s="6">
        <v>46149</v>
      </c>
      <c r="B1145" s="7">
        <v>1</v>
      </c>
      <c r="C1145" s="7" t="s">
        <v>43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6" t="s">
        <v>104</v>
      </c>
    </row>
    <row r="1146" spans="1:10" x14ac:dyDescent="0.25">
      <c r="A1146" s="6">
        <v>46149</v>
      </c>
      <c r="B1146" s="7">
        <v>2</v>
      </c>
      <c r="C1146" s="7" t="s">
        <v>92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6" t="s">
        <v>104</v>
      </c>
    </row>
    <row r="1147" spans="1:10" x14ac:dyDescent="0.25">
      <c r="A1147" s="6">
        <v>46149</v>
      </c>
      <c r="B1147" s="7">
        <v>1</v>
      </c>
      <c r="C1147" s="7" t="s">
        <v>136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6" t="s">
        <v>104</v>
      </c>
    </row>
    <row r="1148" spans="1:10" x14ac:dyDescent="0.25">
      <c r="A1148" s="6">
        <v>46149</v>
      </c>
      <c r="B1148" s="7">
        <v>2</v>
      </c>
      <c r="C1148" s="7" t="s">
        <v>64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6" t="s">
        <v>104</v>
      </c>
    </row>
    <row r="1149" spans="1:10" x14ac:dyDescent="0.25">
      <c r="A1149" s="6">
        <v>46149</v>
      </c>
      <c r="B1149" s="7">
        <v>2</v>
      </c>
      <c r="C1149" s="7" t="s">
        <v>20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6" t="s">
        <v>104</v>
      </c>
    </row>
    <row r="1150" spans="1:10" x14ac:dyDescent="0.25">
      <c r="A1150" s="6">
        <v>46149</v>
      </c>
      <c r="B1150" s="7">
        <v>2</v>
      </c>
      <c r="C1150" s="7" t="s">
        <v>26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6" t="s">
        <v>104</v>
      </c>
    </row>
    <row r="1151" spans="1:10" x14ac:dyDescent="0.25">
      <c r="A1151" s="6">
        <v>46149</v>
      </c>
      <c r="B1151" s="7">
        <v>1</v>
      </c>
      <c r="C1151" s="7" t="s">
        <v>18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6" t="s">
        <v>104</v>
      </c>
    </row>
    <row r="1152" spans="1:10" x14ac:dyDescent="0.25">
      <c r="A1152" s="6">
        <v>46149</v>
      </c>
      <c r="B1152" s="7">
        <v>2</v>
      </c>
      <c r="C1152" s="7" t="s">
        <v>23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6" t="s">
        <v>104</v>
      </c>
    </row>
    <row r="1153" spans="1:10" x14ac:dyDescent="0.25">
      <c r="A1153" s="6">
        <v>46149</v>
      </c>
      <c r="B1153" s="7">
        <v>1</v>
      </c>
      <c r="C1153" s="7" t="s">
        <v>45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6" t="s">
        <v>104</v>
      </c>
    </row>
    <row r="1154" spans="1:10" x14ac:dyDescent="0.25">
      <c r="A1154" s="6">
        <v>46149</v>
      </c>
      <c r="B1154" s="7">
        <v>1</v>
      </c>
      <c r="C1154" s="7" t="s">
        <v>53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6" t="s">
        <v>104</v>
      </c>
    </row>
    <row r="1155" spans="1:10" x14ac:dyDescent="0.25">
      <c r="A1155" s="6">
        <v>46149</v>
      </c>
      <c r="B1155" s="7">
        <v>1</v>
      </c>
      <c r="C1155" s="7" t="s">
        <v>28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6" t="s">
        <v>104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64"/>
  <sheetViews>
    <sheetView tabSelected="1" topLeftCell="A138" workbookViewId="0">
      <selection activeCell="D163" sqref="D163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  <row r="152" spans="1:5" x14ac:dyDescent="0.25">
      <c r="A152" s="13">
        <v>46138</v>
      </c>
      <c r="B152" s="7">
        <v>1</v>
      </c>
      <c r="C152" s="8">
        <v>2</v>
      </c>
      <c r="D152" s="8">
        <v>1</v>
      </c>
      <c r="E152" s="8" t="s">
        <v>104</v>
      </c>
    </row>
    <row r="153" spans="1:5" x14ac:dyDescent="0.25">
      <c r="A153" s="13">
        <v>46138</v>
      </c>
      <c r="B153" s="7">
        <v>2</v>
      </c>
      <c r="C153" s="8">
        <v>9</v>
      </c>
      <c r="D153" s="8">
        <v>1</v>
      </c>
      <c r="E153" s="8" t="s">
        <v>104</v>
      </c>
    </row>
    <row r="154" spans="1:5" x14ac:dyDescent="0.25">
      <c r="A154" s="13">
        <v>46138</v>
      </c>
      <c r="B154" s="7">
        <v>3</v>
      </c>
      <c r="C154" s="8">
        <v>0</v>
      </c>
      <c r="D154" s="8">
        <v>1</v>
      </c>
      <c r="E154" s="8" t="s">
        <v>104</v>
      </c>
    </row>
    <row r="155" spans="1:5" x14ac:dyDescent="0.25">
      <c r="A155" s="13">
        <v>46138</v>
      </c>
      <c r="B155" s="7">
        <v>4</v>
      </c>
      <c r="C155" s="8">
        <v>5</v>
      </c>
      <c r="D155" s="8">
        <v>1</v>
      </c>
      <c r="E155" s="8" t="s">
        <v>104</v>
      </c>
    </row>
    <row r="156" spans="1:5" x14ac:dyDescent="0.25">
      <c r="A156" s="13">
        <v>46142</v>
      </c>
      <c r="B156" s="7">
        <v>1</v>
      </c>
      <c r="C156" s="8">
        <v>6</v>
      </c>
      <c r="D156" s="8">
        <v>0</v>
      </c>
      <c r="E156" s="8" t="s">
        <v>104</v>
      </c>
    </row>
    <row r="157" spans="1:5" x14ac:dyDescent="0.25">
      <c r="A157" s="13">
        <v>46142</v>
      </c>
      <c r="B157" s="7">
        <v>2</v>
      </c>
      <c r="C157" s="8">
        <v>6</v>
      </c>
      <c r="D157" s="8">
        <v>1</v>
      </c>
      <c r="E157" s="8" t="s">
        <v>104</v>
      </c>
    </row>
    <row r="158" spans="1:5" x14ac:dyDescent="0.25">
      <c r="A158" s="13">
        <v>46142</v>
      </c>
      <c r="B158" s="7">
        <v>3</v>
      </c>
      <c r="C158" s="8">
        <v>0</v>
      </c>
      <c r="D158" s="8">
        <v>1</v>
      </c>
      <c r="E158" s="8" t="s">
        <v>104</v>
      </c>
    </row>
    <row r="159" spans="1:5" x14ac:dyDescent="0.25">
      <c r="A159" s="13">
        <v>46145</v>
      </c>
      <c r="B159" s="7">
        <v>1</v>
      </c>
      <c r="C159" s="8">
        <v>4</v>
      </c>
      <c r="D159" s="8">
        <v>1</v>
      </c>
      <c r="E159" s="8" t="s">
        <v>104</v>
      </c>
    </row>
    <row r="160" spans="1:5" x14ac:dyDescent="0.25">
      <c r="A160" s="13">
        <v>46145</v>
      </c>
      <c r="B160" s="7">
        <v>2</v>
      </c>
      <c r="C160" s="8">
        <v>7</v>
      </c>
      <c r="D160" s="8">
        <v>1</v>
      </c>
      <c r="E160" s="8" t="s">
        <v>104</v>
      </c>
    </row>
    <row r="161" spans="1:5" x14ac:dyDescent="0.25">
      <c r="A161" s="13">
        <v>46145</v>
      </c>
      <c r="B161" s="7">
        <v>3</v>
      </c>
      <c r="C161" s="8">
        <v>4</v>
      </c>
      <c r="D161" s="8">
        <v>0</v>
      </c>
      <c r="E161" s="8" t="s">
        <v>104</v>
      </c>
    </row>
    <row r="162" spans="1:5" x14ac:dyDescent="0.25">
      <c r="A162" s="13">
        <v>46145</v>
      </c>
      <c r="B162" s="7">
        <v>4</v>
      </c>
      <c r="C162" s="8">
        <v>1</v>
      </c>
      <c r="D162" s="8">
        <v>0</v>
      </c>
      <c r="E162" s="8" t="s">
        <v>104</v>
      </c>
    </row>
    <row r="163" spans="1:5" x14ac:dyDescent="0.25">
      <c r="A163" s="13">
        <v>46149</v>
      </c>
      <c r="B163" s="7">
        <v>1</v>
      </c>
      <c r="C163" s="8">
        <v>5</v>
      </c>
      <c r="D163" s="8">
        <v>1</v>
      </c>
      <c r="E163" s="8" t="s">
        <v>104</v>
      </c>
    </row>
    <row r="164" spans="1:5" x14ac:dyDescent="0.25">
      <c r="A164" s="13">
        <v>46149</v>
      </c>
      <c r="B164" s="7">
        <v>2</v>
      </c>
      <c r="C164" s="8">
        <v>6</v>
      </c>
      <c r="D164" s="8">
        <v>1</v>
      </c>
      <c r="E164" s="8" t="s">
        <v>104</v>
      </c>
    </row>
  </sheetData>
  <dataValidations count="1">
    <dataValidation type="list" allowBlank="1" showInputMessage="1" showErrorMessage="1" sqref="B2:B164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2026-05-07T20:03:15Z</dcterms:modified>
</cp:coreProperties>
</file>