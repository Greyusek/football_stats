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99CDE161-5624-476A-A977-A4AFF6FACDB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84" i="2" l="1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F134" i="1" s="1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E133" i="1" s="1"/>
  <c r="H1070" i="2"/>
  <c r="F133" i="1" s="1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E126" i="1" s="1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35" i="1" l="1"/>
  <c r="F125" i="1"/>
  <c r="G125" i="1" s="1"/>
  <c r="G134" i="1"/>
  <c r="G133" i="1"/>
  <c r="G132" i="1"/>
  <c r="E121" i="1"/>
  <c r="F123" i="1"/>
  <c r="E123" i="1"/>
  <c r="G131" i="1"/>
  <c r="G130" i="1"/>
  <c r="G129" i="1"/>
  <c r="F121" i="1"/>
  <c r="F126" i="1"/>
  <c r="G126" i="1" s="1"/>
  <c r="F120" i="1"/>
  <c r="F122" i="1"/>
  <c r="E122" i="1"/>
  <c r="G128" i="1"/>
  <c r="G127" i="1"/>
  <c r="E120" i="1"/>
  <c r="G124" i="1"/>
  <c r="G119" i="1"/>
  <c r="G118" i="1"/>
  <c r="G121" i="1" l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<sst xmlns="http://schemas.openxmlformats.org/spreadsheetml/2006/main" count="2647" uniqueCount="152">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</sst>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5" totalsRowShown="0" headerRowDxfId="35" headerRowBorderDxfId="34" tableBorderDxfId="33" totalsRowBorderDxfId="32">
  <autoFilter ref="A1:G135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101" totalsRowShown="0" headerRowDxfId="24" dataDxfId="22" headerRowBorderDxfId="23" tableBorderDxfId="21" totalsRowBorderDxfId="20">
  <autoFilter ref="A1:J1101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58" totalsRowShown="0" headerRowDxfId="9" dataDxfId="7" headerRowBorderDxfId="8" tableBorderDxfId="6" totalsRowBorderDxfId="5">
  <autoFilter ref="A1:E158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5"/>
  <sheetViews>
    <sheetView topLeftCell="A121" workbookViewId="0">
      <selection activeCell="C135" sqref="C135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76</v>
      </c>
      <c r="D2" s="19">
        <f>SUMIFS(_stats[assists_on_date],_stats[player_id],_players[[#This Row],[player_id]])</f>
        <v>32</v>
      </c>
      <c r="E2" s="19">
        <f>SUMIFS(_stats[wins_on_date],_stats[player_id],_players[[#This Row],[player_id]])</f>
        <v>94</v>
      </c>
      <c r="F2" s="20">
        <f>SUMIFS(_stats[draws_on_date],_stats[player_id],_players[[#This Row],[player_id]])</f>
        <v>9</v>
      </c>
      <c r="G2" s="20">
        <f>SUM(_players[[#This Row],[goals]:[draws]])</f>
        <v>211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147</v>
      </c>
      <c r="F3" s="12">
        <f>SUMIFS(_stats[draws_on_date],_stats[player_id],_players[[#This Row],[player_id]])</f>
        <v>31</v>
      </c>
      <c r="G3" s="12">
        <f>SUM(_players[[#This Row],[goals]:[draws]])</f>
        <v>275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161</v>
      </c>
      <c r="F4" s="17">
        <f>SUMIFS(_stats[draws_on_date],_stats[player_id],_players[[#This Row],[player_id]])</f>
        <v>34</v>
      </c>
      <c r="G4" s="17">
        <f>SUM(_players[[#This Row],[goals]:[draws]])</f>
        <v>301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26</v>
      </c>
      <c r="E5" s="21">
        <f>SUMIFS(_stats[wins_on_date],_stats[player_id],_players[[#This Row],[player_id]])</f>
        <v>92</v>
      </c>
      <c r="F5" s="22">
        <f>SUMIFS(_stats[draws_on_date],_stats[player_id],_players[[#This Row],[player_id]])</f>
        <v>7</v>
      </c>
      <c r="G5" s="22">
        <f>SUM(_players[[#This Row],[goals]:[draws]])</f>
        <v>141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25</v>
      </c>
      <c r="D6" s="16">
        <f>SUMIFS(_stats[assists_on_date],_stats[player_id],_players[[#This Row],[player_id]])</f>
        <v>16</v>
      </c>
      <c r="E6" s="16">
        <f>SUMIFS(_stats[wins_on_date],_stats[player_id],_players[[#This Row],[player_id]])</f>
        <v>167</v>
      </c>
      <c r="F6" s="17">
        <f>SUMIFS(_stats[draws_on_date],_stats[player_id],_players[[#This Row],[player_id]])</f>
        <v>35</v>
      </c>
      <c r="G6" s="17">
        <f>SUM(_players[[#This Row],[goals]:[draws]])</f>
        <v>243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36</v>
      </c>
      <c r="D8" s="11">
        <f>SUMIFS(_stats[assists_on_date],_stats[player_id],_players[[#This Row],[player_id]])</f>
        <v>24</v>
      </c>
      <c r="E8" s="11">
        <f>SUMIFS(_stats[wins_on_date],_stats[player_id],_players[[#This Row],[player_id]])</f>
        <v>134</v>
      </c>
      <c r="F8" s="12">
        <f>SUMIFS(_stats[draws_on_date],_stats[player_id],_players[[#This Row],[player_id]])</f>
        <v>33</v>
      </c>
      <c r="G8" s="12">
        <f>SUM(_players[[#This Row],[goals]:[draws]])</f>
        <v>227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53</v>
      </c>
      <c r="D12" s="16">
        <f>SUMIFS(_stats[assists_on_date],_stats[player_id],_players[[#This Row],[player_id]])</f>
        <v>66</v>
      </c>
      <c r="E12" s="16">
        <f>SUMIFS(_stats[wins_on_date],_stats[player_id],_players[[#This Row],[player_id]])</f>
        <v>112</v>
      </c>
      <c r="F12" s="17">
        <f>SUMIFS(_stats[draws_on_date],_stats[player_id],_players[[#This Row],[player_id]])</f>
        <v>34</v>
      </c>
      <c r="G12" s="17">
        <f>SUM(_players[[#This Row],[goals]:[draws]])</f>
        <v>265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131</v>
      </c>
      <c r="F14" s="12">
        <f>SUMIFS(_stats[draws_on_date],_stats[player_id],_players[[#This Row],[player_id]])</f>
        <v>31</v>
      </c>
      <c r="G14" s="12">
        <f>SUM(_players[[#This Row],[goals]:[draws]])</f>
        <v>179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4</v>
      </c>
      <c r="G15" s="12">
        <f>SUM(_players[[#This Row],[goals]:[draws]])</f>
        <v>102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49</v>
      </c>
      <c r="F17" s="12">
        <f>SUMIFS(_stats[draws_on_date],_stats[player_id],_players[[#This Row],[player_id]])</f>
        <v>11</v>
      </c>
      <c r="G17" s="12">
        <f>SUM(_players[[#This Row],[goals]:[draws]])</f>
        <v>85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33</v>
      </c>
      <c r="D18" s="11">
        <f>SUMIFS(_stats[assists_on_date],_stats[player_id],_players[[#This Row],[player_id]])</f>
        <v>29</v>
      </c>
      <c r="E18" s="11">
        <f>SUMIFS(_stats[wins_on_date],_stats[player_id],_players[[#This Row],[player_id]])</f>
        <v>83</v>
      </c>
      <c r="F18" s="12">
        <f>SUMIFS(_stats[draws_on_date],_stats[player_id],_players[[#This Row],[player_id]])</f>
        <v>8</v>
      </c>
      <c r="G18" s="12">
        <f>SUM(_players[[#This Row],[goals]:[draws]])</f>
        <v>153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97</v>
      </c>
      <c r="F20" s="12">
        <f>SUMIFS(_stats[draws_on_date],_stats[player_id],_players[[#This Row],[player_id]])</f>
        <v>20</v>
      </c>
      <c r="G20" s="12">
        <f>SUM(_players[[#This Row],[goals]:[draws]])</f>
        <v>153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33</v>
      </c>
      <c r="D21" s="11">
        <f>SUMIFS(_stats[assists_on_date],_stats[player_id],_players[[#This Row],[player_id]])</f>
        <v>39</v>
      </c>
      <c r="E21" s="11">
        <f>SUMIFS(_stats[wins_on_date],_stats[player_id],_players[[#This Row],[player_id]])</f>
        <v>103</v>
      </c>
      <c r="F21" s="12">
        <f>SUMIFS(_stats[draws_on_date],_stats[player_id],_players[[#This Row],[player_id]])</f>
        <v>27</v>
      </c>
      <c r="G21" s="12">
        <f>SUM(_players[[#This Row],[goals]:[draws]])</f>
        <v>202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101</v>
      </c>
      <c r="F22" s="17">
        <f>SUMIFS(_stats[draws_on_date],_stats[player_id],_players[[#This Row],[player_id]])</f>
        <v>18</v>
      </c>
      <c r="G22" s="17">
        <f>SUM(_players[[#This Row],[goals]:[draws]])</f>
        <v>128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32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22</v>
      </c>
      <c r="G23" s="12">
        <f>SUM(_players[[#This Row],[goals]:[draws]])</f>
        <v>187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14</v>
      </c>
      <c r="D25" s="11">
        <f>SUMIFS(_stats[assists_on_date],_stats[player_id],_players[[#This Row],[player_id]])</f>
        <v>20</v>
      </c>
      <c r="E25" s="11">
        <f>SUMIFS(_stats[wins_on_date],_stats[player_id],_players[[#This Row],[player_id]])</f>
        <v>96</v>
      </c>
      <c r="F25" s="12">
        <f>SUMIFS(_stats[draws_on_date],_stats[player_id],_players[[#This Row],[player_id]])</f>
        <v>29</v>
      </c>
      <c r="G25" s="12">
        <f>SUM(_players[[#This Row],[goals]:[draws]])</f>
        <v>159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5</v>
      </c>
      <c r="G31" s="17">
        <f>SUM(_players[[#This Row],[goals]:[draws]])</f>
        <v>70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35</v>
      </c>
      <c r="F32" s="12">
        <f>SUMIFS(_stats[draws_on_date],_stats[player_id],_players[[#This Row],[player_id]])</f>
        <v>14</v>
      </c>
      <c r="G32" s="12">
        <f>SUM(_players[[#This Row],[goals]:[draws]])</f>
        <v>66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10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68</v>
      </c>
      <c r="F35" s="17">
        <f>SUMIFS(_stats[draws_on_date],_stats[player_id],_players[[#This Row],[player_id]])</f>
        <v>22</v>
      </c>
      <c r="G35" s="17">
        <f>SUM(_players[[#This Row],[goals]:[draws]])</f>
        <v>110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52</v>
      </c>
      <c r="F38" s="12">
        <f>SUMIFS(_stats[draws_on_date],_stats[player_id],_players[[#This Row],[player_id]])</f>
        <v>19</v>
      </c>
      <c r="G38" s="12">
        <f>SUM(_players[[#This Row],[goals]:[draws]])</f>
        <v>98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127</v>
      </c>
      <c r="F39" s="12">
        <f>SUMIFS(_stats[draws_on_date],_stats[player_id],_players[[#This Row],[player_id]])</f>
        <v>42</v>
      </c>
      <c r="G39" s="12">
        <f>SUM(_players[[#This Row],[goals]:[draws]])</f>
        <v>171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24</v>
      </c>
      <c r="G41" s="12">
        <f>SUM(_players[[#This Row],[goals]:[draws]])</f>
        <v>134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9</v>
      </c>
      <c r="E42" s="16">
        <f>SUMIFS(_stats[wins_on_date],_stats[player_id],_players[[#This Row],[player_id]])</f>
        <v>39</v>
      </c>
      <c r="F42" s="17">
        <f>SUMIFS(_stats[draws_on_date],_stats[player_id],_players[[#This Row],[player_id]])</f>
        <v>10</v>
      </c>
      <c r="G42" s="17">
        <f>SUM(_players[[#This Row],[goals]:[draws]])</f>
        <v>71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10</v>
      </c>
      <c r="G43" s="12">
        <f>SUM(_players[[#This Row],[goals]:[draws]])</f>
        <v>58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68</v>
      </c>
      <c r="F48" s="17">
        <f>SUMIFS(_stats[draws_on_date],_stats[player_id],_players[[#This Row],[player_id]])</f>
        <v>18</v>
      </c>
      <c r="G48" s="17">
        <f>SUM(_players[[#This Row],[goals]:[draws]])</f>
        <v>90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77</v>
      </c>
      <c r="F64" s="18">
        <f>SUMIFS(_stats[draws_on_date],_stats[player_id],_players[[#This Row],[player_id]])</f>
        <v>21</v>
      </c>
      <c r="G64" s="18">
        <f>SUM(_players[[#This Row],[goals]:[draws]])</f>
        <v>134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8</v>
      </c>
      <c r="G68" s="8">
        <f>SUM(_players[[#This Row],[goals]:[draws]])</f>
        <v>76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2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12</v>
      </c>
      <c r="F84" s="18">
        <f>SUMIFS(_stats[draws_on_date],_stats[player_id],_players[[#This Row],[player_id]])</f>
        <v>1</v>
      </c>
      <c r="G84" s="18">
        <f>SUM(_players[[#This Row],[goals]:[draws]])</f>
        <v>18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24</v>
      </c>
      <c r="F110" s="18">
        <f>SUMIFS(_stats[draws_on_date],_stats[player_id],_players[[#This Row],[player_id]])</f>
        <v>10</v>
      </c>
      <c r="G110" s="18">
        <f>SUM(_players[[#This Row],[goals]:[draws]])</f>
        <v>34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5</v>
      </c>
      <c r="E120" s="10">
        <f>SUMIFS(_stats[wins_on_date],_stats[player_id],_players[[#This Row],[player_id]])</f>
        <v>13</v>
      </c>
      <c r="F120" s="18">
        <f>SUMIFS(_stats[draws_on_date],_stats[player_id],_players[[#This Row],[player_id]])</f>
        <v>6</v>
      </c>
      <c r="G120" s="18">
        <f>SUM(_players[[#This Row],[goals]:[draws]])</f>
        <v>27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9</v>
      </c>
      <c r="D121" s="10">
        <f>SUMIFS(_stats[assists_on_date],_stats[player_id],_players[[#This Row],[player_id]])</f>
        <v>5</v>
      </c>
      <c r="E121" s="10">
        <f>SUMIFS(_stats[wins_on_date],_stats[player_id],_players[[#This Row],[player_id]])</f>
        <v>28</v>
      </c>
      <c r="F121" s="18">
        <f>SUMIFS(_stats[draws_on_date],_stats[player_id],_players[[#This Row],[player_id]])</f>
        <v>10</v>
      </c>
      <c r="G121" s="18">
        <f>SUM(_players[[#This Row],[goals]:[draws]])</f>
        <v>52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8</v>
      </c>
      <c r="F125" s="18">
        <f>SUMIFS(_stats[draws_on_date],_stats[player_id],_players[[#This Row],[player_id]])</f>
        <v>2</v>
      </c>
      <c r="G125" s="18">
        <f>SUM(_players[[#This Row],[goals]:[draws]])</f>
        <v>10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6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5</v>
      </c>
      <c r="F133" s="18">
        <f>SUMIFS(_stats[draws_on_date],_stats[player_id],_players[[#This Row],[player_id]])</f>
        <v>1</v>
      </c>
      <c r="G133" s="18">
        <f>SUM(_players[[#This Row],[goals]:[draws]])</f>
        <v>12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0</v>
      </c>
      <c r="F134" s="18">
        <f>SUMIFS(_stats[draws_on_date],_stats[player_id],_players[[#This Row],[player_id]])</f>
        <v>1</v>
      </c>
      <c r="G134" s="18">
        <f>SUM(_players[[#This Row],[goals]:[draws]])</f>
        <v>1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101"/>
  <sheetViews>
    <sheetView tabSelected="1" topLeftCell="A1076" workbookViewId="0">
      <selection activeCell="D1108" sqref="D1108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58"/>
  <sheetViews>
    <sheetView topLeftCell="A138" workbookViewId="0">
      <selection activeCell="E155" sqref="E155:E158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</sheetData>
  <dataValidations count="1">
    <dataValidation type="list" allowBlank="1" showInputMessage="1" showErrorMessage="1" sqref="B2:B158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2026-04-30T20:22:21Z</dcterms:modified>
</cp:coreProperties>
</file>