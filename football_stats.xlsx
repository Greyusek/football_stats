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441C99D7-89D5-4AD1-9E3F-183BD631F2F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1" i="1" l="1"/>
  <c r="D141" i="1"/>
  <c r="E141" i="1"/>
  <c r="F141" i="1"/>
  <c r="G141" i="1" s="1"/>
  <c r="C140" i="1"/>
  <c r="D140" i="1"/>
  <c r="E140" i="1"/>
  <c r="F140" i="1"/>
  <c r="C139" i="1"/>
  <c r="D139" i="1"/>
  <c r="E139" i="1"/>
  <c r="F139" i="1"/>
  <c r="D1178" i="2"/>
  <c r="G1178" i="2"/>
  <c r="H1178" i="2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H1169" i="2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E137" i="1" s="1"/>
  <c r="H1123" i="2"/>
  <c r="F137" i="1" s="1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F134" i="1" s="1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G140" i="1" l="1"/>
  <c r="G139" i="1"/>
  <c r="E126" i="1"/>
  <c r="E125" i="1"/>
  <c r="E133" i="1"/>
  <c r="F133" i="1"/>
  <c r="G137" i="1"/>
  <c r="F124" i="1"/>
  <c r="G124" i="1" s="1"/>
  <c r="G138" i="1"/>
  <c r="G136" i="1"/>
  <c r="G135" i="1"/>
  <c r="F125" i="1"/>
  <c r="G134" i="1"/>
  <c r="G132" i="1"/>
  <c r="E121" i="1"/>
  <c r="F123" i="1"/>
  <c r="E123" i="1"/>
  <c r="G131" i="1"/>
  <c r="G130" i="1"/>
  <c r="G129" i="1"/>
  <c r="F121" i="1"/>
  <c r="F126" i="1"/>
  <c r="F120" i="1"/>
  <c r="F122" i="1"/>
  <c r="E122" i="1"/>
  <c r="G128" i="1"/>
  <c r="G127" i="1"/>
  <c r="E120" i="1"/>
  <c r="G119" i="1"/>
  <c r="G118" i="1"/>
  <c r="G126" i="1" l="1"/>
  <c r="G133" i="1"/>
  <c r="G125" i="1"/>
  <c r="G121" i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<sst xmlns="http://schemas.openxmlformats.org/spreadsheetml/2006/main" count="2822" uniqueCount="158">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</sst>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1" totalsRowShown="0" headerRowDxfId="35" headerRowBorderDxfId="34" tableBorderDxfId="33" totalsRowBorderDxfId="32">
  <autoFilter ref="A1:G141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178" totalsRowShown="0" headerRowDxfId="24" dataDxfId="22" headerRowBorderDxfId="23" tableBorderDxfId="21" totalsRowBorderDxfId="20">
  <autoFilter ref="A1:J1178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67" totalsRowShown="0" headerRowDxfId="9" dataDxfId="7" headerRowBorderDxfId="8" tableBorderDxfId="6" totalsRowBorderDxfId="5">
  <autoFilter ref="A1:E16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1"/>
  <sheetViews>
    <sheetView tabSelected="1" topLeftCell="A119" workbookViewId="0">
      <selection activeCell="D150" sqref="D150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87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106</v>
      </c>
      <c r="F2" s="20">
        <f>SUMIFS(_stats[draws_on_date],_stats[player_id],_players[[#This Row],[player_id]])</f>
        <v>12</v>
      </c>
      <c r="G2" s="20">
        <f>SUM(_players[[#This Row],[goals]:[draws]])</f>
        <v>239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156</v>
      </c>
      <c r="F3" s="12">
        <f>SUMIFS(_stats[draws_on_date],_stats[player_id],_players[[#This Row],[player_id]])</f>
        <v>33</v>
      </c>
      <c r="G3" s="12">
        <f>SUM(_players[[#This Row],[goals]:[draws]])</f>
        <v>286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165</v>
      </c>
      <c r="F4" s="17">
        <f>SUMIFS(_stats[draws_on_date],_stats[player_id],_players[[#This Row],[player_id]])</f>
        <v>35</v>
      </c>
      <c r="G4" s="17">
        <f>SUM(_players[[#This Row],[goals]:[draws]])</f>
        <v>306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27</v>
      </c>
      <c r="E5" s="21">
        <f>SUMIFS(_stats[wins_on_date],_stats[player_id],_players[[#This Row],[player_id]])</f>
        <v>97</v>
      </c>
      <c r="F5" s="22">
        <f>SUMIFS(_stats[draws_on_date],_stats[player_id],_players[[#This Row],[player_id]])</f>
        <v>8</v>
      </c>
      <c r="G5" s="22">
        <f>SUM(_players[[#This Row],[goals]:[draws]])</f>
        <v>148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25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179</v>
      </c>
      <c r="F6" s="17">
        <f>SUMIFS(_stats[draws_on_date],_stats[player_id],_players[[#This Row],[player_id]])</f>
        <v>38</v>
      </c>
      <c r="G6" s="17">
        <f>SUM(_players[[#This Row],[goals]:[draws]])</f>
        <v>259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38</v>
      </c>
      <c r="D8" s="11">
        <f>SUMIFS(_stats[assists_on_date],_stats[player_id],_players[[#This Row],[player_id]])</f>
        <v>25</v>
      </c>
      <c r="E8" s="11">
        <f>SUMIFS(_stats[wins_on_date],_stats[player_id],_players[[#This Row],[player_id]])</f>
        <v>145</v>
      </c>
      <c r="F8" s="12">
        <f>SUMIFS(_stats[draws_on_date],_stats[player_id],_players[[#This Row],[player_id]])</f>
        <v>35</v>
      </c>
      <c r="G8" s="12">
        <f>SUM(_players[[#This Row],[goals]:[draws]])</f>
        <v>243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61</v>
      </c>
      <c r="D12" s="16">
        <f>SUMIFS(_stats[assists_on_date],_stats[player_id],_players[[#This Row],[player_id]])</f>
        <v>70</v>
      </c>
      <c r="E12" s="16">
        <f>SUMIFS(_stats[wins_on_date],_stats[player_id],_players[[#This Row],[player_id]])</f>
        <v>124</v>
      </c>
      <c r="F12" s="17">
        <f>SUMIFS(_stats[draws_on_date],_stats[player_id],_players[[#This Row],[player_id]])</f>
        <v>36</v>
      </c>
      <c r="G12" s="17">
        <f>SUM(_players[[#This Row],[goals]:[draws]])</f>
        <v>291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141</v>
      </c>
      <c r="F14" s="12">
        <f>SUMIFS(_stats[draws_on_date],_stats[player_id],_players[[#This Row],[player_id]])</f>
        <v>33</v>
      </c>
      <c r="G14" s="12">
        <f>SUM(_players[[#This Row],[goals]:[draws]])</f>
        <v>191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33</v>
      </c>
      <c r="E15" s="11">
        <f>SUMIFS(_stats[wins_on_date],_stats[player_id],_players[[#This Row],[player_id]])</f>
        <v>66</v>
      </c>
      <c r="F15" s="12">
        <f>SUMIFS(_stats[draws_on_date],_stats[player_id],_players[[#This Row],[player_id]])</f>
        <v>6</v>
      </c>
      <c r="G15" s="12">
        <f>SUM(_players[[#This Row],[goals]:[draws]])</f>
        <v>121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16</v>
      </c>
      <c r="D16" s="11">
        <f>SUMIFS(_stats[assists_on_date],_stats[player_id],_players[[#This Row],[player_id]])</f>
        <v>24</v>
      </c>
      <c r="E16" s="11">
        <f>SUMIFS(_stats[wins_on_date],_stats[player_id],_players[[#This Row],[player_id]])</f>
        <v>53</v>
      </c>
      <c r="F16" s="12">
        <f>SUMIFS(_stats[draws_on_date],_stats[player_id],_players[[#This Row],[player_id]])</f>
        <v>4</v>
      </c>
      <c r="G16" s="12">
        <f>SUM(_players[[#This Row],[goals]:[draws]])</f>
        <v>97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53</v>
      </c>
      <c r="F17" s="12">
        <f>SUMIFS(_stats[draws_on_date],_stats[player_id],_players[[#This Row],[player_id]])</f>
        <v>11</v>
      </c>
      <c r="G17" s="12">
        <f>SUM(_players[[#This Row],[goals]:[draws]])</f>
        <v>89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38</v>
      </c>
      <c r="D18" s="11">
        <f>SUMIFS(_stats[assists_on_date],_stats[player_id],_players[[#This Row],[player_id]])</f>
        <v>32</v>
      </c>
      <c r="E18" s="11">
        <f>SUMIFS(_stats[wins_on_date],_stats[player_id],_players[[#This Row],[player_id]])</f>
        <v>96</v>
      </c>
      <c r="F18" s="12">
        <f>SUMIFS(_stats[draws_on_date],_stats[player_id],_players[[#This Row],[player_id]])</f>
        <v>10</v>
      </c>
      <c r="G18" s="12">
        <f>SUM(_players[[#This Row],[goals]:[draws]])</f>
        <v>176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101</v>
      </c>
      <c r="F20" s="12">
        <f>SUMIFS(_stats[draws_on_date],_stats[player_id],_players[[#This Row],[player_id]])</f>
        <v>20</v>
      </c>
      <c r="G20" s="12">
        <f>SUM(_players[[#This Row],[goals]:[draws]])</f>
        <v>157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36</v>
      </c>
      <c r="D21" s="11">
        <f>SUMIFS(_stats[assists_on_date],_stats[player_id],_players[[#This Row],[player_id]])</f>
        <v>42</v>
      </c>
      <c r="E21" s="11">
        <f>SUMIFS(_stats[wins_on_date],_stats[player_id],_players[[#This Row],[player_id]])</f>
        <v>115</v>
      </c>
      <c r="F21" s="12">
        <f>SUMIFS(_stats[draws_on_date],_stats[player_id],_players[[#This Row],[player_id]])</f>
        <v>29</v>
      </c>
      <c r="G21" s="12">
        <f>SUM(_players[[#This Row],[goals]:[draws]])</f>
        <v>222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101</v>
      </c>
      <c r="F22" s="17">
        <f>SUMIFS(_stats[draws_on_date],_stats[player_id],_players[[#This Row],[player_id]])</f>
        <v>18</v>
      </c>
      <c r="G22" s="17">
        <f>SUM(_players[[#This Row],[goals]:[draws]])</f>
        <v>128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31</v>
      </c>
      <c r="D23" s="11">
        <f>SUMIFS(_stats[assists_on_date],_stats[player_id],_players[[#This Row],[player_id]])</f>
        <v>35</v>
      </c>
      <c r="E23" s="11">
        <f>SUMIFS(_stats[wins_on_date],_stats[player_id],_players[[#This Row],[player_id]])</f>
        <v>107</v>
      </c>
      <c r="F23" s="12">
        <f>SUMIFS(_stats[draws_on_date],_stats[player_id],_players[[#This Row],[player_id]])</f>
        <v>23</v>
      </c>
      <c r="G23" s="12">
        <f>SUM(_players[[#This Row],[goals]:[draws]])</f>
        <v>196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22</v>
      </c>
      <c r="E25" s="11">
        <f>SUMIFS(_stats[wins_on_date],_stats[player_id],_players[[#This Row],[player_id]])</f>
        <v>105</v>
      </c>
      <c r="F25" s="12">
        <f>SUMIFS(_stats[draws_on_date],_stats[player_id],_players[[#This Row],[player_id]])</f>
        <v>31</v>
      </c>
      <c r="G25" s="12">
        <f>SUM(_players[[#This Row],[goals]:[draws]])</f>
        <v>173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40</v>
      </c>
      <c r="F26" s="17">
        <f>SUMIFS(_stats[draws_on_date],_stats[player_id],_players[[#This Row],[player_id]])</f>
        <v>15</v>
      </c>
      <c r="G26" s="17">
        <f>SUM(_players[[#This Row],[goals]:[draws]])</f>
        <v>67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17</v>
      </c>
      <c r="E27" s="11">
        <f>SUMIFS(_stats[wins_on_date],_stats[player_id],_players[[#This Row],[player_id]])</f>
        <v>84</v>
      </c>
      <c r="F27" s="12">
        <f>SUMIFS(_stats[draws_on_date],_stats[player_id],_players[[#This Row],[player_id]])</f>
        <v>16</v>
      </c>
      <c r="G27" s="12">
        <f>SUM(_players[[#This Row],[goals]:[draws]])</f>
        <v>129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SUM(_players[[#This Row],[goals]:[draws]])</f>
        <v>78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SUM(_players[[#This Row],[goals]:[draws]])</f>
        <v>71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24</v>
      </c>
      <c r="F33" s="12">
        <f>SUMIFS(_stats[draws_on_date],_stats[player_id],_players[[#This Row],[player_id]])</f>
        <v>10</v>
      </c>
      <c r="G33" s="12">
        <f>SUM(_players[[#This Row],[goals]:[draws]])</f>
        <v>46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12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72</v>
      </c>
      <c r="F35" s="17">
        <f>SUMIFS(_stats[draws_on_date],_stats[player_id],_players[[#This Row],[player_id]])</f>
        <v>23</v>
      </c>
      <c r="G35" s="17">
        <f>SUM(_players[[#This Row],[goals]:[draws]])</f>
        <v>117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56</v>
      </c>
      <c r="F38" s="12">
        <f>SUMIFS(_stats[draws_on_date],_stats[player_id],_players[[#This Row],[player_id]])</f>
        <v>19</v>
      </c>
      <c r="G38" s="12">
        <f>SUM(_players[[#This Row],[goals]:[draws]])</f>
        <v>102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143</v>
      </c>
      <c r="F39" s="12">
        <f>SUMIFS(_stats[draws_on_date],_stats[player_id],_players[[#This Row],[player_id]])</f>
        <v>46</v>
      </c>
      <c r="G39" s="12">
        <f>SUM(_players[[#This Row],[goals]:[draws]])</f>
        <v>191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24</v>
      </c>
      <c r="G41" s="12">
        <f>SUM(_players[[#This Row],[goals]:[draws]])</f>
        <v>134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10</v>
      </c>
      <c r="E42" s="16">
        <f>SUMIFS(_stats[wins_on_date],_stats[player_id],_players[[#This Row],[player_id]])</f>
        <v>46</v>
      </c>
      <c r="F42" s="17">
        <f>SUMIFS(_stats[draws_on_date],_stats[player_id],_players[[#This Row],[player_id]])</f>
        <v>11</v>
      </c>
      <c r="G42" s="17">
        <f>SUM(_players[[#This Row],[goals]:[draws]])</f>
        <v>80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38</v>
      </c>
      <c r="F43" s="12">
        <f>SUMIFS(_stats[draws_on_date],_stats[player_id],_players[[#This Row],[player_id]])</f>
        <v>11</v>
      </c>
      <c r="G43" s="12">
        <f>SUM(_players[[#This Row],[goals]:[draws]])</f>
        <v>64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SUM(_players[[#This Row],[goals]:[draws]])</f>
        <v>91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36</v>
      </c>
      <c r="F50" s="12">
        <f>SUMIFS(_stats[draws_on_date],_stats[player_id],_players[[#This Row],[player_id]])</f>
        <v>4</v>
      </c>
      <c r="G50" s="12">
        <f>SUM(_players[[#This Row],[goals]:[draws]])</f>
        <v>41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SUM(_players[[#This Row],[goals]:[draws]])</f>
        <v>13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SUM(_players[[#This Row],[goals]:[draws]])</f>
        <v>19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SUM(_players[[#This Row],[goals]:[draws]])</f>
        <v>58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81</v>
      </c>
      <c r="F64" s="18">
        <f>SUMIFS(_stats[draws_on_date],_stats[player_id],_players[[#This Row],[player_id]])</f>
        <v>22</v>
      </c>
      <c r="G64" s="18">
        <f>SUM(_players[[#This Row],[goals]:[draws]])</f>
        <v>139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SUM(_players[[#This Row],[goals]:[draws]])</f>
        <v>91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SUM(_players[[#This Row],[goals]:[draws]])</f>
        <v>9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SUM(_players[[#This Row],[goals]:[draws]])</f>
        <v>105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SUM(_players[[#This Row],[goals]:[draws]])</f>
        <v>31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SUM(_players[[#This Row],[goals]:[draws]])</f>
        <v>39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SUM(_players[[#This Row],[goals]:[draws]])</f>
        <v>13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29</v>
      </c>
      <c r="F110" s="18">
        <f>SUMIFS(_stats[draws_on_date],_stats[player_id],_players[[#This Row],[player_id]])</f>
        <v>11</v>
      </c>
      <c r="G110" s="18">
        <f>SUM(_players[[#This Row],[goals]:[draws]])</f>
        <v>40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17</v>
      </c>
      <c r="F120" s="18">
        <f>SUMIFS(_stats[draws_on_date],_stats[player_id],_players[[#This Row],[player_id]])</f>
        <v>7</v>
      </c>
      <c r="G120" s="18">
        <f>SUM(_players[[#This Row],[goals]:[draws]])</f>
        <v>34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9</v>
      </c>
      <c r="E121" s="10">
        <f>SUMIFS(_stats[wins_on_date],_stats[player_id],_players[[#This Row],[player_id]])</f>
        <v>40</v>
      </c>
      <c r="F121" s="18">
        <f>SUMIFS(_stats[draws_on_date],_stats[player_id],_players[[#This Row],[player_id]])</f>
        <v>14</v>
      </c>
      <c r="G121" s="18">
        <f>SUM(_players[[#This Row],[goals]:[draws]])</f>
        <v>76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SUM(_players[[#This Row],[goals]:[draws]])</f>
        <v>13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SUM(_players[[#This Row],[goals]:[draws]])</f>
        <v>12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SUM(_players[[#This Row],[goals]:[draws]])</f>
        <v>15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5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10</v>
      </c>
      <c r="F126" s="18">
        <f>SUMIFS(_stats[draws_on_date],_stats[player_id],_players[[#This Row],[player_id]])</f>
        <v>5</v>
      </c>
      <c r="G126" s="18">
        <f>SUM(_players[[#This Row],[goals]:[draws]])</f>
        <v>22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SUM(_players[[#This Row],[goals]:[draws]])</f>
        <v>18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7</v>
      </c>
      <c r="F134" s="18">
        <f>SUMIFS(_stats[draws_on_date],_stats[player_id],_players[[#This Row],[player_id]])</f>
        <v>2</v>
      </c>
      <c r="G134" s="18">
        <f>SUM(_players[[#This Row],[goals]:[draws]])</f>
        <v>9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  <row r="136" spans="1:7" x14ac:dyDescent="0.25">
      <c r="A136" s="36" t="s">
        <v>152</v>
      </c>
      <c r="B136" s="36" t="s">
        <v>152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SUM(_players[[#This Row],[goals]:[draws]])</f>
        <v>8</v>
      </c>
    </row>
    <row r="137" spans="1:7" x14ac:dyDescent="0.25">
      <c r="A137" s="36" t="s">
        <v>153</v>
      </c>
      <c r="B137" s="36" t="s">
        <v>153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7</v>
      </c>
      <c r="F137" s="18">
        <f>SUMIFS(_stats[draws_on_date],_stats[player_id],_players[[#This Row],[player_id]])</f>
        <v>1</v>
      </c>
      <c r="G137" s="18">
        <f>SUM(_players[[#This Row],[goals]:[draws]])</f>
        <v>10</v>
      </c>
    </row>
    <row r="138" spans="1:7" x14ac:dyDescent="0.25">
      <c r="A138" s="36" t="s">
        <v>154</v>
      </c>
      <c r="B138" s="36" t="s">
        <v>154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SUM(_players[[#This Row],[goals]:[draws]])</f>
        <v>2</v>
      </c>
    </row>
    <row r="139" spans="1:7" x14ac:dyDescent="0.25">
      <c r="A139" s="36" t="s">
        <v>155</v>
      </c>
      <c r="B139" s="36" t="s">
        <v>155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SUM(_players[[#This Row],[goals]:[draws]])</f>
        <v>5</v>
      </c>
    </row>
    <row r="140" spans="1:7" x14ac:dyDescent="0.25">
      <c r="A140" s="36" t="s">
        <v>156</v>
      </c>
      <c r="B140" s="36" t="s">
        <v>156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0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SUM(_players[[#This Row],[goals]:[draws]])</f>
        <v>7</v>
      </c>
    </row>
    <row r="141" spans="1:7" x14ac:dyDescent="0.25">
      <c r="A141" s="36" t="s">
        <v>157</v>
      </c>
      <c r="B141" s="36" t="s">
        <v>157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178"/>
  <sheetViews>
    <sheetView topLeftCell="A1143" workbookViewId="0">
      <selection activeCell="G1176" sqref="G1176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  <row r="1102" spans="1:10" x14ac:dyDescent="0.25">
      <c r="A1102" s="6">
        <v>46145</v>
      </c>
      <c r="B1102" s="7">
        <v>2</v>
      </c>
      <c r="C1102" s="7" t="s">
        <v>12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6" t="s">
        <v>104</v>
      </c>
    </row>
    <row r="1103" spans="1:10" x14ac:dyDescent="0.25">
      <c r="A1103" s="6">
        <v>46145</v>
      </c>
      <c r="B1103" s="7">
        <v>4</v>
      </c>
      <c r="C1103" s="7" t="s">
        <v>125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6" t="s">
        <v>104</v>
      </c>
    </row>
    <row r="1104" spans="1:10" x14ac:dyDescent="0.25">
      <c r="A1104" s="6">
        <v>46145</v>
      </c>
      <c r="B1104" s="7">
        <v>3</v>
      </c>
      <c r="C1104" s="7" t="s">
        <v>111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6" t="s">
        <v>104</v>
      </c>
    </row>
    <row r="1105" spans="1:10" x14ac:dyDescent="0.25">
      <c r="A1105" s="6">
        <v>46145</v>
      </c>
      <c r="B1105" s="7">
        <v>2</v>
      </c>
      <c r="C1105" s="7" t="s">
        <v>65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6" t="s">
        <v>104</v>
      </c>
    </row>
    <row r="1106" spans="1:10" x14ac:dyDescent="0.25">
      <c r="A1106" s="6">
        <v>46145</v>
      </c>
      <c r="B1106" s="7">
        <v>2</v>
      </c>
      <c r="C1106" s="7" t="s">
        <v>152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6" t="s">
        <v>104</v>
      </c>
    </row>
    <row r="1107" spans="1:10" x14ac:dyDescent="0.25">
      <c r="A1107" s="6">
        <v>46145</v>
      </c>
      <c r="B1107" s="7">
        <v>1</v>
      </c>
      <c r="C1107" s="7" t="s">
        <v>50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6" t="s">
        <v>104</v>
      </c>
    </row>
    <row r="1108" spans="1:10" x14ac:dyDescent="0.25">
      <c r="A1108" s="6">
        <v>46145</v>
      </c>
      <c r="B1108" s="7">
        <v>2</v>
      </c>
      <c r="C1108" s="7" t="s">
        <v>60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6" t="s">
        <v>104</v>
      </c>
    </row>
    <row r="1109" spans="1:10" x14ac:dyDescent="0.25">
      <c r="A1109" s="6">
        <v>46145</v>
      </c>
      <c r="B1109" s="7">
        <v>2</v>
      </c>
      <c r="C1109" s="7" t="s">
        <v>15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6" t="s">
        <v>104</v>
      </c>
    </row>
    <row r="1110" spans="1:10" x14ac:dyDescent="0.25">
      <c r="A1110" s="6">
        <v>46145</v>
      </c>
      <c r="B1110" s="7">
        <v>4</v>
      </c>
      <c r="C1110" s="7" t="s">
        <v>76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6" t="s">
        <v>104</v>
      </c>
    </row>
    <row r="1111" spans="1:10" x14ac:dyDescent="0.25">
      <c r="A1111" s="6">
        <v>46145</v>
      </c>
      <c r="B1111" s="7">
        <v>1</v>
      </c>
      <c r="C1111" s="7" t="s">
        <v>46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6" t="s">
        <v>104</v>
      </c>
    </row>
    <row r="1112" spans="1:10" x14ac:dyDescent="0.25">
      <c r="A1112" s="6">
        <v>46145</v>
      </c>
      <c r="B1112" s="7">
        <v>1</v>
      </c>
      <c r="C1112" s="7" t="s">
        <v>135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6" t="s">
        <v>104</v>
      </c>
    </row>
    <row r="1113" spans="1:10" x14ac:dyDescent="0.25">
      <c r="A1113" s="6">
        <v>46145</v>
      </c>
      <c r="B1113" s="7">
        <v>4</v>
      </c>
      <c r="C1113" s="7" t="s">
        <v>86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6" t="s">
        <v>104</v>
      </c>
    </row>
    <row r="1114" spans="1:10" x14ac:dyDescent="0.25">
      <c r="A1114" s="6">
        <v>46145</v>
      </c>
      <c r="B1114" s="7">
        <v>1</v>
      </c>
      <c r="C1114" s="7" t="s">
        <v>16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6" t="s">
        <v>104</v>
      </c>
    </row>
    <row r="1115" spans="1:10" x14ac:dyDescent="0.25">
      <c r="A1115" s="6">
        <v>46145</v>
      </c>
      <c r="B1115" s="7">
        <v>2</v>
      </c>
      <c r="C1115" s="7" t="s">
        <v>23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6" t="s">
        <v>104</v>
      </c>
    </row>
    <row r="1116" spans="1:10" x14ac:dyDescent="0.25">
      <c r="A1116" s="6">
        <v>46145</v>
      </c>
      <c r="B1116" s="7">
        <v>1</v>
      </c>
      <c r="C1116" s="7" t="s">
        <v>136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6" t="s">
        <v>104</v>
      </c>
    </row>
    <row r="1117" spans="1:10" x14ac:dyDescent="0.25">
      <c r="A1117" s="6">
        <v>46145</v>
      </c>
      <c r="B1117" s="7">
        <v>1</v>
      </c>
      <c r="C1117" s="7" t="s">
        <v>80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6" t="s">
        <v>104</v>
      </c>
    </row>
    <row r="1118" spans="1:10" x14ac:dyDescent="0.25">
      <c r="A1118" s="6">
        <v>46145</v>
      </c>
      <c r="B1118" s="7">
        <v>1</v>
      </c>
      <c r="C1118" s="7" t="s">
        <v>18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6" t="s">
        <v>104</v>
      </c>
    </row>
    <row r="1119" spans="1:10" x14ac:dyDescent="0.25">
      <c r="A1119" s="6">
        <v>46145</v>
      </c>
      <c r="B1119" s="7">
        <v>4</v>
      </c>
      <c r="C1119" s="7" t="s">
        <v>141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6" t="s">
        <v>104</v>
      </c>
    </row>
    <row r="1120" spans="1:10" x14ac:dyDescent="0.25">
      <c r="A1120" s="6">
        <v>46145</v>
      </c>
      <c r="B1120" s="7">
        <v>3</v>
      </c>
      <c r="C1120" s="7" t="s">
        <v>29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6" t="s">
        <v>104</v>
      </c>
    </row>
    <row r="1121" spans="1:10" x14ac:dyDescent="0.25">
      <c r="A1121" s="6">
        <v>46145</v>
      </c>
      <c r="B1121" s="7">
        <v>2</v>
      </c>
      <c r="C1121" s="7" t="s">
        <v>53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6" t="s">
        <v>104</v>
      </c>
    </row>
    <row r="1122" spans="1:10" x14ac:dyDescent="0.25">
      <c r="A1122" s="6">
        <v>46145</v>
      </c>
      <c r="B1122" s="7">
        <v>1</v>
      </c>
      <c r="C1122" s="7" t="s">
        <v>20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6" t="s">
        <v>104</v>
      </c>
    </row>
    <row r="1123" spans="1:10" x14ac:dyDescent="0.25">
      <c r="A1123" s="6">
        <v>46145</v>
      </c>
      <c r="B1123" s="7">
        <v>2</v>
      </c>
      <c r="C1123" s="7" t="s">
        <v>153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6" t="s">
        <v>104</v>
      </c>
    </row>
    <row r="1124" spans="1:10" x14ac:dyDescent="0.25">
      <c r="A1124" s="6">
        <v>46145</v>
      </c>
      <c r="B1124" s="7">
        <v>1</v>
      </c>
      <c r="C1124" s="7" t="s">
        <v>24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6" t="s">
        <v>104</v>
      </c>
    </row>
    <row r="1125" spans="1:10" x14ac:dyDescent="0.25">
      <c r="A1125" s="6">
        <v>46145</v>
      </c>
      <c r="B1125" s="7">
        <v>2</v>
      </c>
      <c r="C1125" s="7" t="s">
        <v>139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6" t="s">
        <v>104</v>
      </c>
    </row>
    <row r="1126" spans="1:10" x14ac:dyDescent="0.25">
      <c r="A1126" s="6">
        <v>46145</v>
      </c>
      <c r="B1126" s="7">
        <v>4</v>
      </c>
      <c r="C1126" s="7" t="s">
        <v>81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6" t="s">
        <v>104</v>
      </c>
    </row>
    <row r="1127" spans="1:10" x14ac:dyDescent="0.25">
      <c r="A1127" s="6">
        <v>46145</v>
      </c>
      <c r="B1127" s="7">
        <v>3</v>
      </c>
      <c r="C1127" s="7" t="s">
        <v>43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6" t="s">
        <v>104</v>
      </c>
    </row>
    <row r="1128" spans="1:10" x14ac:dyDescent="0.25">
      <c r="A1128" s="6">
        <v>46145</v>
      </c>
      <c r="B1128" s="7">
        <v>3</v>
      </c>
      <c r="C1128" s="7" t="s">
        <v>111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6" t="s">
        <v>104</v>
      </c>
    </row>
    <row r="1129" spans="1:10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6" t="s">
        <v>104</v>
      </c>
    </row>
    <row r="1130" spans="1:10" x14ac:dyDescent="0.25">
      <c r="A1130" s="6">
        <v>46145</v>
      </c>
      <c r="B1130" s="7">
        <v>4</v>
      </c>
      <c r="C1130" s="7" t="s">
        <v>54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6" t="s">
        <v>104</v>
      </c>
    </row>
    <row r="1131" spans="1:10" x14ac:dyDescent="0.25">
      <c r="A1131" s="6">
        <v>46145</v>
      </c>
      <c r="B1131" s="7">
        <v>4</v>
      </c>
      <c r="C1131" s="7" t="s">
        <v>141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6" t="s">
        <v>104</v>
      </c>
    </row>
    <row r="1132" spans="1:10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6" t="s">
        <v>104</v>
      </c>
    </row>
    <row r="1133" spans="1:10" x14ac:dyDescent="0.25">
      <c r="A1133" s="6">
        <v>46145</v>
      </c>
      <c r="B1133" s="7">
        <v>3</v>
      </c>
      <c r="C1133" s="7" t="s">
        <v>51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6" t="s">
        <v>104</v>
      </c>
    </row>
    <row r="1134" spans="1:10" x14ac:dyDescent="0.25">
      <c r="A1134" s="6">
        <v>46145</v>
      </c>
      <c r="B1134" s="7">
        <v>3</v>
      </c>
      <c r="C1134" s="7" t="s">
        <v>19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6" t="s">
        <v>104</v>
      </c>
    </row>
    <row r="1135" spans="1:10" x14ac:dyDescent="0.25">
      <c r="A1135" s="6">
        <v>46145</v>
      </c>
      <c r="B1135" s="7">
        <v>2</v>
      </c>
      <c r="C1135" s="7" t="s">
        <v>150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6" t="s">
        <v>104</v>
      </c>
    </row>
    <row r="1136" spans="1:10" x14ac:dyDescent="0.25">
      <c r="A1136" s="6">
        <v>46145</v>
      </c>
      <c r="B1136" s="7">
        <v>3</v>
      </c>
      <c r="C1136" s="7" t="s">
        <v>149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6" t="s">
        <v>104</v>
      </c>
    </row>
    <row r="1137" spans="1:10" x14ac:dyDescent="0.25">
      <c r="A1137" s="6">
        <v>46145</v>
      </c>
      <c r="B1137" s="7">
        <v>4</v>
      </c>
      <c r="C1137" s="7" t="s">
        <v>154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6" t="s">
        <v>104</v>
      </c>
    </row>
    <row r="1138" spans="1:10" x14ac:dyDescent="0.25">
      <c r="A1138" s="6">
        <v>46145</v>
      </c>
      <c r="B1138" s="7">
        <v>3</v>
      </c>
      <c r="C1138" s="7" t="s">
        <v>42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6" t="s">
        <v>104</v>
      </c>
    </row>
    <row r="1139" spans="1:10" x14ac:dyDescent="0.25">
      <c r="A1139" s="6">
        <v>46145</v>
      </c>
      <c r="B1139" s="7">
        <v>3</v>
      </c>
      <c r="C1139" s="7" t="s">
        <v>47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6" t="s">
        <v>104</v>
      </c>
    </row>
    <row r="1140" spans="1:10" x14ac:dyDescent="0.25">
      <c r="A1140" s="6">
        <v>46145</v>
      </c>
      <c r="B1140" s="7">
        <v>3</v>
      </c>
      <c r="C1140" s="7" t="s">
        <v>140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6" t="s">
        <v>104</v>
      </c>
    </row>
    <row r="1141" spans="1:10" x14ac:dyDescent="0.25">
      <c r="A1141" s="6">
        <v>46149</v>
      </c>
      <c r="B1141" s="7">
        <v>1</v>
      </c>
      <c r="C1141" s="7" t="s">
        <v>60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6" t="s">
        <v>104</v>
      </c>
    </row>
    <row r="1142" spans="1:10" x14ac:dyDescent="0.25">
      <c r="A1142" s="6">
        <v>46149</v>
      </c>
      <c r="B1142" s="7">
        <v>1</v>
      </c>
      <c r="C1142" s="7" t="s">
        <v>22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6" t="s">
        <v>104</v>
      </c>
    </row>
    <row r="1143" spans="1:10" x14ac:dyDescent="0.25">
      <c r="A1143" s="6">
        <v>46149</v>
      </c>
      <c r="B1143" s="7">
        <v>2</v>
      </c>
      <c r="C1143" s="7" t="s">
        <v>46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6" t="s">
        <v>104</v>
      </c>
    </row>
    <row r="1144" spans="1:10" x14ac:dyDescent="0.25">
      <c r="A1144" s="6">
        <v>46149</v>
      </c>
      <c r="B1144" s="7">
        <v>2</v>
      </c>
      <c r="C1144" s="7" t="s">
        <v>15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6" t="s">
        <v>104</v>
      </c>
    </row>
    <row r="1145" spans="1:10" x14ac:dyDescent="0.25">
      <c r="A1145" s="6">
        <v>46149</v>
      </c>
      <c r="B1145" s="7">
        <v>1</v>
      </c>
      <c r="C1145" s="7" t="s">
        <v>43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6" t="s">
        <v>104</v>
      </c>
    </row>
    <row r="1146" spans="1:10" x14ac:dyDescent="0.25">
      <c r="A1146" s="6">
        <v>46149</v>
      </c>
      <c r="B1146" s="7">
        <v>2</v>
      </c>
      <c r="C1146" s="7" t="s">
        <v>92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6" t="s">
        <v>104</v>
      </c>
    </row>
    <row r="1147" spans="1:10" x14ac:dyDescent="0.25">
      <c r="A1147" s="6">
        <v>46149</v>
      </c>
      <c r="B1147" s="7">
        <v>1</v>
      </c>
      <c r="C1147" s="7" t="s">
        <v>136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6" t="s">
        <v>104</v>
      </c>
    </row>
    <row r="1148" spans="1:10" x14ac:dyDescent="0.25">
      <c r="A1148" s="6">
        <v>46149</v>
      </c>
      <c r="B1148" s="7">
        <v>2</v>
      </c>
      <c r="C1148" s="7" t="s">
        <v>64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6" t="s">
        <v>104</v>
      </c>
    </row>
    <row r="1149" spans="1:10" x14ac:dyDescent="0.25">
      <c r="A1149" s="6">
        <v>46149</v>
      </c>
      <c r="B1149" s="7">
        <v>2</v>
      </c>
      <c r="C1149" s="7" t="s">
        <v>20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6" t="s">
        <v>104</v>
      </c>
    </row>
    <row r="1150" spans="1:10" x14ac:dyDescent="0.25">
      <c r="A1150" s="6">
        <v>46149</v>
      </c>
      <c r="B1150" s="7">
        <v>2</v>
      </c>
      <c r="C1150" s="7" t="s">
        <v>26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6" t="s">
        <v>104</v>
      </c>
    </row>
    <row r="1151" spans="1:10" x14ac:dyDescent="0.25">
      <c r="A1151" s="6">
        <v>46149</v>
      </c>
      <c r="B1151" s="7">
        <v>1</v>
      </c>
      <c r="C1151" s="7" t="s">
        <v>18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6" t="s">
        <v>104</v>
      </c>
    </row>
    <row r="1152" spans="1:10" x14ac:dyDescent="0.25">
      <c r="A1152" s="6">
        <v>46149</v>
      </c>
      <c r="B1152" s="7">
        <v>2</v>
      </c>
      <c r="C1152" s="7" t="s">
        <v>23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6" t="s">
        <v>104</v>
      </c>
    </row>
    <row r="1153" spans="1:10" x14ac:dyDescent="0.25">
      <c r="A1153" s="6">
        <v>46149</v>
      </c>
      <c r="B1153" s="7">
        <v>1</v>
      </c>
      <c r="C1153" s="7" t="s">
        <v>45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6" t="s">
        <v>104</v>
      </c>
    </row>
    <row r="1154" spans="1:10" x14ac:dyDescent="0.25">
      <c r="A1154" s="6">
        <v>46149</v>
      </c>
      <c r="B1154" s="7">
        <v>1</v>
      </c>
      <c r="C1154" s="7" t="s">
        <v>53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6" t="s">
        <v>104</v>
      </c>
    </row>
    <row r="1155" spans="1:10" x14ac:dyDescent="0.25">
      <c r="A1155" s="6">
        <v>46149</v>
      </c>
      <c r="B1155" s="7">
        <v>1</v>
      </c>
      <c r="C1155" s="7" t="s">
        <v>28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6" t="s">
        <v>104</v>
      </c>
    </row>
    <row r="1156" spans="1:10" x14ac:dyDescent="0.25">
      <c r="A1156" s="6">
        <v>46156</v>
      </c>
      <c r="B1156" s="7">
        <v>1</v>
      </c>
      <c r="C1156" s="7" t="s">
        <v>45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6" t="s">
        <v>104</v>
      </c>
    </row>
    <row r="1157" spans="1:10" x14ac:dyDescent="0.25">
      <c r="A1157" s="6">
        <v>46156</v>
      </c>
      <c r="B1157" s="7">
        <v>1</v>
      </c>
      <c r="C1157" s="7" t="s">
        <v>26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6" t="s">
        <v>104</v>
      </c>
    </row>
    <row r="1158" spans="1:10" x14ac:dyDescent="0.25">
      <c r="A1158" s="6">
        <v>46156</v>
      </c>
      <c r="B1158" s="7">
        <v>1</v>
      </c>
      <c r="C1158" s="7" t="s">
        <v>64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6" t="s">
        <v>104</v>
      </c>
    </row>
    <row r="1159" spans="1:10" x14ac:dyDescent="0.25">
      <c r="A1159" s="6">
        <v>46156</v>
      </c>
      <c r="B1159" s="7">
        <v>1</v>
      </c>
      <c r="C1159" s="7" t="s">
        <v>68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6" t="s">
        <v>104</v>
      </c>
    </row>
    <row r="1160" spans="1:10" x14ac:dyDescent="0.25">
      <c r="A1160" s="6">
        <v>46156</v>
      </c>
      <c r="B1160" s="7">
        <v>1</v>
      </c>
      <c r="C1160" s="7" t="s">
        <v>125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6" t="s">
        <v>104</v>
      </c>
    </row>
    <row r="1161" spans="1:10" x14ac:dyDescent="0.25">
      <c r="A1161" s="6">
        <v>46156</v>
      </c>
      <c r="B1161" s="7">
        <v>1</v>
      </c>
      <c r="C1161" s="7" t="s">
        <v>52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6" t="s">
        <v>104</v>
      </c>
    </row>
    <row r="1162" spans="1:10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6" t="s">
        <v>104</v>
      </c>
    </row>
    <row r="1163" spans="1:10" x14ac:dyDescent="0.25">
      <c r="A1163" s="6">
        <v>46156</v>
      </c>
      <c r="B1163" s="7">
        <v>2</v>
      </c>
      <c r="C1163" s="7" t="s">
        <v>136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6" t="s">
        <v>104</v>
      </c>
    </row>
    <row r="1164" spans="1:10" x14ac:dyDescent="0.25">
      <c r="A1164" s="6">
        <v>46156</v>
      </c>
      <c r="B1164" s="7">
        <v>2</v>
      </c>
      <c r="C1164" s="7" t="s">
        <v>23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6" t="s">
        <v>104</v>
      </c>
    </row>
    <row r="1165" spans="1:10" x14ac:dyDescent="0.25">
      <c r="A1165" s="6">
        <v>46156</v>
      </c>
      <c r="B1165" s="7">
        <v>2</v>
      </c>
      <c r="C1165" s="7" t="s">
        <v>58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6" t="s">
        <v>104</v>
      </c>
    </row>
    <row r="1166" spans="1:10" x14ac:dyDescent="0.25">
      <c r="A1166" s="6">
        <v>46156</v>
      </c>
      <c r="B1166" s="7">
        <v>2</v>
      </c>
      <c r="C1166" s="7" t="s">
        <v>141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6" t="s">
        <v>104</v>
      </c>
    </row>
    <row r="1167" spans="1:10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6" t="s">
        <v>104</v>
      </c>
    </row>
    <row r="1168" spans="1:10" x14ac:dyDescent="0.25">
      <c r="A1168" s="6">
        <v>46156</v>
      </c>
      <c r="B1168" s="7">
        <v>2</v>
      </c>
      <c r="C1168" s="7" t="s">
        <v>124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6" t="s">
        <v>104</v>
      </c>
    </row>
    <row r="1169" spans="1:10" x14ac:dyDescent="0.25">
      <c r="A1169" s="6">
        <v>46156</v>
      </c>
      <c r="B1169" s="7">
        <v>2</v>
      </c>
      <c r="C1169" s="7" t="s">
        <v>155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6" t="s">
        <v>104</v>
      </c>
    </row>
    <row r="1170" spans="1:10" x14ac:dyDescent="0.25">
      <c r="A1170" s="6">
        <v>46156</v>
      </c>
      <c r="B1170" s="7">
        <v>2</v>
      </c>
      <c r="C1170" s="7" t="s">
        <v>156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6" t="s">
        <v>104</v>
      </c>
    </row>
    <row r="1171" spans="1:10" x14ac:dyDescent="0.25">
      <c r="A1171" s="6">
        <v>46156</v>
      </c>
      <c r="B1171" s="7">
        <v>3</v>
      </c>
      <c r="C1171" s="7" t="s">
        <v>20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6" t="s">
        <v>104</v>
      </c>
    </row>
    <row r="1172" spans="1:10" x14ac:dyDescent="0.25">
      <c r="A1172" s="6">
        <v>46156</v>
      </c>
      <c r="B1172" s="7">
        <v>3</v>
      </c>
      <c r="C1172" s="7" t="s">
        <v>46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6" t="s">
        <v>104</v>
      </c>
    </row>
    <row r="1173" spans="1:10" x14ac:dyDescent="0.25">
      <c r="A1173" s="6">
        <v>46156</v>
      </c>
      <c r="B1173" s="7">
        <v>3</v>
      </c>
      <c r="C1173" s="7" t="s">
        <v>92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6" t="s">
        <v>104</v>
      </c>
    </row>
    <row r="1174" spans="1:10" x14ac:dyDescent="0.25">
      <c r="A1174" s="6">
        <v>46156</v>
      </c>
      <c r="B1174" s="7">
        <v>3</v>
      </c>
      <c r="C1174" s="7" t="s">
        <v>43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6" t="s">
        <v>104</v>
      </c>
    </row>
    <row r="1175" spans="1:10" x14ac:dyDescent="0.25">
      <c r="A1175" s="6">
        <v>46156</v>
      </c>
      <c r="B1175" s="7">
        <v>3</v>
      </c>
      <c r="C1175" s="7" t="s">
        <v>44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6" t="s">
        <v>104</v>
      </c>
    </row>
    <row r="1176" spans="1:10" x14ac:dyDescent="0.25">
      <c r="A1176" s="6">
        <v>46156</v>
      </c>
      <c r="B1176" s="7">
        <v>3</v>
      </c>
      <c r="C1176" s="7" t="s">
        <v>137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6" t="s">
        <v>104</v>
      </c>
    </row>
    <row r="1177" spans="1:10" x14ac:dyDescent="0.25">
      <c r="A1177" s="6">
        <v>46156</v>
      </c>
      <c r="B1177" s="7">
        <v>3</v>
      </c>
      <c r="C1177" s="7" t="s">
        <v>52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6" t="s">
        <v>104</v>
      </c>
    </row>
    <row r="1178" spans="1:10" x14ac:dyDescent="0.25">
      <c r="A1178" s="6">
        <v>46156</v>
      </c>
      <c r="B1178" s="7">
        <v>3</v>
      </c>
      <c r="C1178" s="7" t="s">
        <v>157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6" t="s">
        <v>104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67"/>
  <sheetViews>
    <sheetView topLeftCell="A138" workbookViewId="0">
      <selection activeCell="E167" sqref="E167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  <row r="159" spans="1:5" x14ac:dyDescent="0.25">
      <c r="A159" s="13">
        <v>46145</v>
      </c>
      <c r="B159" s="7">
        <v>1</v>
      </c>
      <c r="C159" s="8">
        <v>4</v>
      </c>
      <c r="D159" s="8">
        <v>1</v>
      </c>
      <c r="E159" s="8" t="s">
        <v>104</v>
      </c>
    </row>
    <row r="160" spans="1:5" x14ac:dyDescent="0.25">
      <c r="A160" s="13">
        <v>46145</v>
      </c>
      <c r="B160" s="7">
        <v>2</v>
      </c>
      <c r="C160" s="8">
        <v>7</v>
      </c>
      <c r="D160" s="8">
        <v>1</v>
      </c>
      <c r="E160" s="8" t="s">
        <v>104</v>
      </c>
    </row>
    <row r="161" spans="1:5" x14ac:dyDescent="0.25">
      <c r="A161" s="13">
        <v>46145</v>
      </c>
      <c r="B161" s="7">
        <v>3</v>
      </c>
      <c r="C161" s="8">
        <v>4</v>
      </c>
      <c r="D161" s="8">
        <v>0</v>
      </c>
      <c r="E161" s="8" t="s">
        <v>104</v>
      </c>
    </row>
    <row r="162" spans="1:5" x14ac:dyDescent="0.25">
      <c r="A162" s="13">
        <v>46145</v>
      </c>
      <c r="B162" s="7">
        <v>4</v>
      </c>
      <c r="C162" s="8">
        <v>1</v>
      </c>
      <c r="D162" s="8">
        <v>0</v>
      </c>
      <c r="E162" s="8" t="s">
        <v>104</v>
      </c>
    </row>
    <row r="163" spans="1:5" x14ac:dyDescent="0.25">
      <c r="A163" s="13">
        <v>46149</v>
      </c>
      <c r="B163" s="7">
        <v>1</v>
      </c>
      <c r="C163" s="8">
        <v>5</v>
      </c>
      <c r="D163" s="8">
        <v>1</v>
      </c>
      <c r="E163" s="8" t="s">
        <v>104</v>
      </c>
    </row>
    <row r="164" spans="1:5" x14ac:dyDescent="0.25">
      <c r="A164" s="13">
        <v>46149</v>
      </c>
      <c r="B164" s="7">
        <v>2</v>
      </c>
      <c r="C164" s="8">
        <v>6</v>
      </c>
      <c r="D164" s="8">
        <v>1</v>
      </c>
      <c r="E164" s="8" t="s">
        <v>104</v>
      </c>
    </row>
    <row r="165" spans="1:5" x14ac:dyDescent="0.25">
      <c r="A165" s="13">
        <v>46156</v>
      </c>
      <c r="B165" s="7">
        <v>1</v>
      </c>
      <c r="C165" s="8">
        <v>4</v>
      </c>
      <c r="D165" s="8">
        <v>1</v>
      </c>
      <c r="E165" s="8" t="s">
        <v>104</v>
      </c>
    </row>
    <row r="166" spans="1:5" x14ac:dyDescent="0.25">
      <c r="A166" s="13">
        <v>46156</v>
      </c>
      <c r="B166" s="7">
        <v>2</v>
      </c>
      <c r="C166" s="8">
        <v>3</v>
      </c>
      <c r="D166" s="8">
        <v>2</v>
      </c>
      <c r="E166" s="8" t="s">
        <v>104</v>
      </c>
    </row>
    <row r="167" spans="1:5" x14ac:dyDescent="0.25">
      <c r="A167" s="13">
        <v>46156</v>
      </c>
      <c r="B167" s="7">
        <v>3</v>
      </c>
      <c r="C167" s="8">
        <v>2</v>
      </c>
      <c r="D167" s="8">
        <v>1</v>
      </c>
      <c r="E167" s="8" t="s">
        <v>104</v>
      </c>
    </row>
  </sheetData>
  <dataValidations count="1">
    <dataValidation type="list" allowBlank="1" showInputMessage="1" showErrorMessage="1" sqref="B2:B16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2026-05-14T19:54:14Z</dcterms:modified>
</cp:coreProperties>
</file>